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esktop\INFOSYS JOB PRACTICAL\"/>
    </mc:Choice>
  </mc:AlternateContent>
  <xr:revisionPtr revIDLastSave="0" documentId="13_ncr:1_{66671B51-578B-4B73-9257-D8FF0D07656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ales_Data" sheetId="1" r:id="rId1"/>
    <sheet name="Pivot Table" sheetId="5" r:id="rId2"/>
    <sheet name="Sales_Data Cleaning" sheetId="4" r:id="rId3"/>
    <sheet name="Analysis_Notes" sheetId="6" r:id="rId4"/>
    <sheet name="Project_Scope" sheetId="2" r:id="rId5"/>
    <sheet name="Product_Master" sheetId="3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74" i="5" l="1"/>
  <c r="C375" i="5"/>
  <c r="C376" i="5"/>
  <c r="C377" i="5"/>
  <c r="C378" i="5"/>
  <c r="C379" i="5"/>
  <c r="C380" i="5"/>
  <c r="C381" i="5"/>
  <c r="C382" i="5"/>
  <c r="C383" i="5"/>
  <c r="C373" i="5"/>
  <c r="D24" i="6"/>
  <c r="D18" i="6"/>
  <c r="D32" i="6"/>
  <c r="D17" i="6"/>
  <c r="D15" i="6"/>
  <c r="D8" i="6"/>
  <c r="D54" i="6"/>
  <c r="D56" i="6"/>
  <c r="D57" i="6"/>
  <c r="D66" i="6"/>
  <c r="D36" i="6"/>
  <c r="D9" i="6"/>
  <c r="D14" i="6"/>
  <c r="D7" i="6"/>
  <c r="D13" i="6"/>
  <c r="D43" i="6"/>
  <c r="D29" i="6"/>
  <c r="D60" i="6"/>
  <c r="D23" i="6"/>
  <c r="D31" i="6"/>
  <c r="D48" i="6"/>
  <c r="D19" i="6"/>
  <c r="D53" i="6"/>
  <c r="D30" i="6"/>
  <c r="D51" i="6"/>
  <c r="D26" i="6"/>
  <c r="D64" i="6"/>
  <c r="D42" i="6"/>
  <c r="D27" i="6"/>
  <c r="D11" i="6"/>
  <c r="D28" i="6"/>
  <c r="D65" i="6"/>
  <c r="D25" i="6"/>
  <c r="D33" i="6"/>
  <c r="D10" i="6"/>
  <c r="D39" i="6"/>
  <c r="D40" i="6"/>
  <c r="D49" i="6"/>
  <c r="D37" i="6"/>
  <c r="D58" i="6"/>
  <c r="D20" i="6"/>
  <c r="D47" i="6"/>
  <c r="D44" i="6"/>
  <c r="D41" i="6"/>
  <c r="D16" i="6"/>
  <c r="D35" i="6"/>
  <c r="D12" i="6"/>
  <c r="D67" i="6"/>
  <c r="D21" i="6"/>
  <c r="D61" i="6"/>
  <c r="D45" i="6"/>
  <c r="D34" i="6"/>
  <c r="D69" i="6"/>
  <c r="D73" i="6"/>
  <c r="D78" i="6"/>
  <c r="D38" i="6"/>
  <c r="D22" i="6"/>
  <c r="D55" i="6"/>
  <c r="D62" i="6"/>
  <c r="D63" i="6"/>
  <c r="D74" i="6"/>
  <c r="D75" i="6"/>
  <c r="D72" i="6"/>
  <c r="D68" i="6"/>
  <c r="D71" i="6"/>
  <c r="D59" i="6"/>
  <c r="D46" i="6"/>
  <c r="D79" i="6"/>
  <c r="D50" i="6"/>
  <c r="D52" i="6"/>
  <c r="D70" i="6"/>
  <c r="D77" i="6"/>
  <c r="D80" i="6"/>
  <c r="D81" i="6"/>
  <c r="D76" i="6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75" i="5"/>
  <c r="D266" i="5"/>
  <c r="D267" i="5"/>
  <c r="D268" i="5"/>
  <c r="D265" i="5"/>
  <c r="C255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135" i="5"/>
  <c r="D136" i="5"/>
  <c r="D137" i="5"/>
  <c r="D138" i="5"/>
  <c r="D139" i="5"/>
  <c r="D140" i="5"/>
  <c r="D141" i="5"/>
  <c r="D142" i="5"/>
  <c r="D143" i="5"/>
  <c r="D134" i="5"/>
  <c r="C50" i="5"/>
  <c r="G40" i="5"/>
  <c r="C28" i="5"/>
  <c r="D18" i="5"/>
  <c r="D19" i="5"/>
  <c r="D20" i="5"/>
  <c r="D17" i="5"/>
  <c r="A2" i="6"/>
  <c r="P2" i="4"/>
  <c r="N2" i="4"/>
  <c r="M2" i="4"/>
  <c r="D50" i="5"/>
</calcChain>
</file>

<file path=xl/sharedStrings.xml><?xml version="1.0" encoding="utf-8"?>
<sst xmlns="http://schemas.openxmlformats.org/spreadsheetml/2006/main" count="17367" uniqueCount="282">
  <si>
    <t>Order_ID</t>
  </si>
  <si>
    <t>Order_Date</t>
  </si>
  <si>
    <t>Customer_ID</t>
  </si>
  <si>
    <t>Customer_Name</t>
  </si>
  <si>
    <t>City</t>
  </si>
  <si>
    <t>Region</t>
  </si>
  <si>
    <t>Product_ID</t>
  </si>
  <si>
    <t>Product_Name</t>
  </si>
  <si>
    <t>Category</t>
  </si>
  <si>
    <t>Quantity</t>
  </si>
  <si>
    <t>Unit_Price</t>
  </si>
  <si>
    <t>Revenue</t>
  </si>
  <si>
    <t>C008</t>
  </si>
  <si>
    <t>Customer_08</t>
  </si>
  <si>
    <t>Patna</t>
  </si>
  <si>
    <t>East</t>
  </si>
  <si>
    <t>P014</t>
  </si>
  <si>
    <t>Microwave</t>
  </si>
  <si>
    <t>Home &amp; Kitchen</t>
  </si>
  <si>
    <t>C071</t>
  </si>
  <si>
    <t>Customer_71</t>
  </si>
  <si>
    <t>Bhubaneswar</t>
  </si>
  <si>
    <t>P026</t>
  </si>
  <si>
    <t>Backpack</t>
  </si>
  <si>
    <t>Accessories</t>
  </si>
  <si>
    <t>C031</t>
  </si>
  <si>
    <t>Customer_31</t>
  </si>
  <si>
    <t>Hyderabad</t>
  </si>
  <si>
    <t>South</t>
  </si>
  <si>
    <t>P017</t>
  </si>
  <si>
    <t>Water Purifier</t>
  </si>
  <si>
    <t>C043</t>
  </si>
  <si>
    <t>Customer_43</t>
  </si>
  <si>
    <t>Ahmedabad</t>
  </si>
  <si>
    <t>West</t>
  </si>
  <si>
    <t>P006</t>
  </si>
  <si>
    <t>Monitor 24</t>
  </si>
  <si>
    <t>Electronics</t>
  </si>
  <si>
    <t>C021</t>
  </si>
  <si>
    <t>Customer_21</t>
  </si>
  <si>
    <t>Kolkata</t>
  </si>
  <si>
    <t>P003</t>
  </si>
  <si>
    <t>Smartphone X</t>
  </si>
  <si>
    <t>C052</t>
  </si>
  <si>
    <t>Customer_52</t>
  </si>
  <si>
    <t>Chandigarh</t>
  </si>
  <si>
    <t>North</t>
  </si>
  <si>
    <t>P020</t>
  </si>
  <si>
    <t>T-Shirt</t>
  </si>
  <si>
    <t>Clothing</t>
  </si>
  <si>
    <t>C024</t>
  </si>
  <si>
    <t>Customer_24</t>
  </si>
  <si>
    <t>P030</t>
  </si>
  <si>
    <t>Travel Bag</t>
  </si>
  <si>
    <t>C075</t>
  </si>
  <si>
    <t>Customer_75</t>
  </si>
  <si>
    <t>P015</t>
  </si>
  <si>
    <t>Vacuum Cleaner</t>
  </si>
  <si>
    <t>C007</t>
  </si>
  <si>
    <t>Customer_07</t>
  </si>
  <si>
    <t>P016</t>
  </si>
  <si>
    <t>Electric Kettle</t>
  </si>
  <si>
    <t>C067</t>
  </si>
  <si>
    <t>Customer_67</t>
  </si>
  <si>
    <t>Lucknow</t>
  </si>
  <si>
    <t>P021</t>
  </si>
  <si>
    <t>Formal Shirt</t>
  </si>
  <si>
    <t>C064</t>
  </si>
  <si>
    <t>Customer_64</t>
  </si>
  <si>
    <t>Kochi</t>
  </si>
  <si>
    <t>P010</t>
  </si>
  <si>
    <t>Keyboard</t>
  </si>
  <si>
    <t>C029</t>
  </si>
  <si>
    <t>Customer_29</t>
  </si>
  <si>
    <t>Bengaluru</t>
  </si>
  <si>
    <t>P024</t>
  </si>
  <si>
    <t>Hoodie</t>
  </si>
  <si>
    <t>C073</t>
  </si>
  <si>
    <t>Customer_73</t>
  </si>
  <si>
    <t>Mumbai</t>
  </si>
  <si>
    <t>C057</t>
  </si>
  <si>
    <t>Customer_57</t>
  </si>
  <si>
    <t>C050</t>
  </si>
  <si>
    <t>Customer_50</t>
  </si>
  <si>
    <t>Jaipur</t>
  </si>
  <si>
    <t>C036</t>
  </si>
  <si>
    <t>Customer_36</t>
  </si>
  <si>
    <t>C035</t>
  </si>
  <si>
    <t>Customer_35</t>
  </si>
  <si>
    <t>P013</t>
  </si>
  <si>
    <t>Coffee Maker</t>
  </si>
  <si>
    <t>C037</t>
  </si>
  <si>
    <t>Customer_37</t>
  </si>
  <si>
    <t>C022</t>
  </si>
  <si>
    <t>Customer_22</t>
  </si>
  <si>
    <t>Guwahati</t>
  </si>
  <si>
    <t>P007</t>
  </si>
  <si>
    <t>Monitor 27</t>
  </si>
  <si>
    <t>P029</t>
  </si>
  <si>
    <t>Sunglasses</t>
  </si>
  <si>
    <t>C026</t>
  </si>
  <si>
    <t>Customer_26</t>
  </si>
  <si>
    <t>Pune</t>
  </si>
  <si>
    <t>P005</t>
  </si>
  <si>
    <t>Tablet Pro</t>
  </si>
  <si>
    <t>C068</t>
  </si>
  <si>
    <t>Customer_68</t>
  </si>
  <si>
    <t>C061</t>
  </si>
  <si>
    <t>Customer_61</t>
  </si>
  <si>
    <t>P012</t>
  </si>
  <si>
    <t>Mixer Grinder</t>
  </si>
  <si>
    <t>C069</t>
  </si>
  <si>
    <t>Customer_69</t>
  </si>
  <si>
    <t>P002</t>
  </si>
  <si>
    <t>Laptop Air</t>
  </si>
  <si>
    <t>C027</t>
  </si>
  <si>
    <t>Customer_27</t>
  </si>
  <si>
    <t>C070</t>
  </si>
  <si>
    <t>Customer_70</t>
  </si>
  <si>
    <t>C047</t>
  </si>
  <si>
    <t>Customer_47</t>
  </si>
  <si>
    <t>P022</t>
  </si>
  <si>
    <t>Jacket</t>
  </si>
  <si>
    <t>C048</t>
  </si>
  <si>
    <t>Customer_48</t>
  </si>
  <si>
    <t>P004</t>
  </si>
  <si>
    <t>Smartphone Y</t>
  </si>
  <si>
    <t>C042</t>
  </si>
  <si>
    <t>Customer_42</t>
  </si>
  <si>
    <t>P028</t>
  </si>
  <si>
    <t>Wallet</t>
  </si>
  <si>
    <t>P008</t>
  </si>
  <si>
    <t>Headphones Pro</t>
  </si>
  <si>
    <t>C011</t>
  </si>
  <si>
    <t>Customer_11</t>
  </si>
  <si>
    <t>C049</t>
  </si>
  <si>
    <t>Customer_49</t>
  </si>
  <si>
    <t>Delhi</t>
  </si>
  <si>
    <t>C009</t>
  </si>
  <si>
    <t>Customer_09</t>
  </si>
  <si>
    <t>P018</t>
  </si>
  <si>
    <t>Induction Cooktop</t>
  </si>
  <si>
    <t>C040</t>
  </si>
  <si>
    <t>Customer_40</t>
  </si>
  <si>
    <t>P001</t>
  </si>
  <si>
    <t>Laptop Pro</t>
  </si>
  <si>
    <t>C003</t>
  </si>
  <si>
    <t>Customer_03</t>
  </si>
  <si>
    <t>C056</t>
  </si>
  <si>
    <t>Customer_56</t>
  </si>
  <si>
    <t>C002</t>
  </si>
  <si>
    <t>Customer_02</t>
  </si>
  <si>
    <t>P019</t>
  </si>
  <si>
    <t>Jeans</t>
  </si>
  <si>
    <t>C013</t>
  </si>
  <si>
    <t>Customer_13</t>
  </si>
  <si>
    <t>C006</t>
  </si>
  <si>
    <t>Customer_06</t>
  </si>
  <si>
    <t>C012</t>
  </si>
  <si>
    <t>Customer_12</t>
  </si>
  <si>
    <t>Surat</t>
  </si>
  <si>
    <t>C059</t>
  </si>
  <si>
    <t>Customer_59</t>
  </si>
  <si>
    <t>P023</t>
  </si>
  <si>
    <t>Sneakers</t>
  </si>
  <si>
    <t>C016</t>
  </si>
  <si>
    <t>Customer_16</t>
  </si>
  <si>
    <t>P025</t>
  </si>
  <si>
    <t>Dress</t>
  </si>
  <si>
    <t>C019</t>
  </si>
  <si>
    <t>Customer_19</t>
  </si>
  <si>
    <t>C004</t>
  </si>
  <si>
    <t>Customer_04</t>
  </si>
  <si>
    <t>C001</t>
  </si>
  <si>
    <t>Customer_01</t>
  </si>
  <si>
    <t>C034</t>
  </si>
  <si>
    <t>Customer_34</t>
  </si>
  <si>
    <t>P009</t>
  </si>
  <si>
    <t>Wireless Earbuds</t>
  </si>
  <si>
    <t>P011</t>
  </si>
  <si>
    <t>Air Fryer</t>
  </si>
  <si>
    <t>C023</t>
  </si>
  <si>
    <t>Customer_23</t>
  </si>
  <si>
    <t>C063</t>
  </si>
  <si>
    <t>Customer_63</t>
  </si>
  <si>
    <t>C072</t>
  </si>
  <si>
    <t>Customer_72</t>
  </si>
  <si>
    <t>P027</t>
  </si>
  <si>
    <t>Watch</t>
  </si>
  <si>
    <t>C060</t>
  </si>
  <si>
    <t>Customer_60</t>
  </si>
  <si>
    <t>C015</t>
  </si>
  <si>
    <t>Customer_15</t>
  </si>
  <si>
    <t>C074</t>
  </si>
  <si>
    <t>Customer_74</t>
  </si>
  <si>
    <t>C010</t>
  </si>
  <si>
    <t>Customer_10</t>
  </si>
  <si>
    <t>C054</t>
  </si>
  <si>
    <t>Customer_54</t>
  </si>
  <si>
    <t>C030</t>
  </si>
  <si>
    <t>Customer_30</t>
  </si>
  <si>
    <t>Chennai</t>
  </si>
  <si>
    <t>C051</t>
  </si>
  <si>
    <t>Customer_51</t>
  </si>
  <si>
    <t>C046</t>
  </si>
  <si>
    <t>Customer_46</t>
  </si>
  <si>
    <t>C028</t>
  </si>
  <si>
    <t>Customer_28</t>
  </si>
  <si>
    <t>C038</t>
  </si>
  <si>
    <t>Customer_38</t>
  </si>
  <si>
    <t>C053</t>
  </si>
  <si>
    <t>Customer_53</t>
  </si>
  <si>
    <t>C032</t>
  </si>
  <si>
    <t>Customer_32</t>
  </si>
  <si>
    <t>C033</t>
  </si>
  <si>
    <t>Customer_33</t>
  </si>
  <si>
    <t>C039</t>
  </si>
  <si>
    <t>Customer_39</t>
  </si>
  <si>
    <t>C044</t>
  </si>
  <si>
    <t>Customer_44</t>
  </si>
  <si>
    <t>C058</t>
  </si>
  <si>
    <t>Customer_58</t>
  </si>
  <si>
    <t>C055</t>
  </si>
  <si>
    <t>Customer_55</t>
  </si>
  <si>
    <t>C062</t>
  </si>
  <si>
    <t>Customer_62</t>
  </si>
  <si>
    <t>C041</t>
  </si>
  <si>
    <t>Customer_41</t>
  </si>
  <si>
    <t>C018</t>
  </si>
  <si>
    <t>Customer_18</t>
  </si>
  <si>
    <t>C066</t>
  </si>
  <si>
    <t>Customer_66</t>
  </si>
  <si>
    <t>C025</t>
  </si>
  <si>
    <t>Customer_25</t>
  </si>
  <si>
    <t>C065</t>
  </si>
  <si>
    <t>Customer_65</t>
  </si>
  <si>
    <t>C014</t>
  </si>
  <si>
    <t>Customer_14</t>
  </si>
  <si>
    <t>C017</t>
  </si>
  <si>
    <t>Customer_17</t>
  </si>
  <si>
    <t>C045</t>
  </si>
  <si>
    <t>Customer_45</t>
  </si>
  <si>
    <t>C005</t>
  </si>
  <si>
    <t>Customer_05</t>
  </si>
  <si>
    <t>C020</t>
  </si>
  <si>
    <t>Customer_20</t>
  </si>
  <si>
    <t>Metric</t>
  </si>
  <si>
    <t>Value</t>
  </si>
  <si>
    <t>Transactions</t>
  </si>
  <si>
    <t>Customers</t>
  </si>
  <si>
    <t>Products</t>
  </si>
  <si>
    <t>Regions</t>
  </si>
  <si>
    <t>Categories</t>
  </si>
  <si>
    <t>Period</t>
  </si>
  <si>
    <t>2025</t>
  </si>
  <si>
    <t>Total Rev</t>
  </si>
  <si>
    <t>Avg Rev</t>
  </si>
  <si>
    <t>AOV</t>
  </si>
  <si>
    <t>Total Quantity</t>
  </si>
  <si>
    <t>Row Labels</t>
  </si>
  <si>
    <t>Grand Total</t>
  </si>
  <si>
    <t>Sum of Revenue</t>
  </si>
  <si>
    <t>Revenue From East</t>
  </si>
  <si>
    <t>Count of Order_ID</t>
  </si>
  <si>
    <t>Column Labels</t>
  </si>
  <si>
    <t xml:space="preserve"> </t>
  </si>
  <si>
    <t>Top 10 Revenue</t>
  </si>
  <si>
    <t>Sum of Quantity</t>
  </si>
  <si>
    <t>Electronics Unit Share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</si>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</sst>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₹&quot;\ #,##0.00"/>
    <numFmt numFmtId="166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73.694557291667" createdVersion="8" refreshedVersion="8" minRefreshableVersion="3" recordCount="1200" xr:uid="{86AC4C86-81E7-4818-9703-BCE1D03EA2D2}">
  <cacheSource type="worksheet">
    <worksheetSource ref="A1:P1201" sheet="Sales_Data Cleaning"/>
  </cacheSource>
  <cacheFields count="18">
    <cacheField name="Order_ID" numFmtId="0">
      <sharedItems containsSemiMixedTypes="0" containsString="0" containsNumber="1" containsInteger="1" minValue="10001" maxValue="11200" count="12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</sharedItems>
    </cacheField>
    <cacheField name="Order_Date" numFmtId="164">
      <sharedItems containsSemiMixedTypes="0" containsNonDate="0" containsDate="1" containsString="0" minDate="2025-01-01T00:00:00" maxDate="2026-01-01T00:00:00" count="346">
        <d v="2025-09-20T00:00:00"/>
        <d v="2025-11-04T00:00:00"/>
        <d v="2025-09-09T00:00:00"/>
        <d v="2025-11-11T00:00:00"/>
        <d v="2025-01-06T00:00:00"/>
        <d v="2025-04-18T00:00:00"/>
        <d v="2025-07-02T00:00:00"/>
        <d v="2025-02-09T00:00:00"/>
        <d v="2025-05-28T00:00:00"/>
        <d v="2025-10-23T00:00:00"/>
        <d v="2025-08-25T00:00:00"/>
        <d v="2025-09-13T00:00:00"/>
        <d v="2025-08-04T00:00:00"/>
        <d v="2025-01-13T00:00:00"/>
        <d v="2025-12-27T00:00:00"/>
        <d v="2025-08-08T00:00:00"/>
        <d v="2025-03-04T00:00:00"/>
        <d v="2025-10-07T00:00:00"/>
        <d v="2025-10-08T00:00:00"/>
        <d v="2025-07-25T00:00:00"/>
        <d v="2025-01-17T00:00:00"/>
        <d v="2025-09-25T00:00:00"/>
        <d v="2025-12-21T00:00:00"/>
        <d v="2025-08-11T00:00:00"/>
        <d v="2025-06-12T00:00:00"/>
        <d v="2025-09-21T00:00:00"/>
        <d v="2025-08-06T00:00:00"/>
        <d v="2025-05-17T00:00:00"/>
        <d v="2025-07-30T00:00:00"/>
        <d v="2025-08-20T00:00:00"/>
        <d v="2025-04-12T00:00:00"/>
        <d v="2025-05-18T00:00:00"/>
        <d v="2025-06-10T00:00:00"/>
        <d v="2025-08-31T00:00:00"/>
        <d v="2025-09-16T00:00:00"/>
        <d v="2025-03-11T00:00:00"/>
        <d v="2025-07-12T00:00:00"/>
        <d v="2025-01-27T00:00:00"/>
        <d v="2025-01-14T00:00:00"/>
        <d v="2025-08-19T00:00:00"/>
        <d v="2025-10-20T00:00:00"/>
        <d v="2025-04-16T00:00:00"/>
        <d v="2025-12-14T00:00:00"/>
        <d v="2025-11-28T00:00:00"/>
        <d v="2025-01-25T00:00:00"/>
        <d v="2025-12-31T00:00:00"/>
        <d v="2025-04-22T00:00:00"/>
        <d v="2025-03-24T00:00:00"/>
        <d v="2025-09-30T00:00:00"/>
        <d v="2025-06-26T00:00:00"/>
        <d v="2025-08-01T00:00:00"/>
        <d v="2025-08-16T00:00:00"/>
        <d v="2025-02-18T00:00:00"/>
        <d v="2025-08-21T00:00:00"/>
        <d v="2025-12-10T00:00:00"/>
        <d v="2025-06-30T00:00:00"/>
        <d v="2025-02-26T00:00:00"/>
        <d v="2025-04-20T00:00:00"/>
        <d v="2025-03-09T00:00:00"/>
        <d v="2025-03-29T00:00:00"/>
        <d v="2025-04-05T00:00:00"/>
        <d v="2025-10-29T00:00:00"/>
        <d v="2025-05-14T00:00:00"/>
        <d v="2025-05-12T00:00:00"/>
        <d v="2025-01-12T00:00:00"/>
        <d v="2025-06-29T00:00:00"/>
        <d v="2025-11-01T00:00:00"/>
        <d v="2025-12-18T00:00:00"/>
        <d v="2025-05-09T00:00:00"/>
        <d v="2025-08-12T00:00:00"/>
        <d v="2025-01-11T00:00:00"/>
        <d v="2025-02-27T00:00:00"/>
        <d v="2025-01-15T00:00:00"/>
        <d v="2025-07-13T00:00:00"/>
        <d v="2025-03-06T00:00:00"/>
        <d v="2025-10-05T00:00:00"/>
        <d v="2025-03-17T00:00:00"/>
        <d v="2025-08-02T00:00:00"/>
        <d v="2025-10-31T00:00:00"/>
        <d v="2025-05-05T00:00:00"/>
        <d v="2025-03-19T00:00:00"/>
        <d v="2025-07-04T00:00:00"/>
        <d v="2025-06-25T00:00:00"/>
        <d v="2025-08-23T00:00:00"/>
        <d v="2025-10-25T00:00:00"/>
        <d v="2025-09-06T00:00:00"/>
        <d v="2025-02-13T00:00:00"/>
        <d v="2025-02-21T00:00:00"/>
        <d v="2025-12-23T00:00:00"/>
        <d v="2025-07-14T00:00:00"/>
        <d v="2025-12-05T00:00:00"/>
        <d v="2025-07-19T00:00:00"/>
        <d v="2025-06-01T00:00:00"/>
        <d v="2025-04-07T00:00:00"/>
        <d v="2025-10-03T00:00:00"/>
        <d v="2025-10-04T00:00:00"/>
        <d v="2025-12-08T00:00:00"/>
        <d v="2025-07-11T00:00:00"/>
        <d v="2025-11-03T00:00:00"/>
        <d v="2025-05-15T00:00:00"/>
        <d v="2025-12-16T00:00:00"/>
        <d v="2025-02-05T00:00:00"/>
        <d v="2025-06-09T00:00:00"/>
        <d v="2025-08-10T00:00:00"/>
        <d v="2025-12-03T00:00:00"/>
        <d v="2025-08-26T00:00:00"/>
        <d v="2025-03-21T00:00:00"/>
        <d v="2025-08-09T00:00:00"/>
        <d v="2025-06-19T00:00:00"/>
        <d v="2025-05-31T00:00:00"/>
        <d v="2025-10-09T00:00:00"/>
        <d v="2025-11-21T00:00:00"/>
        <d v="2025-07-24T00:00:00"/>
        <d v="2025-05-10T00:00:00"/>
        <d v="2025-09-01T00:00:00"/>
        <d v="2025-04-23T00:00:00"/>
        <d v="2025-06-17T00:00:00"/>
        <d v="2025-05-22T00:00:00"/>
        <d v="2025-06-18T00:00:00"/>
        <d v="2025-12-11T00:00:00"/>
        <d v="2025-09-03T00:00:00"/>
        <d v="2025-01-19T00:00:00"/>
        <d v="2025-07-07T00:00:00"/>
        <d v="2025-05-21T00:00:00"/>
        <d v="2025-11-27T00:00:00"/>
        <d v="2025-06-02T00:00:00"/>
        <d v="2025-03-31T00:00:00"/>
        <d v="2025-09-28T00:00:00"/>
        <d v="2025-11-08T00:00:00"/>
        <d v="2025-05-19T00:00:00"/>
        <d v="2025-07-20T00:00:00"/>
        <d v="2025-11-07T00:00:00"/>
        <d v="2025-04-02T00:00:00"/>
        <d v="2025-03-07T00:00:00"/>
        <d v="2025-04-06T00:00:00"/>
        <d v="2025-06-16T00:00:00"/>
        <d v="2025-01-30T00:00:00"/>
        <d v="2025-02-16T00:00:00"/>
        <d v="2025-07-10T00:00:00"/>
        <d v="2025-08-05T00:00:00"/>
        <d v="2025-06-08T00:00:00"/>
        <d v="2025-04-11T00:00:00"/>
        <d v="2025-11-15T00:00:00"/>
        <d v="2025-01-16T00:00:00"/>
        <d v="2025-01-05T00:00:00"/>
        <d v="2025-07-01T00:00:00"/>
        <d v="2025-10-14T00:00:00"/>
        <d v="2025-08-28T00:00:00"/>
        <d v="2025-09-29T00:00:00"/>
        <d v="2025-02-11T00:00:00"/>
        <d v="2025-10-16T00:00:00"/>
        <d v="2025-08-22T00:00:00"/>
        <d v="2025-06-13T00:00:00"/>
        <d v="2025-10-01T00:00:00"/>
        <d v="2025-02-06T00:00:00"/>
        <d v="2025-06-21T00:00:00"/>
        <d v="2025-06-14T00:00:00"/>
        <d v="2025-05-03T00:00:00"/>
        <d v="2025-09-08T00:00:00"/>
        <d v="2025-02-28T00:00:00"/>
        <d v="2025-01-09T00:00:00"/>
        <d v="2025-09-24T00:00:00"/>
        <d v="2025-02-08T00:00:00"/>
        <d v="2025-02-24T00:00:00"/>
        <d v="2025-05-06T00:00:00"/>
        <d v="2025-09-26T00:00:00"/>
        <d v="2025-10-15T00:00:00"/>
        <d v="2025-04-08T00:00:00"/>
        <d v="2025-05-27T00:00:00"/>
        <d v="2025-11-22T00:00:00"/>
        <d v="2025-01-28T00:00:00"/>
        <d v="2025-02-14T00:00:00"/>
        <d v="2025-02-15T00:00:00"/>
        <d v="2025-03-26T00:00:00"/>
        <d v="2025-05-23T00:00:00"/>
        <d v="2025-01-10T00:00:00"/>
        <d v="2025-10-18T00:00:00"/>
        <d v="2025-08-30T00:00:00"/>
        <d v="2025-12-06T00:00:00"/>
        <d v="2025-11-17T00:00:00"/>
        <d v="2025-07-17T00:00:00"/>
        <d v="2025-04-17T00:00:00"/>
        <d v="2025-01-31T00:00:00"/>
        <d v="2025-12-20T00:00:00"/>
        <d v="2025-09-19T00:00:00"/>
        <d v="2025-09-17T00:00:00"/>
        <d v="2025-09-27T00:00:00"/>
        <d v="2025-07-21T00:00:00"/>
        <d v="2025-03-01T00:00:00"/>
        <d v="2025-05-01T00:00:00"/>
        <d v="2025-02-03T00:00:00"/>
        <d v="2025-07-31T00:00:00"/>
        <d v="2025-10-11T00:00:00"/>
        <d v="2025-02-20T00:00:00"/>
        <d v="2025-02-02T00:00:00"/>
        <d v="2025-02-25T00:00:00"/>
        <d v="2025-11-05T00:00:00"/>
        <d v="2025-11-13T00:00:00"/>
        <d v="2025-10-24T00:00:00"/>
        <d v="2025-04-03T00:00:00"/>
        <d v="2025-08-15T00:00:00"/>
        <d v="2025-05-16T00:00:00"/>
        <d v="2025-11-23T00:00:00"/>
        <d v="2025-11-10T00:00:00"/>
        <d v="2025-06-03T00:00:00"/>
        <d v="2025-12-29T00:00:00"/>
        <d v="2025-04-28T00:00:00"/>
        <d v="2025-07-09T00:00:00"/>
        <d v="2025-10-02T00:00:00"/>
        <d v="2025-11-24T00:00:00"/>
        <d v="2025-04-26T00:00:00"/>
        <d v="2025-06-06T00:00:00"/>
        <d v="2025-02-22T00:00:00"/>
        <d v="2025-12-26T00:00:00"/>
        <d v="2025-11-12T00:00:00"/>
        <d v="2025-09-10T00:00:00"/>
        <d v="2025-05-11T00:00:00"/>
        <d v="2025-07-26T00:00:00"/>
        <d v="2025-06-07T00:00:00"/>
        <d v="2025-10-12T00:00:00"/>
        <d v="2025-07-08T00:00:00"/>
        <d v="2025-10-21T00:00:00"/>
        <d v="2025-05-29T00:00:00"/>
        <d v="2025-03-03T00:00:00"/>
        <d v="2025-10-17T00:00:00"/>
        <d v="2025-09-23T00:00:00"/>
        <d v="2025-01-29T00:00:00"/>
        <d v="2025-12-30T00:00:00"/>
        <d v="2025-11-06T00:00:00"/>
        <d v="2025-04-15T00:00:00"/>
        <d v="2025-09-07T00:00:00"/>
        <d v="2025-12-15T00:00:00"/>
        <d v="2025-07-28T00:00:00"/>
        <d v="2025-03-10T00:00:00"/>
        <d v="2025-04-25T00:00:00"/>
        <d v="2025-07-15T00:00:00"/>
        <d v="2025-02-23T00:00:00"/>
        <d v="2025-04-10T00:00:00"/>
        <d v="2025-03-13T00:00:00"/>
        <d v="2025-11-18T00:00:00"/>
        <d v="2025-04-24T00:00:00"/>
        <d v="2025-07-05T00:00:00"/>
        <d v="2025-02-07T00:00:00"/>
        <d v="2025-06-23T00:00:00"/>
        <d v="2025-12-02T00:00:00"/>
        <d v="2025-01-01T00:00:00"/>
        <d v="2025-09-18T00:00:00"/>
        <d v="2025-03-08T00:00:00"/>
        <d v="2025-01-07T00:00:00"/>
        <d v="2025-07-18T00:00:00"/>
        <d v="2025-05-25T00:00:00"/>
        <d v="2025-01-23T00:00:00"/>
        <d v="2025-02-10T00:00:00"/>
        <d v="2025-05-08T00:00:00"/>
        <d v="2025-06-20T00:00:00"/>
        <d v="2025-09-12T00:00:00"/>
        <d v="2025-08-13T00:00:00"/>
        <d v="2025-03-30T00:00:00"/>
        <d v="2025-12-28T00:00:00"/>
        <d v="2025-03-27T00:00:00"/>
        <d v="2025-03-02T00:00:00"/>
        <d v="2025-03-18T00:00:00"/>
        <d v="2025-06-22T00:00:00"/>
        <d v="2025-01-24T00:00:00"/>
        <d v="2025-06-15T00:00:00"/>
        <d v="2025-02-01T00:00:00"/>
        <d v="2025-04-21T00:00:00"/>
        <d v="2025-10-27T00:00:00"/>
        <d v="2025-05-20T00:00:00"/>
        <d v="2025-04-29T00:00:00"/>
        <d v="2025-08-07T00:00:00"/>
        <d v="2025-03-16T00:00:00"/>
        <d v="2025-03-22T00:00:00"/>
        <d v="2025-11-25T00:00:00"/>
        <d v="2025-12-07T00:00:00"/>
        <d v="2025-02-04T00:00:00"/>
        <d v="2025-04-13T00:00:00"/>
        <d v="2025-03-12T00:00:00"/>
        <d v="2025-06-24T00:00:00"/>
        <d v="2025-12-22T00:00:00"/>
        <d v="2025-10-22T00:00:00"/>
        <d v="2025-05-24T00:00:00"/>
        <d v="2025-04-19T00:00:00"/>
        <d v="2025-07-27T00:00:00"/>
        <d v="2025-05-30T00:00:00"/>
        <d v="2025-07-23T00:00:00"/>
        <d v="2025-07-06T00:00:00"/>
        <d v="2025-03-28T00:00:00"/>
        <d v="2025-04-30T00:00:00"/>
        <d v="2025-07-03T00:00:00"/>
        <d v="2025-10-28T00:00:00"/>
        <d v="2025-08-18T00:00:00"/>
        <d v="2025-09-05T00:00:00"/>
        <d v="2025-08-27T00:00:00"/>
        <d v="2025-09-04T00:00:00"/>
        <d v="2025-08-03T00:00:00"/>
        <d v="2025-11-09T00:00:00"/>
        <d v="2025-08-17T00:00:00"/>
        <d v="2025-04-09T00:00:00"/>
        <d v="2025-02-12T00:00:00"/>
        <d v="2025-04-14T00:00:00"/>
        <d v="2025-11-26T00:00:00"/>
        <d v="2025-01-08T00:00:00"/>
        <d v="2025-10-30T00:00:00"/>
        <d v="2025-12-25T00:00:00"/>
        <d v="2025-11-16T00:00:00"/>
        <d v="2025-08-24T00:00:00"/>
        <d v="2025-03-05T00:00:00"/>
        <d v="2025-12-01T00:00:00"/>
        <d v="2025-01-20T00:00:00"/>
        <d v="2025-10-06T00:00:00"/>
        <d v="2025-12-12T00:00:00"/>
        <d v="2025-03-14T00:00:00"/>
        <d v="2025-12-17T00:00:00"/>
        <d v="2025-03-15T00:00:00"/>
        <d v="2025-10-19T00:00:00"/>
        <d v="2025-06-05T00:00:00"/>
        <d v="2025-02-19T00:00:00"/>
        <d v="2025-09-02T00:00:00"/>
        <d v="2025-05-13T00:00:00"/>
        <d v="2025-04-27T00:00:00"/>
        <d v="2025-01-21T00:00:00"/>
        <d v="2025-05-04T00:00:00"/>
        <d v="2025-09-11T00:00:00"/>
        <d v="2025-03-25T00:00:00"/>
        <d v="2025-12-04T00:00:00"/>
        <d v="2025-01-02T00:00:00"/>
        <d v="2025-05-26T00:00:00"/>
        <d v="2025-02-17T00:00:00"/>
        <d v="2025-10-26T00:00:00"/>
        <d v="2025-01-26T00:00:00"/>
        <d v="2025-09-14T00:00:00"/>
        <d v="2025-05-07T00:00:00"/>
        <d v="2025-10-10T00:00:00"/>
        <d v="2025-03-20T00:00:00"/>
        <d v="2025-01-22T00:00:00"/>
        <d v="2025-07-29T00:00:00"/>
        <d v="2025-06-11T00:00:00"/>
        <d v="2025-08-14T00:00:00"/>
        <d v="2025-10-13T00:00:00"/>
        <d v="2025-11-20T00:00:00"/>
        <d v="2025-09-22T00:00:00"/>
        <d v="2025-01-04T00:00:00"/>
        <d v="2025-06-28T00:00:00"/>
        <d v="2025-01-18T00:00:00"/>
        <d v="2025-07-16T00:00:00"/>
      </sharedItems>
      <fieldGroup par="17"/>
    </cacheField>
    <cacheField name="Customer_ID" numFmtId="0">
      <sharedItems/>
    </cacheField>
    <cacheField name="Customer_Name" numFmtId="0">
      <sharedItems count="75">
        <s v="Customer_08"/>
        <s v="Customer_71"/>
        <s v="Customer_31"/>
        <s v="Customer_43"/>
        <s v="Customer_21"/>
        <s v="Customer_52"/>
        <s v="Customer_24"/>
        <s v="Customer_75"/>
        <s v="Customer_07"/>
        <s v="Customer_67"/>
        <s v="Customer_64"/>
        <s v="Customer_29"/>
        <s v="Customer_73"/>
        <s v="Customer_57"/>
        <s v="Customer_50"/>
        <s v="Customer_36"/>
        <s v="Customer_35"/>
        <s v="Customer_37"/>
        <s v="Customer_22"/>
        <s v="Customer_26"/>
        <s v="Customer_68"/>
        <s v="Customer_61"/>
        <s v="Customer_69"/>
        <s v="Customer_27"/>
        <s v="Customer_70"/>
        <s v="Customer_47"/>
        <s v="Customer_48"/>
        <s v="Customer_42"/>
        <s v="Customer_11"/>
        <s v="Customer_49"/>
        <s v="Customer_09"/>
        <s v="Customer_40"/>
        <s v="Customer_03"/>
        <s v="Customer_56"/>
        <s v="Customer_02"/>
        <s v="Customer_13"/>
        <s v="Customer_06"/>
        <s v="Customer_12"/>
        <s v="Customer_59"/>
        <s v="Customer_16"/>
        <s v="Customer_19"/>
        <s v="Customer_04"/>
        <s v="Customer_01"/>
        <s v="Customer_34"/>
        <s v="Customer_23"/>
        <s v="Customer_63"/>
        <s v="Customer_72"/>
        <s v="Customer_60"/>
        <s v="Customer_15"/>
        <s v="Customer_74"/>
        <s v="Customer_10"/>
        <s v="Customer_54"/>
        <s v="Customer_30"/>
        <s v="Customer_51"/>
        <s v="Customer_46"/>
        <s v="Customer_28"/>
        <s v="Customer_38"/>
        <s v="Customer_53"/>
        <s v="Customer_32"/>
        <s v="Customer_33"/>
        <s v="Customer_39"/>
        <s v="Customer_44"/>
        <s v="Customer_58"/>
        <s v="Customer_55"/>
        <s v="Customer_62"/>
        <s v="Customer_41"/>
        <s v="Customer_18"/>
        <s v="Customer_66"/>
        <s v="Customer_25"/>
        <s v="Customer_65"/>
        <s v="Customer_14"/>
        <s v="Customer_17"/>
        <s v="Customer_45"/>
        <s v="Customer_05"/>
        <s v="Customer_20"/>
      </sharedItems>
    </cacheField>
    <cacheField name="City" numFmtId="0">
      <sharedItems/>
    </cacheField>
    <cacheField name="Region" numFmtId="0">
      <sharedItems count="4">
        <s v="East"/>
        <s v="South"/>
        <s v="West"/>
        <s v="North"/>
      </sharedItems>
    </cacheField>
    <cacheField name="Product_ID" numFmtId="0">
      <sharedItems/>
    </cacheField>
    <cacheField name="Product_Name" numFmtId="0">
      <sharedItems count="30">
        <s v="Microwave"/>
        <s v="Backpack"/>
        <s v="Water Purifier"/>
        <s v="Monitor 24"/>
        <s v="Smartphone X"/>
        <s v="T-Shirt"/>
        <s v="Travel Bag"/>
        <s v="Vacuum Cleaner"/>
        <s v="Electric Kettle"/>
        <s v="Formal Shirt"/>
        <s v="Keyboard"/>
        <s v="Hoodie"/>
        <s v="Coffee Maker"/>
        <s v="Monitor 27"/>
        <s v="Sunglasses"/>
        <s v="Tablet Pro"/>
        <s v="Mixer Grinder"/>
        <s v="Laptop Air"/>
        <s v="Jacket"/>
        <s v="Smartphone Y"/>
        <s v="Wallet"/>
        <s v="Headphones Pro"/>
        <s v="Induction Cooktop"/>
        <s v="Laptop Pro"/>
        <s v="Jeans"/>
        <s v="Sneakers"/>
        <s v="Dress"/>
        <s v="Wireless Earbuds"/>
        <s v="Air Fryer"/>
        <s v="Watch"/>
      </sharedItems>
    </cacheField>
    <cacheField name="Category" numFmtId="0">
      <sharedItems count="4">
        <s v="Home &amp; Kitchen"/>
        <s v="Accessories"/>
        <s v="Electronics"/>
        <s v="Clothing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400" maxValue="65000" count="26">
        <n v="11000"/>
        <n v="2400"/>
        <n v="15000"/>
        <n v="12000"/>
        <n v="30000"/>
        <n v="1600"/>
        <n v="3500"/>
        <n v="9000"/>
        <n v="2200"/>
        <n v="3000"/>
        <n v="4200"/>
        <n v="18000"/>
        <n v="2000"/>
        <n v="28000"/>
        <n v="5000"/>
        <n v="52000"/>
        <n v="4800"/>
        <n v="22000"/>
        <n v="1400"/>
        <n v="4500"/>
        <n v="65000"/>
        <n v="3200"/>
        <n v="3800"/>
        <n v="2500"/>
        <n v="6500"/>
        <n v="5500"/>
      </sharedItems>
    </cacheField>
    <cacheField name="Revenue" numFmtId="0">
      <sharedItems containsSemiMixedTypes="0" containsString="0" containsNumber="1" containsInteger="1" minValue="1400" maxValue="260000"/>
    </cacheField>
    <cacheField name="Total Rev" numFmtId="0">
      <sharedItems containsString="0" containsBlank="1" containsNumber="1" containsInteger="1" minValue="25913700" maxValue="25913700"/>
    </cacheField>
    <cacheField name="Avg Rev" numFmtId="0">
      <sharedItems containsString="0" containsBlank="1" containsNumber="1" minValue="21594.75" maxValue="21594.75"/>
    </cacheField>
    <cacheField name="AOV" numFmtId="0">
      <sharedItems containsNonDate="0" containsString="0" containsBlank="1"/>
    </cacheField>
    <cacheField name="Total Quantity" numFmtId="0">
      <sharedItems containsString="0" containsBlank="1" containsNumber="1" containsInteger="1" minValue="2063" maxValue="2063"/>
    </cacheField>
    <cacheField name="Days (Order_Date)" numFmtId="0" databaseField="0">
      <fieldGroup base="1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Order_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73.744829282405" createdVersion="8" refreshedVersion="8" minRefreshableVersion="3" recordCount="1200" xr:uid="{53D3D8A3-8BEE-447F-B2CC-149FE6582E06}">
  <cacheSource type="worksheet">
    <worksheetSource ref="A1:L1201" sheet="Sales_Data"/>
  </cacheSource>
  <cacheFields count="12">
    <cacheField name="Order_ID" numFmtId="0">
      <sharedItems containsSemiMixedTypes="0" containsString="0" containsNumber="1" containsInteger="1" minValue="10001" maxValue="11200"/>
    </cacheField>
    <cacheField name="Order_Date" numFmtId="164">
      <sharedItems containsSemiMixedTypes="0" containsNonDate="0" containsDate="1" containsString="0" minDate="2025-01-01T00:00:00" maxDate="2026-01-01T00:00:00"/>
    </cacheField>
    <cacheField name="Customer_ID" numFmtId="0">
      <sharedItems/>
    </cacheField>
    <cacheField name="Customer_Name" numFmtId="0">
      <sharedItems/>
    </cacheField>
    <cacheField name="City" numFmtId="0">
      <sharedItems/>
    </cacheField>
    <cacheField name="Region" numFmtId="0">
      <sharedItems/>
    </cacheField>
    <cacheField name="Product_ID" numFmtId="0">
      <sharedItems/>
    </cacheField>
    <cacheField name="Product_Name" numFmtId="0">
      <sharedItems/>
    </cacheField>
    <cacheField name="Category" numFmtId="0">
      <sharedItems count="4">
        <s v="Home &amp; Kitchen"/>
        <s v="Accessories"/>
        <s v="Electronics"/>
        <s v="Clothing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400" maxValue="65000"/>
    </cacheField>
    <cacheField name="Revenue" numFmtId="0">
      <sharedItems containsSemiMixedTypes="0" containsString="0" containsNumber="1" containsInteger="1" minValue="1400" maxValue="2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008"/>
    <x v="0"/>
    <s v="Patna"/>
    <x v="0"/>
    <s v="P014"/>
    <x v="0"/>
    <x v="0"/>
    <n v="2"/>
    <x v="0"/>
    <n v="22000"/>
    <n v="25913700"/>
    <n v="21594.75"/>
    <m/>
    <n v="2063"/>
  </r>
  <r>
    <x v="1"/>
    <x v="1"/>
    <s v="C071"/>
    <x v="1"/>
    <s v="Bhubaneswar"/>
    <x v="0"/>
    <s v="P026"/>
    <x v="1"/>
    <x v="1"/>
    <n v="2"/>
    <x v="1"/>
    <n v="4800"/>
    <m/>
    <m/>
    <m/>
    <m/>
  </r>
  <r>
    <x v="2"/>
    <x v="2"/>
    <s v="C031"/>
    <x v="2"/>
    <s v="Hyderabad"/>
    <x v="1"/>
    <s v="P017"/>
    <x v="2"/>
    <x v="0"/>
    <n v="2"/>
    <x v="2"/>
    <n v="30000"/>
    <m/>
    <m/>
    <m/>
    <m/>
  </r>
  <r>
    <x v="3"/>
    <x v="3"/>
    <s v="C043"/>
    <x v="3"/>
    <s v="Ahmedabad"/>
    <x v="2"/>
    <s v="P006"/>
    <x v="3"/>
    <x v="2"/>
    <n v="1"/>
    <x v="3"/>
    <n v="12000"/>
    <m/>
    <m/>
    <m/>
    <m/>
  </r>
  <r>
    <x v="4"/>
    <x v="4"/>
    <s v="C021"/>
    <x v="4"/>
    <s v="Kolkata"/>
    <x v="0"/>
    <s v="P003"/>
    <x v="4"/>
    <x v="2"/>
    <n v="3"/>
    <x v="4"/>
    <n v="90000"/>
    <m/>
    <m/>
    <m/>
    <m/>
  </r>
  <r>
    <x v="5"/>
    <x v="5"/>
    <s v="C052"/>
    <x v="5"/>
    <s v="Chandigarh"/>
    <x v="3"/>
    <s v="P020"/>
    <x v="5"/>
    <x v="3"/>
    <n v="1"/>
    <x v="5"/>
    <n v="1600"/>
    <m/>
    <m/>
    <m/>
    <m/>
  </r>
  <r>
    <x v="6"/>
    <x v="6"/>
    <s v="C024"/>
    <x v="6"/>
    <s v="Patna"/>
    <x v="0"/>
    <s v="P030"/>
    <x v="6"/>
    <x v="1"/>
    <n v="3"/>
    <x v="6"/>
    <n v="10500"/>
    <m/>
    <m/>
    <m/>
    <m/>
  </r>
  <r>
    <x v="7"/>
    <x v="7"/>
    <s v="C075"/>
    <x v="7"/>
    <s v="Ahmedabad"/>
    <x v="2"/>
    <s v="P015"/>
    <x v="7"/>
    <x v="0"/>
    <n v="2"/>
    <x v="7"/>
    <n v="18000"/>
    <m/>
    <m/>
    <m/>
    <m/>
  </r>
  <r>
    <x v="8"/>
    <x v="8"/>
    <s v="C007"/>
    <x v="8"/>
    <s v="Bhubaneswar"/>
    <x v="0"/>
    <s v="P016"/>
    <x v="8"/>
    <x v="0"/>
    <n v="1"/>
    <x v="8"/>
    <n v="2200"/>
    <m/>
    <m/>
    <m/>
    <m/>
  </r>
  <r>
    <x v="9"/>
    <x v="9"/>
    <s v="C067"/>
    <x v="9"/>
    <s v="Lucknow"/>
    <x v="3"/>
    <s v="P021"/>
    <x v="9"/>
    <x v="3"/>
    <n v="1"/>
    <x v="1"/>
    <n v="2400"/>
    <m/>
    <m/>
    <m/>
    <m/>
  </r>
  <r>
    <x v="10"/>
    <x v="10"/>
    <s v="C064"/>
    <x v="10"/>
    <s v="Kochi"/>
    <x v="1"/>
    <s v="P010"/>
    <x v="10"/>
    <x v="2"/>
    <n v="1"/>
    <x v="8"/>
    <n v="2200"/>
    <m/>
    <m/>
    <m/>
    <m/>
  </r>
  <r>
    <x v="11"/>
    <x v="11"/>
    <s v="C029"/>
    <x v="11"/>
    <s v="Bengaluru"/>
    <x v="1"/>
    <s v="P017"/>
    <x v="2"/>
    <x v="0"/>
    <n v="3"/>
    <x v="2"/>
    <n v="45000"/>
    <m/>
    <m/>
    <m/>
    <m/>
  </r>
  <r>
    <x v="12"/>
    <x v="1"/>
    <s v="C031"/>
    <x v="2"/>
    <s v="Hyderabad"/>
    <x v="1"/>
    <s v="P024"/>
    <x v="11"/>
    <x v="3"/>
    <n v="3"/>
    <x v="9"/>
    <n v="9000"/>
    <m/>
    <m/>
    <m/>
    <m/>
  </r>
  <r>
    <x v="13"/>
    <x v="12"/>
    <s v="C029"/>
    <x v="11"/>
    <s v="Bengaluru"/>
    <x v="1"/>
    <s v="P015"/>
    <x v="7"/>
    <x v="0"/>
    <n v="2"/>
    <x v="7"/>
    <n v="18000"/>
    <m/>
    <m/>
    <m/>
    <m/>
  </r>
  <r>
    <x v="14"/>
    <x v="13"/>
    <s v="C073"/>
    <x v="12"/>
    <s v="Mumbai"/>
    <x v="2"/>
    <s v="P015"/>
    <x v="7"/>
    <x v="0"/>
    <n v="2"/>
    <x v="7"/>
    <n v="18000"/>
    <m/>
    <m/>
    <m/>
    <m/>
  </r>
  <r>
    <x v="15"/>
    <x v="14"/>
    <s v="C057"/>
    <x v="13"/>
    <s v="Mumbai"/>
    <x v="2"/>
    <s v="P024"/>
    <x v="11"/>
    <x v="3"/>
    <n v="2"/>
    <x v="9"/>
    <n v="6000"/>
    <m/>
    <m/>
    <m/>
    <m/>
  </r>
  <r>
    <x v="16"/>
    <x v="15"/>
    <s v="C050"/>
    <x v="14"/>
    <s v="Jaipur"/>
    <x v="3"/>
    <s v="P021"/>
    <x v="9"/>
    <x v="3"/>
    <n v="1"/>
    <x v="1"/>
    <n v="2400"/>
    <m/>
    <m/>
    <m/>
    <m/>
  </r>
  <r>
    <x v="17"/>
    <x v="16"/>
    <s v="C036"/>
    <x v="15"/>
    <s v="Chandigarh"/>
    <x v="3"/>
    <s v="P006"/>
    <x v="3"/>
    <x v="2"/>
    <n v="2"/>
    <x v="3"/>
    <n v="24000"/>
    <m/>
    <m/>
    <m/>
    <m/>
  </r>
  <r>
    <x v="18"/>
    <x v="17"/>
    <s v="C035"/>
    <x v="16"/>
    <s v="Lucknow"/>
    <x v="3"/>
    <s v="P013"/>
    <x v="12"/>
    <x v="0"/>
    <n v="1"/>
    <x v="10"/>
    <n v="4200"/>
    <m/>
    <m/>
    <m/>
    <m/>
  </r>
  <r>
    <x v="19"/>
    <x v="18"/>
    <s v="C029"/>
    <x v="11"/>
    <s v="Bengaluru"/>
    <x v="1"/>
    <s v="P030"/>
    <x v="6"/>
    <x v="1"/>
    <n v="2"/>
    <x v="6"/>
    <n v="7000"/>
    <m/>
    <m/>
    <m/>
    <m/>
  </r>
  <r>
    <x v="20"/>
    <x v="19"/>
    <s v="C037"/>
    <x v="17"/>
    <s v="Kolkata"/>
    <x v="0"/>
    <s v="P014"/>
    <x v="0"/>
    <x v="0"/>
    <n v="1"/>
    <x v="0"/>
    <n v="11000"/>
    <m/>
    <m/>
    <m/>
    <m/>
  </r>
  <r>
    <x v="21"/>
    <x v="20"/>
    <s v="C022"/>
    <x v="18"/>
    <s v="Guwahati"/>
    <x v="0"/>
    <s v="P007"/>
    <x v="13"/>
    <x v="2"/>
    <n v="1"/>
    <x v="11"/>
    <n v="18000"/>
    <m/>
    <m/>
    <m/>
    <m/>
  </r>
  <r>
    <x v="22"/>
    <x v="21"/>
    <s v="C067"/>
    <x v="9"/>
    <s v="Lucknow"/>
    <x v="3"/>
    <s v="P029"/>
    <x v="14"/>
    <x v="1"/>
    <n v="4"/>
    <x v="12"/>
    <n v="8000"/>
    <m/>
    <m/>
    <m/>
    <m/>
  </r>
  <r>
    <x v="23"/>
    <x v="22"/>
    <s v="C026"/>
    <x v="19"/>
    <s v="Pune"/>
    <x v="2"/>
    <s v="P005"/>
    <x v="15"/>
    <x v="2"/>
    <n v="1"/>
    <x v="13"/>
    <n v="28000"/>
    <m/>
    <m/>
    <m/>
    <m/>
  </r>
  <r>
    <x v="24"/>
    <x v="23"/>
    <s v="C037"/>
    <x v="17"/>
    <s v="Kolkata"/>
    <x v="0"/>
    <s v="P024"/>
    <x v="11"/>
    <x v="3"/>
    <n v="2"/>
    <x v="9"/>
    <n v="6000"/>
    <m/>
    <m/>
    <m/>
    <m/>
  </r>
  <r>
    <x v="25"/>
    <x v="24"/>
    <s v="C068"/>
    <x v="20"/>
    <s v="Chandigarh"/>
    <x v="3"/>
    <s v="P024"/>
    <x v="11"/>
    <x v="3"/>
    <n v="1"/>
    <x v="9"/>
    <n v="3000"/>
    <m/>
    <m/>
    <m/>
    <m/>
  </r>
  <r>
    <x v="26"/>
    <x v="25"/>
    <s v="C061"/>
    <x v="21"/>
    <s v="Bengaluru"/>
    <x v="1"/>
    <s v="P012"/>
    <x v="16"/>
    <x v="0"/>
    <n v="1"/>
    <x v="14"/>
    <n v="5000"/>
    <m/>
    <m/>
    <m/>
    <m/>
  </r>
  <r>
    <x v="27"/>
    <x v="26"/>
    <s v="C069"/>
    <x v="22"/>
    <s v="Kolkata"/>
    <x v="0"/>
    <s v="P005"/>
    <x v="15"/>
    <x v="2"/>
    <n v="3"/>
    <x v="13"/>
    <n v="84000"/>
    <m/>
    <m/>
    <m/>
    <m/>
  </r>
  <r>
    <x v="28"/>
    <x v="27"/>
    <s v="C036"/>
    <x v="15"/>
    <s v="Chandigarh"/>
    <x v="3"/>
    <s v="P002"/>
    <x v="17"/>
    <x v="2"/>
    <n v="3"/>
    <x v="15"/>
    <n v="156000"/>
    <m/>
    <m/>
    <m/>
    <m/>
  </r>
  <r>
    <x v="29"/>
    <x v="28"/>
    <s v="C027"/>
    <x v="23"/>
    <s v="Ahmedabad"/>
    <x v="2"/>
    <s v="P005"/>
    <x v="15"/>
    <x v="2"/>
    <n v="1"/>
    <x v="13"/>
    <n v="28000"/>
    <m/>
    <m/>
    <m/>
    <m/>
  </r>
  <r>
    <x v="30"/>
    <x v="29"/>
    <s v="C068"/>
    <x v="20"/>
    <s v="Chandigarh"/>
    <x v="3"/>
    <s v="P003"/>
    <x v="4"/>
    <x v="2"/>
    <n v="2"/>
    <x v="4"/>
    <n v="60000"/>
    <m/>
    <m/>
    <m/>
    <m/>
  </r>
  <r>
    <x v="31"/>
    <x v="30"/>
    <s v="C070"/>
    <x v="24"/>
    <s v="Guwahati"/>
    <x v="0"/>
    <s v="P002"/>
    <x v="17"/>
    <x v="2"/>
    <n v="1"/>
    <x v="15"/>
    <n v="52000"/>
    <m/>
    <m/>
    <m/>
    <m/>
  </r>
  <r>
    <x v="32"/>
    <x v="31"/>
    <s v="C047"/>
    <x v="25"/>
    <s v="Hyderabad"/>
    <x v="1"/>
    <s v="P022"/>
    <x v="18"/>
    <x v="3"/>
    <n v="2"/>
    <x v="16"/>
    <n v="9600"/>
    <m/>
    <m/>
    <m/>
    <m/>
  </r>
  <r>
    <x v="33"/>
    <x v="32"/>
    <s v="C048"/>
    <x v="26"/>
    <s v="Kochi"/>
    <x v="1"/>
    <s v="P004"/>
    <x v="19"/>
    <x v="2"/>
    <n v="2"/>
    <x v="17"/>
    <n v="44000"/>
    <m/>
    <m/>
    <m/>
    <m/>
  </r>
  <r>
    <x v="34"/>
    <x v="2"/>
    <s v="C042"/>
    <x v="27"/>
    <s v="Pune"/>
    <x v="2"/>
    <s v="P028"/>
    <x v="20"/>
    <x v="1"/>
    <n v="2"/>
    <x v="18"/>
    <n v="2800"/>
    <m/>
    <m/>
    <m/>
    <m/>
  </r>
  <r>
    <x v="35"/>
    <x v="33"/>
    <s v="C070"/>
    <x v="24"/>
    <s v="Guwahati"/>
    <x v="0"/>
    <s v="P016"/>
    <x v="8"/>
    <x v="0"/>
    <n v="2"/>
    <x v="8"/>
    <n v="4400"/>
    <m/>
    <m/>
    <m/>
    <m/>
  </r>
  <r>
    <x v="36"/>
    <x v="34"/>
    <s v="C071"/>
    <x v="1"/>
    <s v="Bhubaneswar"/>
    <x v="0"/>
    <s v="P026"/>
    <x v="1"/>
    <x v="1"/>
    <n v="1"/>
    <x v="1"/>
    <n v="2400"/>
    <m/>
    <m/>
    <m/>
    <m/>
  </r>
  <r>
    <x v="37"/>
    <x v="35"/>
    <s v="C031"/>
    <x v="2"/>
    <s v="Hyderabad"/>
    <x v="1"/>
    <s v="P004"/>
    <x v="19"/>
    <x v="2"/>
    <n v="2"/>
    <x v="17"/>
    <n v="44000"/>
    <m/>
    <m/>
    <m/>
    <m/>
  </r>
  <r>
    <x v="38"/>
    <x v="28"/>
    <s v="C068"/>
    <x v="20"/>
    <s v="Chandigarh"/>
    <x v="3"/>
    <s v="P008"/>
    <x v="21"/>
    <x v="2"/>
    <n v="1"/>
    <x v="19"/>
    <n v="4500"/>
    <m/>
    <m/>
    <m/>
    <m/>
  </r>
  <r>
    <x v="39"/>
    <x v="36"/>
    <s v="C011"/>
    <x v="28"/>
    <s v="Ahmedabad"/>
    <x v="2"/>
    <s v="P024"/>
    <x v="11"/>
    <x v="3"/>
    <n v="1"/>
    <x v="9"/>
    <n v="3000"/>
    <m/>
    <m/>
    <m/>
    <m/>
  </r>
  <r>
    <x v="40"/>
    <x v="37"/>
    <s v="C008"/>
    <x v="0"/>
    <s v="Patna"/>
    <x v="0"/>
    <s v="P026"/>
    <x v="1"/>
    <x v="1"/>
    <n v="3"/>
    <x v="1"/>
    <n v="7200"/>
    <m/>
    <m/>
    <m/>
    <m/>
  </r>
  <r>
    <x v="41"/>
    <x v="38"/>
    <s v="C049"/>
    <x v="29"/>
    <s v="Delhi"/>
    <x v="3"/>
    <s v="P028"/>
    <x v="20"/>
    <x v="1"/>
    <n v="1"/>
    <x v="18"/>
    <n v="1400"/>
    <m/>
    <m/>
    <m/>
    <m/>
  </r>
  <r>
    <x v="42"/>
    <x v="39"/>
    <s v="C036"/>
    <x v="15"/>
    <s v="Chandigarh"/>
    <x v="3"/>
    <s v="P020"/>
    <x v="5"/>
    <x v="3"/>
    <n v="1"/>
    <x v="5"/>
    <n v="1600"/>
    <m/>
    <m/>
    <m/>
    <m/>
  </r>
  <r>
    <x v="43"/>
    <x v="40"/>
    <s v="C009"/>
    <x v="30"/>
    <s v="Mumbai"/>
    <x v="2"/>
    <s v="P029"/>
    <x v="14"/>
    <x v="1"/>
    <n v="2"/>
    <x v="12"/>
    <n v="4000"/>
    <m/>
    <m/>
    <m/>
    <m/>
  </r>
  <r>
    <x v="44"/>
    <x v="41"/>
    <s v="C011"/>
    <x v="28"/>
    <s v="Ahmedabad"/>
    <x v="2"/>
    <s v="P018"/>
    <x v="22"/>
    <x v="0"/>
    <n v="1"/>
    <x v="9"/>
    <n v="3000"/>
    <m/>
    <m/>
    <m/>
    <m/>
  </r>
  <r>
    <x v="45"/>
    <x v="42"/>
    <s v="C024"/>
    <x v="6"/>
    <s v="Patna"/>
    <x v="0"/>
    <s v="P018"/>
    <x v="22"/>
    <x v="0"/>
    <n v="2"/>
    <x v="9"/>
    <n v="6000"/>
    <m/>
    <m/>
    <m/>
    <m/>
  </r>
  <r>
    <x v="46"/>
    <x v="43"/>
    <s v="C040"/>
    <x v="31"/>
    <s v="Patna"/>
    <x v="0"/>
    <s v="P001"/>
    <x v="23"/>
    <x v="2"/>
    <n v="4"/>
    <x v="20"/>
    <n v="260000"/>
    <m/>
    <m/>
    <m/>
    <m/>
  </r>
  <r>
    <x v="47"/>
    <x v="44"/>
    <s v="C003"/>
    <x v="32"/>
    <s v="Lucknow"/>
    <x v="3"/>
    <s v="P016"/>
    <x v="8"/>
    <x v="0"/>
    <n v="1"/>
    <x v="8"/>
    <n v="2200"/>
    <m/>
    <m/>
    <m/>
    <m/>
  </r>
  <r>
    <x v="48"/>
    <x v="45"/>
    <s v="C056"/>
    <x v="33"/>
    <s v="Patna"/>
    <x v="0"/>
    <s v="P005"/>
    <x v="15"/>
    <x v="2"/>
    <n v="2"/>
    <x v="13"/>
    <n v="56000"/>
    <m/>
    <m/>
    <m/>
    <m/>
  </r>
  <r>
    <x v="49"/>
    <x v="46"/>
    <s v="C002"/>
    <x v="34"/>
    <s v="Jaipur"/>
    <x v="3"/>
    <s v="P019"/>
    <x v="24"/>
    <x v="3"/>
    <n v="2"/>
    <x v="21"/>
    <n v="6400"/>
    <m/>
    <m/>
    <m/>
    <m/>
  </r>
  <r>
    <x v="50"/>
    <x v="47"/>
    <s v="C037"/>
    <x v="17"/>
    <s v="Kolkata"/>
    <x v="0"/>
    <s v="P029"/>
    <x v="14"/>
    <x v="1"/>
    <n v="2"/>
    <x v="12"/>
    <n v="4000"/>
    <m/>
    <m/>
    <m/>
    <m/>
  </r>
  <r>
    <x v="51"/>
    <x v="48"/>
    <s v="C013"/>
    <x v="35"/>
    <s v="Bengaluru"/>
    <x v="1"/>
    <s v="P007"/>
    <x v="13"/>
    <x v="2"/>
    <n v="1"/>
    <x v="11"/>
    <n v="18000"/>
    <m/>
    <m/>
    <m/>
    <m/>
  </r>
  <r>
    <x v="52"/>
    <x v="49"/>
    <s v="C006"/>
    <x v="36"/>
    <s v="Guwahati"/>
    <x v="0"/>
    <s v="P008"/>
    <x v="21"/>
    <x v="2"/>
    <n v="1"/>
    <x v="19"/>
    <n v="4500"/>
    <m/>
    <m/>
    <m/>
    <m/>
  </r>
  <r>
    <x v="53"/>
    <x v="50"/>
    <s v="C035"/>
    <x v="16"/>
    <s v="Lucknow"/>
    <x v="3"/>
    <s v="P030"/>
    <x v="6"/>
    <x v="1"/>
    <n v="1"/>
    <x v="6"/>
    <n v="3500"/>
    <m/>
    <m/>
    <m/>
    <m/>
  </r>
  <r>
    <x v="54"/>
    <x v="51"/>
    <s v="C012"/>
    <x v="37"/>
    <s v="Surat"/>
    <x v="2"/>
    <s v="P015"/>
    <x v="7"/>
    <x v="0"/>
    <n v="1"/>
    <x v="7"/>
    <n v="9000"/>
    <m/>
    <m/>
    <m/>
    <m/>
  </r>
  <r>
    <x v="55"/>
    <x v="52"/>
    <s v="C059"/>
    <x v="38"/>
    <s v="Ahmedabad"/>
    <x v="2"/>
    <s v="P023"/>
    <x v="25"/>
    <x v="3"/>
    <n v="3"/>
    <x v="10"/>
    <n v="12600"/>
    <m/>
    <m/>
    <m/>
    <m/>
  </r>
  <r>
    <x v="56"/>
    <x v="53"/>
    <s v="C016"/>
    <x v="39"/>
    <s v="Kochi"/>
    <x v="1"/>
    <s v="P029"/>
    <x v="14"/>
    <x v="1"/>
    <n v="2"/>
    <x v="12"/>
    <n v="4000"/>
    <m/>
    <m/>
    <m/>
    <m/>
  </r>
  <r>
    <x v="57"/>
    <x v="54"/>
    <s v="C029"/>
    <x v="11"/>
    <s v="Bengaluru"/>
    <x v="1"/>
    <s v="P023"/>
    <x v="25"/>
    <x v="3"/>
    <n v="1"/>
    <x v="10"/>
    <n v="4200"/>
    <m/>
    <m/>
    <m/>
    <m/>
  </r>
  <r>
    <x v="58"/>
    <x v="55"/>
    <s v="C003"/>
    <x v="32"/>
    <s v="Lucknow"/>
    <x v="3"/>
    <s v="P025"/>
    <x v="26"/>
    <x v="3"/>
    <n v="2"/>
    <x v="22"/>
    <n v="7600"/>
    <m/>
    <m/>
    <m/>
    <m/>
  </r>
  <r>
    <x v="59"/>
    <x v="56"/>
    <s v="C042"/>
    <x v="27"/>
    <s v="Pune"/>
    <x v="2"/>
    <s v="P016"/>
    <x v="8"/>
    <x v="0"/>
    <n v="2"/>
    <x v="8"/>
    <n v="4400"/>
    <m/>
    <m/>
    <m/>
    <m/>
  </r>
  <r>
    <x v="60"/>
    <x v="57"/>
    <s v="C021"/>
    <x v="4"/>
    <s v="Kolkata"/>
    <x v="0"/>
    <s v="P022"/>
    <x v="18"/>
    <x v="3"/>
    <n v="2"/>
    <x v="16"/>
    <n v="9600"/>
    <m/>
    <m/>
    <m/>
    <m/>
  </r>
  <r>
    <x v="61"/>
    <x v="58"/>
    <s v="C042"/>
    <x v="27"/>
    <s v="Pune"/>
    <x v="2"/>
    <s v="P020"/>
    <x v="5"/>
    <x v="3"/>
    <n v="1"/>
    <x v="5"/>
    <n v="1600"/>
    <m/>
    <m/>
    <m/>
    <m/>
  </r>
  <r>
    <x v="62"/>
    <x v="59"/>
    <s v="C019"/>
    <x v="40"/>
    <s v="Lucknow"/>
    <x v="3"/>
    <s v="P029"/>
    <x v="14"/>
    <x v="1"/>
    <n v="1"/>
    <x v="12"/>
    <n v="2000"/>
    <m/>
    <m/>
    <m/>
    <m/>
  </r>
  <r>
    <x v="63"/>
    <x v="60"/>
    <s v="C004"/>
    <x v="41"/>
    <s v="Chandigarh"/>
    <x v="3"/>
    <s v="P010"/>
    <x v="10"/>
    <x v="2"/>
    <n v="2"/>
    <x v="8"/>
    <n v="4400"/>
    <m/>
    <m/>
    <m/>
    <m/>
  </r>
  <r>
    <x v="64"/>
    <x v="61"/>
    <s v="C008"/>
    <x v="0"/>
    <s v="Patna"/>
    <x v="0"/>
    <s v="P008"/>
    <x v="21"/>
    <x v="2"/>
    <n v="3"/>
    <x v="19"/>
    <n v="13500"/>
    <m/>
    <m/>
    <m/>
    <m/>
  </r>
  <r>
    <x v="65"/>
    <x v="62"/>
    <s v="C022"/>
    <x v="18"/>
    <s v="Guwahati"/>
    <x v="0"/>
    <s v="P008"/>
    <x v="21"/>
    <x v="2"/>
    <n v="1"/>
    <x v="19"/>
    <n v="4500"/>
    <m/>
    <m/>
    <m/>
    <m/>
  </r>
  <r>
    <x v="66"/>
    <x v="63"/>
    <s v="C001"/>
    <x v="42"/>
    <s v="Delhi"/>
    <x v="3"/>
    <s v="P025"/>
    <x v="26"/>
    <x v="3"/>
    <n v="1"/>
    <x v="22"/>
    <n v="3800"/>
    <m/>
    <m/>
    <m/>
    <m/>
  </r>
  <r>
    <x v="67"/>
    <x v="64"/>
    <s v="C001"/>
    <x v="42"/>
    <s v="Delhi"/>
    <x v="3"/>
    <s v="P003"/>
    <x v="4"/>
    <x v="2"/>
    <n v="1"/>
    <x v="4"/>
    <n v="30000"/>
    <m/>
    <m/>
    <m/>
    <m/>
  </r>
  <r>
    <x v="68"/>
    <x v="65"/>
    <s v="C007"/>
    <x v="8"/>
    <s v="Bhubaneswar"/>
    <x v="0"/>
    <s v="P017"/>
    <x v="2"/>
    <x v="0"/>
    <n v="1"/>
    <x v="2"/>
    <n v="15000"/>
    <m/>
    <m/>
    <m/>
    <m/>
  </r>
  <r>
    <x v="69"/>
    <x v="3"/>
    <s v="C034"/>
    <x v="43"/>
    <s v="Jaipur"/>
    <x v="3"/>
    <s v="P019"/>
    <x v="24"/>
    <x v="3"/>
    <n v="1"/>
    <x v="21"/>
    <n v="3200"/>
    <m/>
    <m/>
    <m/>
    <m/>
  </r>
  <r>
    <x v="70"/>
    <x v="66"/>
    <s v="C029"/>
    <x v="11"/>
    <s v="Bengaluru"/>
    <x v="1"/>
    <s v="P018"/>
    <x v="22"/>
    <x v="0"/>
    <n v="1"/>
    <x v="9"/>
    <n v="3000"/>
    <m/>
    <m/>
    <m/>
    <m/>
  </r>
  <r>
    <x v="71"/>
    <x v="67"/>
    <s v="C073"/>
    <x v="12"/>
    <s v="Mumbai"/>
    <x v="2"/>
    <s v="P026"/>
    <x v="1"/>
    <x v="1"/>
    <n v="1"/>
    <x v="1"/>
    <n v="2400"/>
    <m/>
    <m/>
    <m/>
    <m/>
  </r>
  <r>
    <x v="72"/>
    <x v="68"/>
    <s v="C037"/>
    <x v="17"/>
    <s v="Kolkata"/>
    <x v="0"/>
    <s v="P030"/>
    <x v="6"/>
    <x v="1"/>
    <n v="1"/>
    <x v="6"/>
    <n v="3500"/>
    <m/>
    <m/>
    <m/>
    <m/>
  </r>
  <r>
    <x v="73"/>
    <x v="69"/>
    <s v="C071"/>
    <x v="1"/>
    <s v="Bhubaneswar"/>
    <x v="0"/>
    <s v="P010"/>
    <x v="10"/>
    <x v="2"/>
    <n v="3"/>
    <x v="8"/>
    <n v="6600"/>
    <m/>
    <m/>
    <m/>
    <m/>
  </r>
  <r>
    <x v="74"/>
    <x v="16"/>
    <s v="C021"/>
    <x v="4"/>
    <s v="Kolkata"/>
    <x v="0"/>
    <s v="P009"/>
    <x v="27"/>
    <x v="2"/>
    <n v="1"/>
    <x v="23"/>
    <n v="2500"/>
    <m/>
    <m/>
    <m/>
    <m/>
  </r>
  <r>
    <x v="75"/>
    <x v="70"/>
    <s v="C031"/>
    <x v="2"/>
    <s v="Hyderabad"/>
    <x v="1"/>
    <s v="P017"/>
    <x v="2"/>
    <x v="0"/>
    <n v="2"/>
    <x v="2"/>
    <n v="30000"/>
    <m/>
    <m/>
    <m/>
    <m/>
  </r>
  <r>
    <x v="76"/>
    <x v="71"/>
    <s v="C024"/>
    <x v="6"/>
    <s v="Patna"/>
    <x v="0"/>
    <s v="P016"/>
    <x v="8"/>
    <x v="0"/>
    <n v="1"/>
    <x v="8"/>
    <n v="2200"/>
    <m/>
    <m/>
    <m/>
    <m/>
  </r>
  <r>
    <x v="77"/>
    <x v="21"/>
    <s v="C009"/>
    <x v="30"/>
    <s v="Mumbai"/>
    <x v="2"/>
    <s v="P001"/>
    <x v="23"/>
    <x v="2"/>
    <n v="1"/>
    <x v="20"/>
    <n v="65000"/>
    <m/>
    <m/>
    <m/>
    <m/>
  </r>
  <r>
    <x v="78"/>
    <x v="72"/>
    <s v="C049"/>
    <x v="29"/>
    <s v="Delhi"/>
    <x v="3"/>
    <s v="P020"/>
    <x v="5"/>
    <x v="3"/>
    <n v="1"/>
    <x v="5"/>
    <n v="1600"/>
    <m/>
    <m/>
    <m/>
    <m/>
  </r>
  <r>
    <x v="79"/>
    <x v="73"/>
    <s v="C009"/>
    <x v="30"/>
    <s v="Mumbai"/>
    <x v="2"/>
    <s v="P011"/>
    <x v="28"/>
    <x v="0"/>
    <n v="1"/>
    <x v="24"/>
    <n v="6500"/>
    <m/>
    <m/>
    <m/>
    <m/>
  </r>
  <r>
    <x v="80"/>
    <x v="74"/>
    <s v="C031"/>
    <x v="2"/>
    <s v="Hyderabad"/>
    <x v="1"/>
    <s v="P006"/>
    <x v="3"/>
    <x v="2"/>
    <n v="1"/>
    <x v="3"/>
    <n v="12000"/>
    <m/>
    <m/>
    <m/>
    <m/>
  </r>
  <r>
    <x v="81"/>
    <x v="75"/>
    <s v="C003"/>
    <x v="32"/>
    <s v="Lucknow"/>
    <x v="3"/>
    <s v="P021"/>
    <x v="9"/>
    <x v="3"/>
    <n v="2"/>
    <x v="1"/>
    <n v="4800"/>
    <m/>
    <m/>
    <m/>
    <m/>
  </r>
  <r>
    <x v="82"/>
    <x v="76"/>
    <s v="C029"/>
    <x v="11"/>
    <s v="Bengaluru"/>
    <x v="1"/>
    <s v="P007"/>
    <x v="13"/>
    <x v="2"/>
    <n v="1"/>
    <x v="11"/>
    <n v="18000"/>
    <m/>
    <m/>
    <m/>
    <m/>
  </r>
  <r>
    <x v="83"/>
    <x v="77"/>
    <s v="C001"/>
    <x v="42"/>
    <s v="Delhi"/>
    <x v="3"/>
    <s v="P016"/>
    <x v="8"/>
    <x v="0"/>
    <n v="1"/>
    <x v="8"/>
    <n v="2200"/>
    <m/>
    <m/>
    <m/>
    <m/>
  </r>
  <r>
    <x v="84"/>
    <x v="78"/>
    <s v="C023"/>
    <x v="44"/>
    <s v="Bhubaneswar"/>
    <x v="0"/>
    <s v="P028"/>
    <x v="20"/>
    <x v="1"/>
    <n v="1"/>
    <x v="18"/>
    <n v="1400"/>
    <m/>
    <m/>
    <m/>
    <m/>
  </r>
  <r>
    <x v="85"/>
    <x v="25"/>
    <s v="C012"/>
    <x v="37"/>
    <s v="Surat"/>
    <x v="2"/>
    <s v="P001"/>
    <x v="23"/>
    <x v="2"/>
    <n v="3"/>
    <x v="20"/>
    <n v="195000"/>
    <m/>
    <m/>
    <m/>
    <m/>
  </r>
  <r>
    <x v="86"/>
    <x v="24"/>
    <s v="C024"/>
    <x v="6"/>
    <s v="Patna"/>
    <x v="0"/>
    <s v="P015"/>
    <x v="7"/>
    <x v="0"/>
    <n v="1"/>
    <x v="7"/>
    <n v="9000"/>
    <m/>
    <m/>
    <m/>
    <m/>
  </r>
  <r>
    <x v="87"/>
    <x v="79"/>
    <s v="C063"/>
    <x v="45"/>
    <s v="Hyderabad"/>
    <x v="1"/>
    <s v="P019"/>
    <x v="24"/>
    <x v="3"/>
    <n v="1"/>
    <x v="21"/>
    <n v="3200"/>
    <m/>
    <m/>
    <m/>
    <m/>
  </r>
  <r>
    <x v="88"/>
    <x v="80"/>
    <s v="C072"/>
    <x v="46"/>
    <s v="Patna"/>
    <x v="0"/>
    <s v="P020"/>
    <x v="5"/>
    <x v="3"/>
    <n v="4"/>
    <x v="5"/>
    <n v="6400"/>
    <m/>
    <m/>
    <m/>
    <m/>
  </r>
  <r>
    <x v="89"/>
    <x v="81"/>
    <s v="C068"/>
    <x v="20"/>
    <s v="Chandigarh"/>
    <x v="3"/>
    <s v="P011"/>
    <x v="28"/>
    <x v="0"/>
    <n v="4"/>
    <x v="24"/>
    <n v="26000"/>
    <m/>
    <m/>
    <m/>
    <m/>
  </r>
  <r>
    <x v="90"/>
    <x v="82"/>
    <s v="C016"/>
    <x v="39"/>
    <s v="Kochi"/>
    <x v="1"/>
    <s v="P024"/>
    <x v="11"/>
    <x v="3"/>
    <n v="3"/>
    <x v="9"/>
    <n v="9000"/>
    <m/>
    <m/>
    <m/>
    <m/>
  </r>
  <r>
    <x v="91"/>
    <x v="83"/>
    <s v="C027"/>
    <x v="23"/>
    <s v="Ahmedabad"/>
    <x v="2"/>
    <s v="P013"/>
    <x v="12"/>
    <x v="0"/>
    <n v="2"/>
    <x v="10"/>
    <n v="8400"/>
    <m/>
    <m/>
    <m/>
    <m/>
  </r>
  <r>
    <x v="92"/>
    <x v="84"/>
    <s v="C036"/>
    <x v="15"/>
    <s v="Chandigarh"/>
    <x v="3"/>
    <s v="P023"/>
    <x v="25"/>
    <x v="3"/>
    <n v="1"/>
    <x v="10"/>
    <n v="4200"/>
    <m/>
    <m/>
    <m/>
    <m/>
  </r>
  <r>
    <x v="93"/>
    <x v="85"/>
    <s v="C011"/>
    <x v="28"/>
    <s v="Ahmedabad"/>
    <x v="2"/>
    <s v="P011"/>
    <x v="28"/>
    <x v="0"/>
    <n v="3"/>
    <x v="24"/>
    <n v="19500"/>
    <m/>
    <m/>
    <m/>
    <m/>
  </r>
  <r>
    <x v="94"/>
    <x v="21"/>
    <s v="C071"/>
    <x v="1"/>
    <s v="Bhubaneswar"/>
    <x v="0"/>
    <s v="P024"/>
    <x v="11"/>
    <x v="3"/>
    <n v="2"/>
    <x v="9"/>
    <n v="6000"/>
    <m/>
    <m/>
    <m/>
    <m/>
  </r>
  <r>
    <x v="95"/>
    <x v="86"/>
    <s v="C059"/>
    <x v="38"/>
    <s v="Ahmedabad"/>
    <x v="2"/>
    <s v="P019"/>
    <x v="24"/>
    <x v="3"/>
    <n v="1"/>
    <x v="21"/>
    <n v="3200"/>
    <m/>
    <m/>
    <m/>
    <m/>
  </r>
  <r>
    <x v="96"/>
    <x v="87"/>
    <s v="C040"/>
    <x v="31"/>
    <s v="Patna"/>
    <x v="0"/>
    <s v="P007"/>
    <x v="13"/>
    <x v="2"/>
    <n v="5"/>
    <x v="11"/>
    <n v="90000"/>
    <m/>
    <m/>
    <m/>
    <m/>
  </r>
  <r>
    <x v="97"/>
    <x v="88"/>
    <s v="C002"/>
    <x v="34"/>
    <s v="Jaipur"/>
    <x v="3"/>
    <s v="P006"/>
    <x v="3"/>
    <x v="2"/>
    <n v="2"/>
    <x v="3"/>
    <n v="24000"/>
    <m/>
    <m/>
    <m/>
    <m/>
  </r>
  <r>
    <x v="98"/>
    <x v="89"/>
    <s v="C042"/>
    <x v="27"/>
    <s v="Pune"/>
    <x v="2"/>
    <s v="P029"/>
    <x v="14"/>
    <x v="1"/>
    <n v="2"/>
    <x v="12"/>
    <n v="4000"/>
    <m/>
    <m/>
    <m/>
    <m/>
  </r>
  <r>
    <x v="99"/>
    <x v="90"/>
    <s v="C072"/>
    <x v="46"/>
    <s v="Patna"/>
    <x v="0"/>
    <s v="P024"/>
    <x v="11"/>
    <x v="3"/>
    <n v="1"/>
    <x v="9"/>
    <n v="3000"/>
    <m/>
    <m/>
    <m/>
    <m/>
  </r>
  <r>
    <x v="100"/>
    <x v="91"/>
    <s v="C037"/>
    <x v="17"/>
    <s v="Kolkata"/>
    <x v="0"/>
    <s v="P002"/>
    <x v="17"/>
    <x v="2"/>
    <n v="1"/>
    <x v="15"/>
    <n v="52000"/>
    <m/>
    <m/>
    <m/>
    <m/>
  </r>
  <r>
    <x v="101"/>
    <x v="78"/>
    <s v="C019"/>
    <x v="40"/>
    <s v="Lucknow"/>
    <x v="3"/>
    <s v="P001"/>
    <x v="23"/>
    <x v="2"/>
    <n v="2"/>
    <x v="20"/>
    <n v="130000"/>
    <m/>
    <m/>
    <m/>
    <m/>
  </r>
  <r>
    <x v="102"/>
    <x v="92"/>
    <s v="C013"/>
    <x v="35"/>
    <s v="Bengaluru"/>
    <x v="1"/>
    <s v="P027"/>
    <x v="29"/>
    <x v="1"/>
    <n v="2"/>
    <x v="25"/>
    <n v="11000"/>
    <m/>
    <m/>
    <m/>
    <m/>
  </r>
  <r>
    <x v="103"/>
    <x v="93"/>
    <s v="C026"/>
    <x v="19"/>
    <s v="Pune"/>
    <x v="2"/>
    <s v="P029"/>
    <x v="14"/>
    <x v="1"/>
    <n v="4"/>
    <x v="12"/>
    <n v="8000"/>
    <m/>
    <m/>
    <m/>
    <m/>
  </r>
  <r>
    <x v="104"/>
    <x v="43"/>
    <s v="C047"/>
    <x v="25"/>
    <s v="Hyderabad"/>
    <x v="1"/>
    <s v="P025"/>
    <x v="26"/>
    <x v="3"/>
    <n v="1"/>
    <x v="22"/>
    <n v="3800"/>
    <m/>
    <m/>
    <m/>
    <m/>
  </r>
  <r>
    <x v="105"/>
    <x v="94"/>
    <s v="C031"/>
    <x v="2"/>
    <s v="Hyderabad"/>
    <x v="1"/>
    <s v="P024"/>
    <x v="11"/>
    <x v="3"/>
    <n v="1"/>
    <x v="9"/>
    <n v="3000"/>
    <m/>
    <m/>
    <m/>
    <m/>
  </r>
  <r>
    <x v="106"/>
    <x v="95"/>
    <s v="C037"/>
    <x v="17"/>
    <s v="Kolkata"/>
    <x v="0"/>
    <s v="P005"/>
    <x v="15"/>
    <x v="2"/>
    <n v="1"/>
    <x v="13"/>
    <n v="28000"/>
    <m/>
    <m/>
    <m/>
    <m/>
  </r>
  <r>
    <x v="107"/>
    <x v="96"/>
    <s v="C003"/>
    <x v="32"/>
    <s v="Lucknow"/>
    <x v="3"/>
    <s v="P003"/>
    <x v="4"/>
    <x v="2"/>
    <n v="3"/>
    <x v="4"/>
    <n v="90000"/>
    <m/>
    <m/>
    <m/>
    <m/>
  </r>
  <r>
    <x v="108"/>
    <x v="97"/>
    <s v="C049"/>
    <x v="29"/>
    <s v="Delhi"/>
    <x v="3"/>
    <s v="P001"/>
    <x v="23"/>
    <x v="2"/>
    <n v="1"/>
    <x v="20"/>
    <n v="65000"/>
    <m/>
    <m/>
    <m/>
    <m/>
  </r>
  <r>
    <x v="109"/>
    <x v="98"/>
    <s v="C022"/>
    <x v="18"/>
    <s v="Guwahati"/>
    <x v="0"/>
    <s v="P015"/>
    <x v="7"/>
    <x v="0"/>
    <n v="2"/>
    <x v="7"/>
    <n v="18000"/>
    <m/>
    <m/>
    <m/>
    <m/>
  </r>
  <r>
    <x v="110"/>
    <x v="85"/>
    <s v="C009"/>
    <x v="30"/>
    <s v="Mumbai"/>
    <x v="2"/>
    <s v="P030"/>
    <x v="6"/>
    <x v="1"/>
    <n v="1"/>
    <x v="6"/>
    <n v="3500"/>
    <m/>
    <m/>
    <m/>
    <m/>
  </r>
  <r>
    <x v="111"/>
    <x v="99"/>
    <s v="C063"/>
    <x v="45"/>
    <s v="Hyderabad"/>
    <x v="1"/>
    <s v="P002"/>
    <x v="17"/>
    <x v="2"/>
    <n v="2"/>
    <x v="15"/>
    <n v="104000"/>
    <m/>
    <m/>
    <m/>
    <m/>
  </r>
  <r>
    <x v="112"/>
    <x v="11"/>
    <s v="C049"/>
    <x v="29"/>
    <s v="Delhi"/>
    <x v="3"/>
    <s v="P009"/>
    <x v="27"/>
    <x v="2"/>
    <n v="1"/>
    <x v="23"/>
    <n v="2500"/>
    <m/>
    <m/>
    <m/>
    <m/>
  </r>
  <r>
    <x v="113"/>
    <x v="100"/>
    <s v="C037"/>
    <x v="17"/>
    <s v="Kolkata"/>
    <x v="0"/>
    <s v="P024"/>
    <x v="11"/>
    <x v="3"/>
    <n v="3"/>
    <x v="9"/>
    <n v="9000"/>
    <m/>
    <m/>
    <m/>
    <m/>
  </r>
  <r>
    <x v="114"/>
    <x v="101"/>
    <s v="C068"/>
    <x v="20"/>
    <s v="Chandigarh"/>
    <x v="3"/>
    <s v="P009"/>
    <x v="27"/>
    <x v="2"/>
    <n v="2"/>
    <x v="23"/>
    <n v="5000"/>
    <m/>
    <m/>
    <m/>
    <m/>
  </r>
  <r>
    <x v="115"/>
    <x v="102"/>
    <s v="C007"/>
    <x v="8"/>
    <s v="Bhubaneswar"/>
    <x v="0"/>
    <s v="P014"/>
    <x v="0"/>
    <x v="0"/>
    <n v="1"/>
    <x v="0"/>
    <n v="11000"/>
    <m/>
    <m/>
    <m/>
    <m/>
  </r>
  <r>
    <x v="116"/>
    <x v="103"/>
    <s v="C050"/>
    <x v="14"/>
    <s v="Jaipur"/>
    <x v="3"/>
    <s v="P004"/>
    <x v="19"/>
    <x v="2"/>
    <n v="1"/>
    <x v="17"/>
    <n v="22000"/>
    <m/>
    <m/>
    <m/>
    <m/>
  </r>
  <r>
    <x v="117"/>
    <x v="104"/>
    <s v="C024"/>
    <x v="6"/>
    <s v="Patna"/>
    <x v="0"/>
    <s v="P027"/>
    <x v="29"/>
    <x v="1"/>
    <n v="3"/>
    <x v="25"/>
    <n v="16500"/>
    <m/>
    <m/>
    <m/>
    <m/>
  </r>
  <r>
    <x v="118"/>
    <x v="105"/>
    <s v="C029"/>
    <x v="11"/>
    <s v="Bengaluru"/>
    <x v="1"/>
    <s v="P005"/>
    <x v="15"/>
    <x v="2"/>
    <n v="1"/>
    <x v="13"/>
    <n v="28000"/>
    <m/>
    <m/>
    <m/>
    <m/>
  </r>
  <r>
    <x v="119"/>
    <x v="65"/>
    <s v="C052"/>
    <x v="5"/>
    <s v="Chandigarh"/>
    <x v="3"/>
    <s v="P009"/>
    <x v="27"/>
    <x v="2"/>
    <n v="1"/>
    <x v="23"/>
    <n v="2500"/>
    <m/>
    <m/>
    <m/>
    <m/>
  </r>
  <r>
    <x v="120"/>
    <x v="106"/>
    <s v="C060"/>
    <x v="47"/>
    <s v="Surat"/>
    <x v="2"/>
    <s v="P010"/>
    <x v="10"/>
    <x v="2"/>
    <n v="1"/>
    <x v="8"/>
    <n v="2200"/>
    <m/>
    <m/>
    <m/>
    <m/>
  </r>
  <r>
    <x v="121"/>
    <x v="107"/>
    <s v="C042"/>
    <x v="27"/>
    <s v="Pune"/>
    <x v="2"/>
    <s v="P022"/>
    <x v="18"/>
    <x v="3"/>
    <n v="1"/>
    <x v="16"/>
    <n v="4800"/>
    <m/>
    <m/>
    <m/>
    <m/>
  </r>
  <r>
    <x v="122"/>
    <x v="51"/>
    <s v="C063"/>
    <x v="45"/>
    <s v="Hyderabad"/>
    <x v="1"/>
    <s v="P009"/>
    <x v="27"/>
    <x v="2"/>
    <n v="1"/>
    <x v="23"/>
    <n v="2500"/>
    <m/>
    <m/>
    <m/>
    <m/>
  </r>
  <r>
    <x v="123"/>
    <x v="108"/>
    <s v="C040"/>
    <x v="31"/>
    <s v="Patna"/>
    <x v="0"/>
    <s v="P007"/>
    <x v="13"/>
    <x v="2"/>
    <n v="4"/>
    <x v="11"/>
    <n v="72000"/>
    <m/>
    <m/>
    <m/>
    <m/>
  </r>
  <r>
    <x v="124"/>
    <x v="109"/>
    <s v="C042"/>
    <x v="27"/>
    <s v="Pune"/>
    <x v="2"/>
    <s v="P003"/>
    <x v="4"/>
    <x v="2"/>
    <n v="2"/>
    <x v="4"/>
    <n v="60000"/>
    <m/>
    <m/>
    <m/>
    <m/>
  </r>
  <r>
    <x v="125"/>
    <x v="110"/>
    <s v="C048"/>
    <x v="26"/>
    <s v="Kochi"/>
    <x v="1"/>
    <s v="P011"/>
    <x v="28"/>
    <x v="0"/>
    <n v="2"/>
    <x v="24"/>
    <n v="13000"/>
    <m/>
    <m/>
    <m/>
    <m/>
  </r>
  <r>
    <x v="126"/>
    <x v="42"/>
    <s v="C050"/>
    <x v="14"/>
    <s v="Jaipur"/>
    <x v="3"/>
    <s v="P009"/>
    <x v="27"/>
    <x v="2"/>
    <n v="2"/>
    <x v="23"/>
    <n v="5000"/>
    <m/>
    <m/>
    <m/>
    <m/>
  </r>
  <r>
    <x v="127"/>
    <x v="111"/>
    <s v="C037"/>
    <x v="17"/>
    <s v="Kolkata"/>
    <x v="0"/>
    <s v="P020"/>
    <x v="5"/>
    <x v="3"/>
    <n v="4"/>
    <x v="5"/>
    <n v="6400"/>
    <m/>
    <m/>
    <m/>
    <m/>
  </r>
  <r>
    <x v="128"/>
    <x v="5"/>
    <s v="C050"/>
    <x v="14"/>
    <s v="Jaipur"/>
    <x v="3"/>
    <s v="P016"/>
    <x v="8"/>
    <x v="0"/>
    <n v="1"/>
    <x v="8"/>
    <n v="2200"/>
    <m/>
    <m/>
    <m/>
    <m/>
  </r>
  <r>
    <x v="129"/>
    <x v="112"/>
    <s v="C049"/>
    <x v="29"/>
    <s v="Delhi"/>
    <x v="3"/>
    <s v="P002"/>
    <x v="17"/>
    <x v="2"/>
    <n v="2"/>
    <x v="15"/>
    <n v="104000"/>
    <m/>
    <m/>
    <m/>
    <m/>
  </r>
  <r>
    <x v="130"/>
    <x v="113"/>
    <s v="C001"/>
    <x v="42"/>
    <s v="Delhi"/>
    <x v="3"/>
    <s v="P016"/>
    <x v="8"/>
    <x v="0"/>
    <n v="1"/>
    <x v="8"/>
    <n v="2200"/>
    <m/>
    <m/>
    <m/>
    <m/>
  </r>
  <r>
    <x v="131"/>
    <x v="114"/>
    <s v="C043"/>
    <x v="3"/>
    <s v="Ahmedabad"/>
    <x v="2"/>
    <s v="P018"/>
    <x v="22"/>
    <x v="0"/>
    <n v="3"/>
    <x v="9"/>
    <n v="9000"/>
    <m/>
    <m/>
    <m/>
    <m/>
  </r>
  <r>
    <x v="132"/>
    <x v="115"/>
    <s v="C036"/>
    <x v="15"/>
    <s v="Chandigarh"/>
    <x v="3"/>
    <s v="P001"/>
    <x v="23"/>
    <x v="2"/>
    <n v="2"/>
    <x v="20"/>
    <n v="130000"/>
    <m/>
    <m/>
    <m/>
    <m/>
  </r>
  <r>
    <x v="133"/>
    <x v="116"/>
    <s v="C050"/>
    <x v="14"/>
    <s v="Jaipur"/>
    <x v="3"/>
    <s v="P028"/>
    <x v="20"/>
    <x v="1"/>
    <n v="1"/>
    <x v="18"/>
    <n v="1400"/>
    <m/>
    <m/>
    <m/>
    <m/>
  </r>
  <r>
    <x v="134"/>
    <x v="117"/>
    <s v="C015"/>
    <x v="48"/>
    <s v="Hyderabad"/>
    <x v="1"/>
    <s v="P013"/>
    <x v="12"/>
    <x v="0"/>
    <n v="2"/>
    <x v="10"/>
    <n v="8400"/>
    <m/>
    <m/>
    <m/>
    <m/>
  </r>
  <r>
    <x v="135"/>
    <x v="93"/>
    <s v="C027"/>
    <x v="23"/>
    <s v="Ahmedabad"/>
    <x v="2"/>
    <s v="P016"/>
    <x v="8"/>
    <x v="0"/>
    <n v="2"/>
    <x v="8"/>
    <n v="4400"/>
    <m/>
    <m/>
    <m/>
    <m/>
  </r>
  <r>
    <x v="136"/>
    <x v="118"/>
    <s v="C001"/>
    <x v="42"/>
    <s v="Delhi"/>
    <x v="3"/>
    <s v="P003"/>
    <x v="4"/>
    <x v="2"/>
    <n v="4"/>
    <x v="4"/>
    <n v="120000"/>
    <m/>
    <m/>
    <m/>
    <m/>
  </r>
  <r>
    <x v="137"/>
    <x v="119"/>
    <s v="C070"/>
    <x v="24"/>
    <s v="Guwahati"/>
    <x v="0"/>
    <s v="P005"/>
    <x v="15"/>
    <x v="2"/>
    <n v="1"/>
    <x v="13"/>
    <n v="28000"/>
    <m/>
    <m/>
    <m/>
    <m/>
  </r>
  <r>
    <x v="138"/>
    <x v="45"/>
    <s v="C023"/>
    <x v="44"/>
    <s v="Bhubaneswar"/>
    <x v="0"/>
    <s v="P017"/>
    <x v="2"/>
    <x v="0"/>
    <n v="2"/>
    <x v="2"/>
    <n v="30000"/>
    <m/>
    <m/>
    <m/>
    <m/>
  </r>
  <r>
    <x v="139"/>
    <x v="72"/>
    <s v="C043"/>
    <x v="3"/>
    <s v="Ahmedabad"/>
    <x v="2"/>
    <s v="P004"/>
    <x v="19"/>
    <x v="2"/>
    <n v="1"/>
    <x v="17"/>
    <n v="22000"/>
    <m/>
    <m/>
    <m/>
    <m/>
  </r>
  <r>
    <x v="140"/>
    <x v="0"/>
    <s v="C031"/>
    <x v="2"/>
    <s v="Hyderabad"/>
    <x v="1"/>
    <s v="P005"/>
    <x v="15"/>
    <x v="2"/>
    <n v="5"/>
    <x v="13"/>
    <n v="140000"/>
    <m/>
    <m/>
    <m/>
    <m/>
  </r>
  <r>
    <x v="141"/>
    <x v="104"/>
    <s v="C074"/>
    <x v="49"/>
    <s v="Pune"/>
    <x v="2"/>
    <s v="P027"/>
    <x v="29"/>
    <x v="1"/>
    <n v="2"/>
    <x v="25"/>
    <n v="11000"/>
    <m/>
    <m/>
    <m/>
    <m/>
  </r>
  <r>
    <x v="142"/>
    <x v="120"/>
    <s v="C024"/>
    <x v="6"/>
    <s v="Patna"/>
    <x v="0"/>
    <s v="P008"/>
    <x v="21"/>
    <x v="2"/>
    <n v="1"/>
    <x v="19"/>
    <n v="4500"/>
    <m/>
    <m/>
    <m/>
    <m/>
  </r>
  <r>
    <x v="143"/>
    <x v="121"/>
    <s v="C067"/>
    <x v="9"/>
    <s v="Lucknow"/>
    <x v="3"/>
    <s v="P025"/>
    <x v="26"/>
    <x v="3"/>
    <n v="2"/>
    <x v="22"/>
    <n v="7600"/>
    <m/>
    <m/>
    <m/>
    <m/>
  </r>
  <r>
    <x v="144"/>
    <x v="122"/>
    <s v="C010"/>
    <x v="50"/>
    <s v="Pune"/>
    <x v="2"/>
    <s v="P014"/>
    <x v="0"/>
    <x v="0"/>
    <n v="1"/>
    <x v="0"/>
    <n v="11000"/>
    <m/>
    <m/>
    <m/>
    <m/>
  </r>
  <r>
    <x v="145"/>
    <x v="123"/>
    <s v="C056"/>
    <x v="33"/>
    <s v="Patna"/>
    <x v="0"/>
    <s v="P005"/>
    <x v="15"/>
    <x v="2"/>
    <n v="1"/>
    <x v="13"/>
    <n v="28000"/>
    <m/>
    <m/>
    <m/>
    <m/>
  </r>
  <r>
    <x v="146"/>
    <x v="84"/>
    <s v="C054"/>
    <x v="51"/>
    <s v="Guwahati"/>
    <x v="0"/>
    <s v="P008"/>
    <x v="21"/>
    <x v="2"/>
    <n v="1"/>
    <x v="19"/>
    <n v="4500"/>
    <m/>
    <m/>
    <m/>
    <m/>
  </r>
  <r>
    <x v="147"/>
    <x v="124"/>
    <s v="C030"/>
    <x v="52"/>
    <s v="Chennai"/>
    <x v="1"/>
    <s v="P002"/>
    <x v="17"/>
    <x v="2"/>
    <n v="2"/>
    <x v="15"/>
    <n v="104000"/>
    <m/>
    <m/>
    <m/>
    <m/>
  </r>
  <r>
    <x v="148"/>
    <x v="125"/>
    <s v="C051"/>
    <x v="53"/>
    <s v="Lucknow"/>
    <x v="3"/>
    <s v="P023"/>
    <x v="25"/>
    <x v="3"/>
    <n v="5"/>
    <x v="10"/>
    <n v="21000"/>
    <m/>
    <m/>
    <m/>
    <m/>
  </r>
  <r>
    <x v="149"/>
    <x v="21"/>
    <s v="C046"/>
    <x v="54"/>
    <s v="Chennai"/>
    <x v="1"/>
    <s v="P025"/>
    <x v="26"/>
    <x v="3"/>
    <n v="2"/>
    <x v="22"/>
    <n v="7600"/>
    <m/>
    <m/>
    <m/>
    <m/>
  </r>
  <r>
    <x v="150"/>
    <x v="81"/>
    <s v="C036"/>
    <x v="15"/>
    <s v="Chandigarh"/>
    <x v="3"/>
    <s v="P020"/>
    <x v="5"/>
    <x v="3"/>
    <n v="1"/>
    <x v="5"/>
    <n v="1600"/>
    <m/>
    <m/>
    <m/>
    <m/>
  </r>
  <r>
    <x v="151"/>
    <x v="126"/>
    <s v="C074"/>
    <x v="49"/>
    <s v="Pune"/>
    <x v="2"/>
    <s v="P025"/>
    <x v="26"/>
    <x v="3"/>
    <n v="2"/>
    <x v="22"/>
    <n v="7600"/>
    <m/>
    <m/>
    <m/>
    <m/>
  </r>
  <r>
    <x v="152"/>
    <x v="127"/>
    <s v="C072"/>
    <x v="46"/>
    <s v="Patna"/>
    <x v="0"/>
    <s v="P029"/>
    <x v="14"/>
    <x v="1"/>
    <n v="2"/>
    <x v="12"/>
    <n v="4000"/>
    <m/>
    <m/>
    <m/>
    <m/>
  </r>
  <r>
    <x v="153"/>
    <x v="128"/>
    <s v="C028"/>
    <x v="55"/>
    <s v="Surat"/>
    <x v="2"/>
    <s v="P003"/>
    <x v="4"/>
    <x v="2"/>
    <n v="4"/>
    <x v="4"/>
    <n v="120000"/>
    <m/>
    <m/>
    <m/>
    <m/>
  </r>
  <r>
    <x v="154"/>
    <x v="15"/>
    <s v="C003"/>
    <x v="32"/>
    <s v="Lucknow"/>
    <x v="3"/>
    <s v="P006"/>
    <x v="3"/>
    <x v="2"/>
    <n v="1"/>
    <x v="3"/>
    <n v="12000"/>
    <m/>
    <m/>
    <m/>
    <m/>
  </r>
  <r>
    <x v="155"/>
    <x v="129"/>
    <s v="C038"/>
    <x v="56"/>
    <s v="Guwahati"/>
    <x v="0"/>
    <s v="P015"/>
    <x v="7"/>
    <x v="0"/>
    <n v="2"/>
    <x v="7"/>
    <n v="18000"/>
    <m/>
    <m/>
    <m/>
    <m/>
  </r>
  <r>
    <x v="156"/>
    <x v="42"/>
    <s v="C052"/>
    <x v="5"/>
    <s v="Chandigarh"/>
    <x v="3"/>
    <s v="P004"/>
    <x v="19"/>
    <x v="2"/>
    <n v="3"/>
    <x v="17"/>
    <n v="66000"/>
    <m/>
    <m/>
    <m/>
    <m/>
  </r>
  <r>
    <x v="157"/>
    <x v="130"/>
    <s v="C024"/>
    <x v="6"/>
    <s v="Patna"/>
    <x v="0"/>
    <s v="P030"/>
    <x v="6"/>
    <x v="1"/>
    <n v="2"/>
    <x v="6"/>
    <n v="7000"/>
    <m/>
    <m/>
    <m/>
    <m/>
  </r>
  <r>
    <x v="158"/>
    <x v="131"/>
    <s v="C053"/>
    <x v="57"/>
    <s v="Kolkata"/>
    <x v="0"/>
    <s v="P005"/>
    <x v="15"/>
    <x v="2"/>
    <n v="2"/>
    <x v="13"/>
    <n v="56000"/>
    <m/>
    <m/>
    <m/>
    <m/>
  </r>
  <r>
    <x v="159"/>
    <x v="58"/>
    <s v="C073"/>
    <x v="12"/>
    <s v="Mumbai"/>
    <x v="2"/>
    <s v="P022"/>
    <x v="18"/>
    <x v="3"/>
    <n v="2"/>
    <x v="16"/>
    <n v="9600"/>
    <m/>
    <m/>
    <m/>
    <m/>
  </r>
  <r>
    <x v="160"/>
    <x v="96"/>
    <s v="C060"/>
    <x v="47"/>
    <s v="Surat"/>
    <x v="2"/>
    <s v="P017"/>
    <x v="2"/>
    <x v="0"/>
    <n v="3"/>
    <x v="2"/>
    <n v="45000"/>
    <m/>
    <m/>
    <m/>
    <m/>
  </r>
  <r>
    <x v="161"/>
    <x v="132"/>
    <s v="C021"/>
    <x v="4"/>
    <s v="Kolkata"/>
    <x v="0"/>
    <s v="P008"/>
    <x v="21"/>
    <x v="2"/>
    <n v="1"/>
    <x v="19"/>
    <n v="4500"/>
    <m/>
    <m/>
    <m/>
    <m/>
  </r>
  <r>
    <x v="162"/>
    <x v="133"/>
    <s v="C072"/>
    <x v="46"/>
    <s v="Patna"/>
    <x v="0"/>
    <s v="P021"/>
    <x v="9"/>
    <x v="3"/>
    <n v="1"/>
    <x v="1"/>
    <n v="2400"/>
    <m/>
    <m/>
    <m/>
    <m/>
  </r>
  <r>
    <x v="163"/>
    <x v="134"/>
    <s v="C013"/>
    <x v="35"/>
    <s v="Bengaluru"/>
    <x v="1"/>
    <s v="P002"/>
    <x v="17"/>
    <x v="2"/>
    <n v="2"/>
    <x v="15"/>
    <n v="104000"/>
    <m/>
    <m/>
    <m/>
    <m/>
  </r>
  <r>
    <x v="164"/>
    <x v="17"/>
    <s v="C030"/>
    <x v="52"/>
    <s v="Chennai"/>
    <x v="1"/>
    <s v="P019"/>
    <x v="24"/>
    <x v="3"/>
    <n v="4"/>
    <x v="21"/>
    <n v="12800"/>
    <m/>
    <m/>
    <m/>
    <m/>
  </r>
  <r>
    <x v="165"/>
    <x v="75"/>
    <s v="C022"/>
    <x v="18"/>
    <s v="Guwahati"/>
    <x v="0"/>
    <s v="P015"/>
    <x v="7"/>
    <x v="0"/>
    <n v="1"/>
    <x v="7"/>
    <n v="9000"/>
    <m/>
    <m/>
    <m/>
    <m/>
  </r>
  <r>
    <x v="166"/>
    <x v="135"/>
    <s v="C051"/>
    <x v="53"/>
    <s v="Lucknow"/>
    <x v="3"/>
    <s v="P011"/>
    <x v="28"/>
    <x v="0"/>
    <n v="1"/>
    <x v="24"/>
    <n v="6500"/>
    <m/>
    <m/>
    <m/>
    <m/>
  </r>
  <r>
    <x v="167"/>
    <x v="136"/>
    <s v="C037"/>
    <x v="17"/>
    <s v="Kolkata"/>
    <x v="0"/>
    <s v="P013"/>
    <x v="12"/>
    <x v="0"/>
    <n v="1"/>
    <x v="10"/>
    <n v="4200"/>
    <m/>
    <m/>
    <m/>
    <m/>
  </r>
  <r>
    <x v="168"/>
    <x v="63"/>
    <s v="C043"/>
    <x v="3"/>
    <s v="Ahmedabad"/>
    <x v="2"/>
    <s v="P021"/>
    <x v="9"/>
    <x v="3"/>
    <n v="1"/>
    <x v="1"/>
    <n v="2400"/>
    <m/>
    <m/>
    <m/>
    <m/>
  </r>
  <r>
    <x v="169"/>
    <x v="137"/>
    <s v="C003"/>
    <x v="32"/>
    <s v="Lucknow"/>
    <x v="3"/>
    <s v="P014"/>
    <x v="0"/>
    <x v="0"/>
    <n v="1"/>
    <x v="0"/>
    <n v="11000"/>
    <m/>
    <m/>
    <m/>
    <m/>
  </r>
  <r>
    <x v="170"/>
    <x v="59"/>
    <s v="C032"/>
    <x v="58"/>
    <s v="Kochi"/>
    <x v="1"/>
    <s v="P024"/>
    <x v="11"/>
    <x v="3"/>
    <n v="1"/>
    <x v="9"/>
    <n v="3000"/>
    <m/>
    <m/>
    <m/>
    <m/>
  </r>
  <r>
    <x v="171"/>
    <x v="138"/>
    <s v="C050"/>
    <x v="14"/>
    <s v="Jaipur"/>
    <x v="3"/>
    <s v="P014"/>
    <x v="0"/>
    <x v="0"/>
    <n v="1"/>
    <x v="0"/>
    <n v="11000"/>
    <m/>
    <m/>
    <m/>
    <m/>
  </r>
  <r>
    <x v="172"/>
    <x v="139"/>
    <s v="C074"/>
    <x v="49"/>
    <s v="Pune"/>
    <x v="2"/>
    <s v="P012"/>
    <x v="16"/>
    <x v="0"/>
    <n v="1"/>
    <x v="14"/>
    <n v="5000"/>
    <m/>
    <m/>
    <m/>
    <m/>
  </r>
  <r>
    <x v="173"/>
    <x v="140"/>
    <s v="C026"/>
    <x v="19"/>
    <s v="Pune"/>
    <x v="2"/>
    <s v="P006"/>
    <x v="3"/>
    <x v="2"/>
    <n v="2"/>
    <x v="3"/>
    <n v="24000"/>
    <m/>
    <m/>
    <m/>
    <m/>
  </r>
  <r>
    <x v="174"/>
    <x v="131"/>
    <s v="C033"/>
    <x v="59"/>
    <s v="Delhi"/>
    <x v="3"/>
    <s v="P028"/>
    <x v="20"/>
    <x v="1"/>
    <n v="1"/>
    <x v="18"/>
    <n v="1400"/>
    <m/>
    <m/>
    <m/>
    <m/>
  </r>
  <r>
    <x v="175"/>
    <x v="141"/>
    <s v="C067"/>
    <x v="9"/>
    <s v="Lucknow"/>
    <x v="3"/>
    <s v="P006"/>
    <x v="3"/>
    <x v="2"/>
    <n v="1"/>
    <x v="3"/>
    <n v="12000"/>
    <m/>
    <m/>
    <m/>
    <m/>
  </r>
  <r>
    <x v="176"/>
    <x v="142"/>
    <s v="C006"/>
    <x v="36"/>
    <s v="Guwahati"/>
    <x v="0"/>
    <s v="P021"/>
    <x v="9"/>
    <x v="3"/>
    <n v="2"/>
    <x v="1"/>
    <n v="4800"/>
    <m/>
    <m/>
    <m/>
    <m/>
  </r>
  <r>
    <x v="177"/>
    <x v="103"/>
    <s v="C008"/>
    <x v="0"/>
    <s v="Patna"/>
    <x v="0"/>
    <s v="P005"/>
    <x v="15"/>
    <x v="2"/>
    <n v="1"/>
    <x v="13"/>
    <n v="28000"/>
    <m/>
    <m/>
    <m/>
    <m/>
  </r>
  <r>
    <x v="178"/>
    <x v="143"/>
    <s v="C071"/>
    <x v="1"/>
    <s v="Bhubaneswar"/>
    <x v="0"/>
    <s v="P030"/>
    <x v="6"/>
    <x v="1"/>
    <n v="2"/>
    <x v="6"/>
    <n v="7000"/>
    <m/>
    <m/>
    <m/>
    <m/>
  </r>
  <r>
    <x v="179"/>
    <x v="111"/>
    <s v="C011"/>
    <x v="28"/>
    <s v="Ahmedabad"/>
    <x v="2"/>
    <s v="P026"/>
    <x v="1"/>
    <x v="1"/>
    <n v="2"/>
    <x v="1"/>
    <n v="4800"/>
    <m/>
    <m/>
    <m/>
    <m/>
  </r>
  <r>
    <x v="180"/>
    <x v="144"/>
    <s v="C021"/>
    <x v="4"/>
    <s v="Kolkata"/>
    <x v="0"/>
    <s v="P010"/>
    <x v="10"/>
    <x v="2"/>
    <n v="1"/>
    <x v="8"/>
    <n v="2200"/>
    <m/>
    <m/>
    <m/>
    <m/>
  </r>
  <r>
    <x v="181"/>
    <x v="145"/>
    <s v="C035"/>
    <x v="16"/>
    <s v="Lucknow"/>
    <x v="3"/>
    <s v="P007"/>
    <x v="13"/>
    <x v="2"/>
    <n v="1"/>
    <x v="11"/>
    <n v="18000"/>
    <m/>
    <m/>
    <m/>
    <m/>
  </r>
  <r>
    <x v="182"/>
    <x v="146"/>
    <s v="C011"/>
    <x v="28"/>
    <s v="Ahmedabad"/>
    <x v="2"/>
    <s v="P023"/>
    <x v="25"/>
    <x v="3"/>
    <n v="1"/>
    <x v="10"/>
    <n v="4200"/>
    <m/>
    <m/>
    <m/>
    <m/>
  </r>
  <r>
    <x v="183"/>
    <x v="111"/>
    <s v="C026"/>
    <x v="19"/>
    <s v="Pune"/>
    <x v="2"/>
    <s v="P010"/>
    <x v="10"/>
    <x v="2"/>
    <n v="2"/>
    <x v="8"/>
    <n v="4400"/>
    <m/>
    <m/>
    <m/>
    <m/>
  </r>
  <r>
    <x v="184"/>
    <x v="116"/>
    <s v="C070"/>
    <x v="24"/>
    <s v="Guwahati"/>
    <x v="0"/>
    <s v="P020"/>
    <x v="5"/>
    <x v="3"/>
    <n v="2"/>
    <x v="5"/>
    <n v="3200"/>
    <m/>
    <m/>
    <m/>
    <m/>
  </r>
  <r>
    <x v="185"/>
    <x v="147"/>
    <s v="C072"/>
    <x v="46"/>
    <s v="Patna"/>
    <x v="0"/>
    <s v="P002"/>
    <x v="17"/>
    <x v="2"/>
    <n v="1"/>
    <x v="15"/>
    <n v="52000"/>
    <m/>
    <m/>
    <m/>
    <m/>
  </r>
  <r>
    <x v="186"/>
    <x v="148"/>
    <s v="C063"/>
    <x v="45"/>
    <s v="Hyderabad"/>
    <x v="1"/>
    <s v="P015"/>
    <x v="7"/>
    <x v="0"/>
    <n v="4"/>
    <x v="7"/>
    <n v="36000"/>
    <m/>
    <m/>
    <m/>
    <m/>
  </r>
  <r>
    <x v="187"/>
    <x v="149"/>
    <s v="C061"/>
    <x v="21"/>
    <s v="Bengaluru"/>
    <x v="1"/>
    <s v="P008"/>
    <x v="21"/>
    <x v="2"/>
    <n v="2"/>
    <x v="19"/>
    <n v="9000"/>
    <m/>
    <m/>
    <m/>
    <m/>
  </r>
  <r>
    <x v="188"/>
    <x v="150"/>
    <s v="C004"/>
    <x v="41"/>
    <s v="Chandigarh"/>
    <x v="3"/>
    <s v="P028"/>
    <x v="20"/>
    <x v="1"/>
    <n v="1"/>
    <x v="18"/>
    <n v="1400"/>
    <m/>
    <m/>
    <m/>
    <m/>
  </r>
  <r>
    <x v="189"/>
    <x v="151"/>
    <s v="C060"/>
    <x v="47"/>
    <s v="Surat"/>
    <x v="2"/>
    <s v="P024"/>
    <x v="11"/>
    <x v="3"/>
    <n v="2"/>
    <x v="9"/>
    <n v="6000"/>
    <m/>
    <m/>
    <m/>
    <m/>
  </r>
  <r>
    <x v="190"/>
    <x v="152"/>
    <s v="C039"/>
    <x v="60"/>
    <s v="Bhubaneswar"/>
    <x v="0"/>
    <s v="P004"/>
    <x v="19"/>
    <x v="2"/>
    <n v="1"/>
    <x v="17"/>
    <n v="22000"/>
    <m/>
    <m/>
    <m/>
    <m/>
  </r>
  <r>
    <x v="191"/>
    <x v="153"/>
    <s v="C008"/>
    <x v="0"/>
    <s v="Patna"/>
    <x v="0"/>
    <s v="P003"/>
    <x v="4"/>
    <x v="2"/>
    <n v="3"/>
    <x v="4"/>
    <n v="90000"/>
    <m/>
    <m/>
    <m/>
    <m/>
  </r>
  <r>
    <x v="192"/>
    <x v="154"/>
    <s v="C002"/>
    <x v="34"/>
    <s v="Jaipur"/>
    <x v="3"/>
    <s v="P002"/>
    <x v="17"/>
    <x v="2"/>
    <n v="2"/>
    <x v="15"/>
    <n v="104000"/>
    <m/>
    <m/>
    <m/>
    <m/>
  </r>
  <r>
    <x v="193"/>
    <x v="155"/>
    <s v="C037"/>
    <x v="17"/>
    <s v="Kolkata"/>
    <x v="0"/>
    <s v="P022"/>
    <x v="18"/>
    <x v="3"/>
    <n v="2"/>
    <x v="16"/>
    <n v="9600"/>
    <m/>
    <m/>
    <m/>
    <m/>
  </r>
  <r>
    <x v="194"/>
    <x v="156"/>
    <s v="C023"/>
    <x v="44"/>
    <s v="Bhubaneswar"/>
    <x v="0"/>
    <s v="P013"/>
    <x v="12"/>
    <x v="0"/>
    <n v="2"/>
    <x v="10"/>
    <n v="8400"/>
    <m/>
    <m/>
    <m/>
    <m/>
  </r>
  <r>
    <x v="195"/>
    <x v="157"/>
    <s v="C035"/>
    <x v="16"/>
    <s v="Lucknow"/>
    <x v="3"/>
    <s v="P007"/>
    <x v="13"/>
    <x v="2"/>
    <n v="1"/>
    <x v="11"/>
    <n v="18000"/>
    <m/>
    <m/>
    <m/>
    <m/>
  </r>
  <r>
    <x v="196"/>
    <x v="158"/>
    <s v="C064"/>
    <x v="10"/>
    <s v="Kochi"/>
    <x v="1"/>
    <s v="P012"/>
    <x v="16"/>
    <x v="0"/>
    <n v="1"/>
    <x v="14"/>
    <n v="5000"/>
    <m/>
    <m/>
    <m/>
    <m/>
  </r>
  <r>
    <x v="197"/>
    <x v="159"/>
    <s v="C013"/>
    <x v="35"/>
    <s v="Bengaluru"/>
    <x v="1"/>
    <s v="P005"/>
    <x v="15"/>
    <x v="2"/>
    <n v="2"/>
    <x v="13"/>
    <n v="56000"/>
    <m/>
    <m/>
    <m/>
    <m/>
  </r>
  <r>
    <x v="198"/>
    <x v="160"/>
    <s v="C043"/>
    <x v="3"/>
    <s v="Ahmedabad"/>
    <x v="2"/>
    <s v="P014"/>
    <x v="0"/>
    <x v="0"/>
    <n v="1"/>
    <x v="0"/>
    <n v="11000"/>
    <m/>
    <m/>
    <m/>
    <m/>
  </r>
  <r>
    <x v="199"/>
    <x v="148"/>
    <s v="C015"/>
    <x v="48"/>
    <s v="Hyderabad"/>
    <x v="1"/>
    <s v="P022"/>
    <x v="18"/>
    <x v="3"/>
    <n v="1"/>
    <x v="16"/>
    <n v="4800"/>
    <m/>
    <m/>
    <m/>
    <m/>
  </r>
  <r>
    <x v="200"/>
    <x v="161"/>
    <s v="C011"/>
    <x v="28"/>
    <s v="Ahmedabad"/>
    <x v="2"/>
    <s v="P006"/>
    <x v="3"/>
    <x v="2"/>
    <n v="1"/>
    <x v="3"/>
    <n v="12000"/>
    <m/>
    <m/>
    <m/>
    <m/>
  </r>
  <r>
    <x v="201"/>
    <x v="84"/>
    <s v="C057"/>
    <x v="13"/>
    <s v="Mumbai"/>
    <x v="2"/>
    <s v="P025"/>
    <x v="26"/>
    <x v="3"/>
    <n v="1"/>
    <x v="22"/>
    <n v="3800"/>
    <m/>
    <m/>
    <m/>
    <m/>
  </r>
  <r>
    <x v="202"/>
    <x v="148"/>
    <s v="C044"/>
    <x v="61"/>
    <s v="Surat"/>
    <x v="2"/>
    <s v="P015"/>
    <x v="7"/>
    <x v="0"/>
    <n v="1"/>
    <x v="7"/>
    <n v="9000"/>
    <m/>
    <m/>
    <m/>
    <m/>
  </r>
  <r>
    <x v="203"/>
    <x v="162"/>
    <s v="C027"/>
    <x v="23"/>
    <s v="Ahmedabad"/>
    <x v="2"/>
    <s v="P006"/>
    <x v="3"/>
    <x v="2"/>
    <n v="2"/>
    <x v="3"/>
    <n v="24000"/>
    <m/>
    <m/>
    <m/>
    <m/>
  </r>
  <r>
    <x v="204"/>
    <x v="163"/>
    <s v="C035"/>
    <x v="16"/>
    <s v="Lucknow"/>
    <x v="3"/>
    <s v="P024"/>
    <x v="11"/>
    <x v="3"/>
    <n v="3"/>
    <x v="9"/>
    <n v="9000"/>
    <m/>
    <m/>
    <m/>
    <m/>
  </r>
  <r>
    <x v="205"/>
    <x v="164"/>
    <s v="C030"/>
    <x v="52"/>
    <s v="Chennai"/>
    <x v="1"/>
    <s v="P030"/>
    <x v="6"/>
    <x v="1"/>
    <n v="1"/>
    <x v="6"/>
    <n v="3500"/>
    <m/>
    <m/>
    <m/>
    <m/>
  </r>
  <r>
    <x v="206"/>
    <x v="165"/>
    <s v="C019"/>
    <x v="40"/>
    <s v="Lucknow"/>
    <x v="3"/>
    <s v="P024"/>
    <x v="11"/>
    <x v="3"/>
    <n v="1"/>
    <x v="9"/>
    <n v="3000"/>
    <m/>
    <m/>
    <m/>
    <m/>
  </r>
  <r>
    <x v="207"/>
    <x v="121"/>
    <s v="C027"/>
    <x v="23"/>
    <s v="Ahmedabad"/>
    <x v="2"/>
    <s v="P007"/>
    <x v="13"/>
    <x v="2"/>
    <n v="1"/>
    <x v="11"/>
    <n v="18000"/>
    <m/>
    <m/>
    <m/>
    <m/>
  </r>
  <r>
    <x v="208"/>
    <x v="166"/>
    <s v="C063"/>
    <x v="45"/>
    <s v="Hyderabad"/>
    <x v="1"/>
    <s v="P024"/>
    <x v="11"/>
    <x v="3"/>
    <n v="1"/>
    <x v="9"/>
    <n v="3000"/>
    <m/>
    <m/>
    <m/>
    <m/>
  </r>
  <r>
    <x v="209"/>
    <x v="6"/>
    <s v="C034"/>
    <x v="43"/>
    <s v="Jaipur"/>
    <x v="3"/>
    <s v="P020"/>
    <x v="5"/>
    <x v="3"/>
    <n v="4"/>
    <x v="5"/>
    <n v="6400"/>
    <m/>
    <m/>
    <m/>
    <m/>
  </r>
  <r>
    <x v="210"/>
    <x v="25"/>
    <s v="C073"/>
    <x v="12"/>
    <s v="Mumbai"/>
    <x v="2"/>
    <s v="P021"/>
    <x v="9"/>
    <x v="3"/>
    <n v="2"/>
    <x v="1"/>
    <n v="4800"/>
    <m/>
    <m/>
    <m/>
    <m/>
  </r>
  <r>
    <x v="211"/>
    <x v="167"/>
    <s v="C003"/>
    <x v="32"/>
    <s v="Lucknow"/>
    <x v="3"/>
    <s v="P028"/>
    <x v="20"/>
    <x v="1"/>
    <n v="2"/>
    <x v="18"/>
    <n v="2800"/>
    <m/>
    <m/>
    <m/>
    <m/>
  </r>
  <r>
    <x v="212"/>
    <x v="137"/>
    <s v="C072"/>
    <x v="46"/>
    <s v="Patna"/>
    <x v="0"/>
    <s v="P002"/>
    <x v="17"/>
    <x v="2"/>
    <n v="1"/>
    <x v="15"/>
    <n v="52000"/>
    <m/>
    <m/>
    <m/>
    <m/>
  </r>
  <r>
    <x v="213"/>
    <x v="168"/>
    <s v="C004"/>
    <x v="41"/>
    <s v="Chandigarh"/>
    <x v="3"/>
    <s v="P005"/>
    <x v="15"/>
    <x v="2"/>
    <n v="2"/>
    <x v="13"/>
    <n v="56000"/>
    <m/>
    <m/>
    <m/>
    <m/>
  </r>
  <r>
    <x v="214"/>
    <x v="154"/>
    <s v="C003"/>
    <x v="32"/>
    <s v="Lucknow"/>
    <x v="3"/>
    <s v="P028"/>
    <x v="20"/>
    <x v="1"/>
    <n v="3"/>
    <x v="18"/>
    <n v="4200"/>
    <m/>
    <m/>
    <m/>
    <m/>
  </r>
  <r>
    <x v="215"/>
    <x v="169"/>
    <s v="C053"/>
    <x v="57"/>
    <s v="Kolkata"/>
    <x v="0"/>
    <s v="P004"/>
    <x v="19"/>
    <x v="2"/>
    <n v="1"/>
    <x v="17"/>
    <n v="22000"/>
    <m/>
    <m/>
    <m/>
    <m/>
  </r>
  <r>
    <x v="216"/>
    <x v="170"/>
    <s v="C039"/>
    <x v="60"/>
    <s v="Bhubaneswar"/>
    <x v="0"/>
    <s v="P014"/>
    <x v="0"/>
    <x v="0"/>
    <n v="2"/>
    <x v="0"/>
    <n v="22000"/>
    <m/>
    <m/>
    <m/>
    <m/>
  </r>
  <r>
    <x v="217"/>
    <x v="171"/>
    <s v="C016"/>
    <x v="39"/>
    <s v="Kochi"/>
    <x v="1"/>
    <s v="P011"/>
    <x v="28"/>
    <x v="0"/>
    <n v="1"/>
    <x v="24"/>
    <n v="6500"/>
    <m/>
    <m/>
    <m/>
    <m/>
  </r>
  <r>
    <x v="218"/>
    <x v="172"/>
    <s v="C001"/>
    <x v="42"/>
    <s v="Delhi"/>
    <x v="3"/>
    <s v="P010"/>
    <x v="10"/>
    <x v="2"/>
    <n v="1"/>
    <x v="8"/>
    <n v="2200"/>
    <m/>
    <m/>
    <m/>
    <m/>
  </r>
  <r>
    <x v="219"/>
    <x v="173"/>
    <s v="C047"/>
    <x v="25"/>
    <s v="Hyderabad"/>
    <x v="1"/>
    <s v="P004"/>
    <x v="19"/>
    <x v="2"/>
    <n v="2"/>
    <x v="17"/>
    <n v="44000"/>
    <m/>
    <m/>
    <m/>
    <m/>
  </r>
  <r>
    <x v="220"/>
    <x v="174"/>
    <s v="C037"/>
    <x v="17"/>
    <s v="Kolkata"/>
    <x v="0"/>
    <s v="P009"/>
    <x v="27"/>
    <x v="2"/>
    <n v="5"/>
    <x v="23"/>
    <n v="12500"/>
    <m/>
    <m/>
    <m/>
    <m/>
  </r>
  <r>
    <x v="221"/>
    <x v="175"/>
    <s v="C049"/>
    <x v="29"/>
    <s v="Delhi"/>
    <x v="3"/>
    <s v="P013"/>
    <x v="12"/>
    <x v="0"/>
    <n v="1"/>
    <x v="10"/>
    <n v="4200"/>
    <m/>
    <m/>
    <m/>
    <m/>
  </r>
  <r>
    <x v="222"/>
    <x v="176"/>
    <s v="C056"/>
    <x v="33"/>
    <s v="Patna"/>
    <x v="0"/>
    <s v="P004"/>
    <x v="19"/>
    <x v="2"/>
    <n v="3"/>
    <x v="17"/>
    <n v="66000"/>
    <m/>
    <m/>
    <m/>
    <m/>
  </r>
  <r>
    <x v="223"/>
    <x v="33"/>
    <s v="C058"/>
    <x v="62"/>
    <s v="Pune"/>
    <x v="2"/>
    <s v="P024"/>
    <x v="11"/>
    <x v="3"/>
    <n v="3"/>
    <x v="9"/>
    <n v="9000"/>
    <m/>
    <m/>
    <m/>
    <m/>
  </r>
  <r>
    <x v="224"/>
    <x v="126"/>
    <s v="C011"/>
    <x v="28"/>
    <s v="Ahmedabad"/>
    <x v="2"/>
    <s v="P024"/>
    <x v="11"/>
    <x v="3"/>
    <n v="1"/>
    <x v="9"/>
    <n v="3000"/>
    <m/>
    <m/>
    <m/>
    <m/>
  </r>
  <r>
    <x v="225"/>
    <x v="89"/>
    <s v="C008"/>
    <x v="0"/>
    <s v="Patna"/>
    <x v="0"/>
    <s v="P001"/>
    <x v="23"/>
    <x v="2"/>
    <n v="1"/>
    <x v="20"/>
    <n v="65000"/>
    <m/>
    <m/>
    <m/>
    <m/>
  </r>
  <r>
    <x v="226"/>
    <x v="54"/>
    <s v="C052"/>
    <x v="5"/>
    <s v="Chandigarh"/>
    <x v="3"/>
    <s v="P019"/>
    <x v="24"/>
    <x v="3"/>
    <n v="2"/>
    <x v="21"/>
    <n v="6400"/>
    <m/>
    <m/>
    <m/>
    <m/>
  </r>
  <r>
    <x v="227"/>
    <x v="100"/>
    <s v="C037"/>
    <x v="17"/>
    <s v="Kolkata"/>
    <x v="0"/>
    <s v="P010"/>
    <x v="10"/>
    <x v="2"/>
    <n v="2"/>
    <x v="8"/>
    <n v="4400"/>
    <m/>
    <m/>
    <m/>
    <m/>
  </r>
  <r>
    <x v="228"/>
    <x v="73"/>
    <s v="C049"/>
    <x v="29"/>
    <s v="Delhi"/>
    <x v="3"/>
    <s v="P006"/>
    <x v="3"/>
    <x v="2"/>
    <n v="3"/>
    <x v="3"/>
    <n v="36000"/>
    <m/>
    <m/>
    <m/>
    <m/>
  </r>
  <r>
    <x v="229"/>
    <x v="9"/>
    <s v="C070"/>
    <x v="24"/>
    <s v="Guwahati"/>
    <x v="0"/>
    <s v="P018"/>
    <x v="22"/>
    <x v="0"/>
    <n v="2"/>
    <x v="9"/>
    <n v="6000"/>
    <m/>
    <m/>
    <m/>
    <m/>
  </r>
  <r>
    <x v="230"/>
    <x v="48"/>
    <s v="C042"/>
    <x v="27"/>
    <s v="Pune"/>
    <x v="2"/>
    <s v="P008"/>
    <x v="21"/>
    <x v="2"/>
    <n v="1"/>
    <x v="19"/>
    <n v="4500"/>
    <m/>
    <m/>
    <m/>
    <m/>
  </r>
  <r>
    <x v="231"/>
    <x v="126"/>
    <s v="C003"/>
    <x v="32"/>
    <s v="Lucknow"/>
    <x v="3"/>
    <s v="P027"/>
    <x v="29"/>
    <x v="1"/>
    <n v="2"/>
    <x v="25"/>
    <n v="11000"/>
    <m/>
    <m/>
    <m/>
    <m/>
  </r>
  <r>
    <x v="232"/>
    <x v="177"/>
    <s v="C043"/>
    <x v="3"/>
    <s v="Ahmedabad"/>
    <x v="2"/>
    <s v="P007"/>
    <x v="13"/>
    <x v="2"/>
    <n v="2"/>
    <x v="11"/>
    <n v="36000"/>
    <m/>
    <m/>
    <m/>
    <m/>
  </r>
  <r>
    <x v="233"/>
    <x v="178"/>
    <s v="C011"/>
    <x v="28"/>
    <s v="Ahmedabad"/>
    <x v="2"/>
    <s v="P029"/>
    <x v="14"/>
    <x v="1"/>
    <n v="1"/>
    <x v="12"/>
    <n v="2000"/>
    <m/>
    <m/>
    <m/>
    <m/>
  </r>
  <r>
    <x v="234"/>
    <x v="127"/>
    <s v="C004"/>
    <x v="41"/>
    <s v="Chandigarh"/>
    <x v="3"/>
    <s v="P001"/>
    <x v="23"/>
    <x v="2"/>
    <n v="1"/>
    <x v="20"/>
    <n v="65000"/>
    <m/>
    <m/>
    <m/>
    <m/>
  </r>
  <r>
    <x v="235"/>
    <x v="51"/>
    <s v="C029"/>
    <x v="11"/>
    <s v="Bengaluru"/>
    <x v="1"/>
    <s v="P007"/>
    <x v="13"/>
    <x v="2"/>
    <n v="2"/>
    <x v="11"/>
    <n v="36000"/>
    <m/>
    <m/>
    <m/>
    <m/>
  </r>
  <r>
    <x v="236"/>
    <x v="179"/>
    <s v="C071"/>
    <x v="1"/>
    <s v="Bhubaneswar"/>
    <x v="0"/>
    <s v="P010"/>
    <x v="10"/>
    <x v="2"/>
    <n v="1"/>
    <x v="8"/>
    <n v="2200"/>
    <m/>
    <m/>
    <m/>
    <m/>
  </r>
  <r>
    <x v="237"/>
    <x v="135"/>
    <s v="C043"/>
    <x v="3"/>
    <s v="Ahmedabad"/>
    <x v="2"/>
    <s v="P003"/>
    <x v="4"/>
    <x v="2"/>
    <n v="1"/>
    <x v="4"/>
    <n v="30000"/>
    <m/>
    <m/>
    <m/>
    <m/>
  </r>
  <r>
    <x v="238"/>
    <x v="123"/>
    <s v="C004"/>
    <x v="41"/>
    <s v="Chandigarh"/>
    <x v="3"/>
    <s v="P010"/>
    <x v="10"/>
    <x v="2"/>
    <n v="1"/>
    <x v="8"/>
    <n v="2200"/>
    <m/>
    <m/>
    <m/>
    <m/>
  </r>
  <r>
    <x v="239"/>
    <x v="125"/>
    <s v="C033"/>
    <x v="59"/>
    <s v="Delhi"/>
    <x v="3"/>
    <s v="P028"/>
    <x v="20"/>
    <x v="1"/>
    <n v="1"/>
    <x v="18"/>
    <n v="1400"/>
    <m/>
    <m/>
    <m/>
    <m/>
  </r>
  <r>
    <x v="240"/>
    <x v="92"/>
    <s v="C055"/>
    <x v="63"/>
    <s v="Bhubaneswar"/>
    <x v="0"/>
    <s v="P011"/>
    <x v="28"/>
    <x v="0"/>
    <n v="3"/>
    <x v="24"/>
    <n v="19500"/>
    <m/>
    <m/>
    <m/>
    <m/>
  </r>
  <r>
    <x v="241"/>
    <x v="18"/>
    <s v="C062"/>
    <x v="64"/>
    <s v="Chennai"/>
    <x v="1"/>
    <s v="P003"/>
    <x v="4"/>
    <x v="2"/>
    <n v="1"/>
    <x v="4"/>
    <n v="30000"/>
    <m/>
    <m/>
    <m/>
    <m/>
  </r>
  <r>
    <x v="242"/>
    <x v="45"/>
    <s v="C015"/>
    <x v="48"/>
    <s v="Hyderabad"/>
    <x v="1"/>
    <s v="P021"/>
    <x v="9"/>
    <x v="3"/>
    <n v="4"/>
    <x v="1"/>
    <n v="9600"/>
    <m/>
    <m/>
    <m/>
    <m/>
  </r>
  <r>
    <x v="243"/>
    <x v="22"/>
    <s v="C075"/>
    <x v="7"/>
    <s v="Ahmedabad"/>
    <x v="2"/>
    <s v="P006"/>
    <x v="3"/>
    <x v="2"/>
    <n v="2"/>
    <x v="3"/>
    <n v="24000"/>
    <m/>
    <m/>
    <m/>
    <m/>
  </r>
  <r>
    <x v="244"/>
    <x v="180"/>
    <s v="C011"/>
    <x v="28"/>
    <s v="Ahmedabad"/>
    <x v="2"/>
    <s v="P003"/>
    <x v="4"/>
    <x v="2"/>
    <n v="1"/>
    <x v="4"/>
    <n v="30000"/>
    <m/>
    <m/>
    <m/>
    <m/>
  </r>
  <r>
    <x v="245"/>
    <x v="181"/>
    <s v="C024"/>
    <x v="6"/>
    <s v="Patna"/>
    <x v="0"/>
    <s v="P016"/>
    <x v="8"/>
    <x v="0"/>
    <n v="2"/>
    <x v="8"/>
    <n v="4400"/>
    <m/>
    <m/>
    <m/>
    <m/>
  </r>
  <r>
    <x v="246"/>
    <x v="73"/>
    <s v="C022"/>
    <x v="18"/>
    <s v="Guwahati"/>
    <x v="0"/>
    <s v="P016"/>
    <x v="8"/>
    <x v="0"/>
    <n v="2"/>
    <x v="8"/>
    <n v="4400"/>
    <m/>
    <m/>
    <m/>
    <m/>
  </r>
  <r>
    <x v="247"/>
    <x v="79"/>
    <s v="C024"/>
    <x v="6"/>
    <s v="Patna"/>
    <x v="0"/>
    <s v="P027"/>
    <x v="29"/>
    <x v="1"/>
    <n v="1"/>
    <x v="25"/>
    <n v="5500"/>
    <m/>
    <m/>
    <m/>
    <m/>
  </r>
  <r>
    <x v="248"/>
    <x v="141"/>
    <s v="C022"/>
    <x v="18"/>
    <s v="Guwahati"/>
    <x v="0"/>
    <s v="P022"/>
    <x v="18"/>
    <x v="3"/>
    <n v="1"/>
    <x v="16"/>
    <n v="4800"/>
    <m/>
    <m/>
    <m/>
    <m/>
  </r>
  <r>
    <x v="249"/>
    <x v="74"/>
    <s v="C064"/>
    <x v="10"/>
    <s v="Kochi"/>
    <x v="1"/>
    <s v="P020"/>
    <x v="5"/>
    <x v="3"/>
    <n v="1"/>
    <x v="5"/>
    <n v="1600"/>
    <m/>
    <m/>
    <m/>
    <m/>
  </r>
  <r>
    <x v="250"/>
    <x v="182"/>
    <s v="C027"/>
    <x v="23"/>
    <s v="Ahmedabad"/>
    <x v="2"/>
    <s v="P014"/>
    <x v="0"/>
    <x v="0"/>
    <n v="2"/>
    <x v="0"/>
    <n v="22000"/>
    <m/>
    <m/>
    <m/>
    <m/>
  </r>
  <r>
    <x v="251"/>
    <x v="25"/>
    <s v="C054"/>
    <x v="51"/>
    <s v="Guwahati"/>
    <x v="0"/>
    <s v="P024"/>
    <x v="11"/>
    <x v="3"/>
    <n v="1"/>
    <x v="9"/>
    <n v="3000"/>
    <m/>
    <m/>
    <m/>
    <m/>
  </r>
  <r>
    <x v="252"/>
    <x v="183"/>
    <s v="C022"/>
    <x v="18"/>
    <s v="Guwahati"/>
    <x v="0"/>
    <s v="P011"/>
    <x v="28"/>
    <x v="0"/>
    <n v="2"/>
    <x v="24"/>
    <n v="13000"/>
    <m/>
    <m/>
    <m/>
    <m/>
  </r>
  <r>
    <x v="253"/>
    <x v="184"/>
    <s v="C039"/>
    <x v="60"/>
    <s v="Bhubaneswar"/>
    <x v="0"/>
    <s v="P024"/>
    <x v="11"/>
    <x v="3"/>
    <n v="1"/>
    <x v="9"/>
    <n v="3000"/>
    <m/>
    <m/>
    <m/>
    <m/>
  </r>
  <r>
    <x v="254"/>
    <x v="185"/>
    <s v="C050"/>
    <x v="14"/>
    <s v="Jaipur"/>
    <x v="3"/>
    <s v="P029"/>
    <x v="14"/>
    <x v="1"/>
    <n v="1"/>
    <x v="12"/>
    <n v="2000"/>
    <m/>
    <m/>
    <m/>
    <m/>
  </r>
  <r>
    <x v="255"/>
    <x v="186"/>
    <s v="C074"/>
    <x v="49"/>
    <s v="Pune"/>
    <x v="2"/>
    <s v="P022"/>
    <x v="18"/>
    <x v="3"/>
    <n v="1"/>
    <x v="16"/>
    <n v="4800"/>
    <m/>
    <m/>
    <m/>
    <m/>
  </r>
  <r>
    <x v="256"/>
    <x v="142"/>
    <s v="C031"/>
    <x v="2"/>
    <s v="Hyderabad"/>
    <x v="1"/>
    <s v="P012"/>
    <x v="16"/>
    <x v="0"/>
    <n v="3"/>
    <x v="14"/>
    <n v="15000"/>
    <m/>
    <m/>
    <m/>
    <m/>
  </r>
  <r>
    <x v="257"/>
    <x v="79"/>
    <s v="C026"/>
    <x v="19"/>
    <s v="Pune"/>
    <x v="2"/>
    <s v="P028"/>
    <x v="20"/>
    <x v="1"/>
    <n v="2"/>
    <x v="18"/>
    <n v="2800"/>
    <m/>
    <m/>
    <m/>
    <m/>
  </r>
  <r>
    <x v="258"/>
    <x v="72"/>
    <s v="C028"/>
    <x v="55"/>
    <s v="Surat"/>
    <x v="2"/>
    <s v="P025"/>
    <x v="26"/>
    <x v="3"/>
    <n v="1"/>
    <x v="22"/>
    <n v="3800"/>
    <m/>
    <m/>
    <m/>
    <m/>
  </r>
  <r>
    <x v="259"/>
    <x v="187"/>
    <s v="C015"/>
    <x v="48"/>
    <s v="Hyderabad"/>
    <x v="1"/>
    <s v="P014"/>
    <x v="0"/>
    <x v="0"/>
    <n v="1"/>
    <x v="0"/>
    <n v="11000"/>
    <m/>
    <m/>
    <m/>
    <m/>
  </r>
  <r>
    <x v="260"/>
    <x v="167"/>
    <s v="C061"/>
    <x v="21"/>
    <s v="Bengaluru"/>
    <x v="1"/>
    <s v="P012"/>
    <x v="16"/>
    <x v="0"/>
    <n v="1"/>
    <x v="14"/>
    <n v="5000"/>
    <m/>
    <m/>
    <m/>
    <m/>
  </r>
  <r>
    <x v="261"/>
    <x v="188"/>
    <s v="C040"/>
    <x v="31"/>
    <s v="Patna"/>
    <x v="0"/>
    <s v="P030"/>
    <x v="6"/>
    <x v="1"/>
    <n v="1"/>
    <x v="6"/>
    <n v="3500"/>
    <m/>
    <m/>
    <m/>
    <m/>
  </r>
  <r>
    <x v="262"/>
    <x v="169"/>
    <s v="C009"/>
    <x v="30"/>
    <s v="Mumbai"/>
    <x v="2"/>
    <s v="P018"/>
    <x v="22"/>
    <x v="0"/>
    <n v="1"/>
    <x v="9"/>
    <n v="3000"/>
    <m/>
    <m/>
    <m/>
    <m/>
  </r>
  <r>
    <x v="263"/>
    <x v="189"/>
    <s v="C067"/>
    <x v="9"/>
    <s v="Lucknow"/>
    <x v="3"/>
    <s v="P003"/>
    <x v="4"/>
    <x v="2"/>
    <n v="1"/>
    <x v="4"/>
    <n v="30000"/>
    <m/>
    <m/>
    <m/>
    <m/>
  </r>
  <r>
    <x v="264"/>
    <x v="190"/>
    <s v="C068"/>
    <x v="20"/>
    <s v="Chandigarh"/>
    <x v="3"/>
    <s v="P003"/>
    <x v="4"/>
    <x v="2"/>
    <n v="2"/>
    <x v="4"/>
    <n v="60000"/>
    <m/>
    <m/>
    <m/>
    <m/>
  </r>
  <r>
    <x v="265"/>
    <x v="191"/>
    <s v="C050"/>
    <x v="14"/>
    <s v="Jaipur"/>
    <x v="3"/>
    <s v="P013"/>
    <x v="12"/>
    <x v="0"/>
    <n v="1"/>
    <x v="10"/>
    <n v="4200"/>
    <m/>
    <m/>
    <m/>
    <m/>
  </r>
  <r>
    <x v="266"/>
    <x v="192"/>
    <s v="C008"/>
    <x v="0"/>
    <s v="Patna"/>
    <x v="0"/>
    <s v="P024"/>
    <x v="11"/>
    <x v="3"/>
    <n v="3"/>
    <x v="9"/>
    <n v="9000"/>
    <m/>
    <m/>
    <m/>
    <m/>
  </r>
  <r>
    <x v="267"/>
    <x v="171"/>
    <s v="C024"/>
    <x v="6"/>
    <s v="Patna"/>
    <x v="0"/>
    <s v="P005"/>
    <x v="15"/>
    <x v="2"/>
    <n v="1"/>
    <x v="13"/>
    <n v="28000"/>
    <m/>
    <m/>
    <m/>
    <m/>
  </r>
  <r>
    <x v="268"/>
    <x v="193"/>
    <s v="C011"/>
    <x v="28"/>
    <s v="Ahmedabad"/>
    <x v="2"/>
    <s v="P013"/>
    <x v="12"/>
    <x v="0"/>
    <n v="3"/>
    <x v="10"/>
    <n v="12600"/>
    <m/>
    <m/>
    <m/>
    <m/>
  </r>
  <r>
    <x v="269"/>
    <x v="58"/>
    <s v="C041"/>
    <x v="65"/>
    <s v="Mumbai"/>
    <x v="2"/>
    <s v="P030"/>
    <x v="6"/>
    <x v="1"/>
    <n v="1"/>
    <x v="6"/>
    <n v="3500"/>
    <m/>
    <m/>
    <m/>
    <m/>
  </r>
  <r>
    <x v="270"/>
    <x v="194"/>
    <s v="C052"/>
    <x v="5"/>
    <s v="Chandigarh"/>
    <x v="3"/>
    <s v="P012"/>
    <x v="16"/>
    <x v="0"/>
    <n v="1"/>
    <x v="14"/>
    <n v="5000"/>
    <m/>
    <m/>
    <m/>
    <m/>
  </r>
  <r>
    <x v="271"/>
    <x v="193"/>
    <s v="C004"/>
    <x v="41"/>
    <s v="Chandigarh"/>
    <x v="3"/>
    <s v="P014"/>
    <x v="0"/>
    <x v="0"/>
    <n v="5"/>
    <x v="0"/>
    <n v="55000"/>
    <m/>
    <m/>
    <m/>
    <m/>
  </r>
  <r>
    <x v="272"/>
    <x v="101"/>
    <s v="C029"/>
    <x v="11"/>
    <s v="Bengaluru"/>
    <x v="1"/>
    <s v="P012"/>
    <x v="16"/>
    <x v="0"/>
    <n v="1"/>
    <x v="14"/>
    <n v="5000"/>
    <m/>
    <m/>
    <m/>
    <m/>
  </r>
  <r>
    <x v="273"/>
    <x v="195"/>
    <s v="C040"/>
    <x v="31"/>
    <s v="Patna"/>
    <x v="0"/>
    <s v="P007"/>
    <x v="13"/>
    <x v="2"/>
    <n v="1"/>
    <x v="11"/>
    <n v="18000"/>
    <m/>
    <m/>
    <m/>
    <m/>
  </r>
  <r>
    <x v="274"/>
    <x v="196"/>
    <s v="C011"/>
    <x v="28"/>
    <s v="Ahmedabad"/>
    <x v="2"/>
    <s v="P025"/>
    <x v="26"/>
    <x v="3"/>
    <n v="2"/>
    <x v="22"/>
    <n v="7600"/>
    <m/>
    <m/>
    <m/>
    <m/>
  </r>
  <r>
    <x v="275"/>
    <x v="23"/>
    <s v="C023"/>
    <x v="44"/>
    <s v="Bhubaneswar"/>
    <x v="0"/>
    <s v="P023"/>
    <x v="25"/>
    <x v="3"/>
    <n v="2"/>
    <x v="10"/>
    <n v="8400"/>
    <m/>
    <m/>
    <m/>
    <m/>
  </r>
  <r>
    <x v="276"/>
    <x v="162"/>
    <s v="C052"/>
    <x v="5"/>
    <s v="Chandigarh"/>
    <x v="3"/>
    <s v="P010"/>
    <x v="10"/>
    <x v="2"/>
    <n v="1"/>
    <x v="8"/>
    <n v="2200"/>
    <m/>
    <m/>
    <m/>
    <m/>
  </r>
  <r>
    <x v="277"/>
    <x v="197"/>
    <s v="C048"/>
    <x v="26"/>
    <s v="Kochi"/>
    <x v="1"/>
    <s v="P017"/>
    <x v="2"/>
    <x v="0"/>
    <n v="1"/>
    <x v="2"/>
    <n v="15000"/>
    <m/>
    <m/>
    <m/>
    <m/>
  </r>
  <r>
    <x v="278"/>
    <x v="198"/>
    <s v="C032"/>
    <x v="58"/>
    <s v="Kochi"/>
    <x v="1"/>
    <s v="P018"/>
    <x v="22"/>
    <x v="0"/>
    <n v="1"/>
    <x v="9"/>
    <n v="3000"/>
    <m/>
    <m/>
    <m/>
    <m/>
  </r>
  <r>
    <x v="279"/>
    <x v="199"/>
    <s v="C055"/>
    <x v="63"/>
    <s v="Bhubaneswar"/>
    <x v="0"/>
    <s v="P018"/>
    <x v="22"/>
    <x v="0"/>
    <n v="2"/>
    <x v="9"/>
    <n v="6000"/>
    <m/>
    <m/>
    <m/>
    <m/>
  </r>
  <r>
    <x v="280"/>
    <x v="68"/>
    <s v="C018"/>
    <x v="66"/>
    <s v="Jaipur"/>
    <x v="3"/>
    <s v="P016"/>
    <x v="8"/>
    <x v="0"/>
    <n v="2"/>
    <x v="8"/>
    <n v="4400"/>
    <m/>
    <m/>
    <m/>
    <m/>
  </r>
  <r>
    <x v="281"/>
    <x v="62"/>
    <s v="C022"/>
    <x v="18"/>
    <s v="Guwahati"/>
    <x v="0"/>
    <s v="P022"/>
    <x v="18"/>
    <x v="3"/>
    <n v="1"/>
    <x v="16"/>
    <n v="4800"/>
    <m/>
    <m/>
    <m/>
    <m/>
  </r>
  <r>
    <x v="282"/>
    <x v="200"/>
    <s v="C070"/>
    <x v="24"/>
    <s v="Guwahati"/>
    <x v="0"/>
    <s v="P022"/>
    <x v="18"/>
    <x v="3"/>
    <n v="1"/>
    <x v="16"/>
    <n v="4800"/>
    <m/>
    <m/>
    <m/>
    <m/>
  </r>
  <r>
    <x v="283"/>
    <x v="201"/>
    <s v="C061"/>
    <x v="21"/>
    <s v="Bengaluru"/>
    <x v="1"/>
    <s v="P008"/>
    <x v="21"/>
    <x v="2"/>
    <n v="1"/>
    <x v="19"/>
    <n v="4500"/>
    <m/>
    <m/>
    <m/>
    <m/>
  </r>
  <r>
    <x v="284"/>
    <x v="30"/>
    <s v="C066"/>
    <x v="67"/>
    <s v="Jaipur"/>
    <x v="3"/>
    <s v="P007"/>
    <x v="13"/>
    <x v="2"/>
    <n v="2"/>
    <x v="11"/>
    <n v="36000"/>
    <m/>
    <m/>
    <m/>
    <m/>
  </r>
  <r>
    <x v="285"/>
    <x v="202"/>
    <s v="C024"/>
    <x v="6"/>
    <s v="Patna"/>
    <x v="0"/>
    <s v="P008"/>
    <x v="21"/>
    <x v="2"/>
    <n v="1"/>
    <x v="19"/>
    <n v="4500"/>
    <m/>
    <m/>
    <m/>
    <m/>
  </r>
  <r>
    <x v="286"/>
    <x v="203"/>
    <s v="C024"/>
    <x v="6"/>
    <s v="Patna"/>
    <x v="0"/>
    <s v="P019"/>
    <x v="24"/>
    <x v="3"/>
    <n v="1"/>
    <x v="21"/>
    <n v="3200"/>
    <m/>
    <m/>
    <m/>
    <m/>
  </r>
  <r>
    <x v="287"/>
    <x v="138"/>
    <s v="C028"/>
    <x v="55"/>
    <s v="Surat"/>
    <x v="2"/>
    <s v="P003"/>
    <x v="4"/>
    <x v="2"/>
    <n v="3"/>
    <x v="4"/>
    <n v="90000"/>
    <m/>
    <m/>
    <m/>
    <m/>
  </r>
  <r>
    <x v="288"/>
    <x v="29"/>
    <s v="C074"/>
    <x v="49"/>
    <s v="Pune"/>
    <x v="2"/>
    <s v="P022"/>
    <x v="18"/>
    <x v="3"/>
    <n v="2"/>
    <x v="16"/>
    <n v="9600"/>
    <m/>
    <m/>
    <m/>
    <m/>
  </r>
  <r>
    <x v="289"/>
    <x v="6"/>
    <s v="C042"/>
    <x v="27"/>
    <s v="Pune"/>
    <x v="2"/>
    <s v="P010"/>
    <x v="10"/>
    <x v="2"/>
    <n v="1"/>
    <x v="8"/>
    <n v="2200"/>
    <m/>
    <m/>
    <m/>
    <m/>
  </r>
  <r>
    <x v="290"/>
    <x v="120"/>
    <s v="C025"/>
    <x v="68"/>
    <s v="Mumbai"/>
    <x v="2"/>
    <s v="P007"/>
    <x v="13"/>
    <x v="2"/>
    <n v="1"/>
    <x v="11"/>
    <n v="18000"/>
    <m/>
    <m/>
    <m/>
    <m/>
  </r>
  <r>
    <x v="291"/>
    <x v="64"/>
    <s v="C030"/>
    <x v="52"/>
    <s v="Chennai"/>
    <x v="1"/>
    <s v="P002"/>
    <x v="17"/>
    <x v="2"/>
    <n v="3"/>
    <x v="15"/>
    <n v="156000"/>
    <m/>
    <m/>
    <m/>
    <m/>
  </r>
  <r>
    <x v="292"/>
    <x v="170"/>
    <s v="C022"/>
    <x v="18"/>
    <s v="Guwahati"/>
    <x v="0"/>
    <s v="P030"/>
    <x v="6"/>
    <x v="1"/>
    <n v="1"/>
    <x v="6"/>
    <n v="3500"/>
    <m/>
    <m/>
    <m/>
    <m/>
  </r>
  <r>
    <x v="293"/>
    <x v="204"/>
    <s v="C024"/>
    <x v="6"/>
    <s v="Patna"/>
    <x v="0"/>
    <s v="P007"/>
    <x v="13"/>
    <x v="2"/>
    <n v="3"/>
    <x v="11"/>
    <n v="54000"/>
    <m/>
    <m/>
    <m/>
    <m/>
  </r>
  <r>
    <x v="294"/>
    <x v="41"/>
    <s v="C071"/>
    <x v="1"/>
    <s v="Bhubaneswar"/>
    <x v="0"/>
    <s v="P007"/>
    <x v="13"/>
    <x v="2"/>
    <n v="1"/>
    <x v="11"/>
    <n v="18000"/>
    <m/>
    <m/>
    <m/>
    <m/>
  </r>
  <r>
    <x v="295"/>
    <x v="205"/>
    <s v="C006"/>
    <x v="36"/>
    <s v="Guwahati"/>
    <x v="0"/>
    <s v="P005"/>
    <x v="15"/>
    <x v="2"/>
    <n v="1"/>
    <x v="13"/>
    <n v="28000"/>
    <m/>
    <m/>
    <m/>
    <m/>
  </r>
  <r>
    <x v="296"/>
    <x v="151"/>
    <s v="C066"/>
    <x v="67"/>
    <s v="Jaipur"/>
    <x v="3"/>
    <s v="P019"/>
    <x v="24"/>
    <x v="3"/>
    <n v="1"/>
    <x v="21"/>
    <n v="3200"/>
    <m/>
    <m/>
    <m/>
    <m/>
  </r>
  <r>
    <x v="297"/>
    <x v="197"/>
    <s v="C046"/>
    <x v="54"/>
    <s v="Chennai"/>
    <x v="1"/>
    <s v="P015"/>
    <x v="7"/>
    <x v="0"/>
    <n v="1"/>
    <x v="7"/>
    <n v="9000"/>
    <m/>
    <m/>
    <m/>
    <m/>
  </r>
  <r>
    <x v="298"/>
    <x v="206"/>
    <s v="C009"/>
    <x v="30"/>
    <s v="Mumbai"/>
    <x v="2"/>
    <s v="P026"/>
    <x v="1"/>
    <x v="1"/>
    <n v="1"/>
    <x v="1"/>
    <n v="2400"/>
    <m/>
    <m/>
    <m/>
    <m/>
  </r>
  <r>
    <x v="299"/>
    <x v="154"/>
    <s v="C075"/>
    <x v="7"/>
    <s v="Ahmedabad"/>
    <x v="2"/>
    <s v="P027"/>
    <x v="29"/>
    <x v="1"/>
    <n v="5"/>
    <x v="25"/>
    <n v="27500"/>
    <m/>
    <m/>
    <m/>
    <m/>
  </r>
  <r>
    <x v="300"/>
    <x v="121"/>
    <s v="C066"/>
    <x v="67"/>
    <s v="Jaipur"/>
    <x v="3"/>
    <s v="P021"/>
    <x v="9"/>
    <x v="3"/>
    <n v="1"/>
    <x v="1"/>
    <n v="2400"/>
    <m/>
    <m/>
    <m/>
    <m/>
  </r>
  <r>
    <x v="301"/>
    <x v="13"/>
    <s v="C072"/>
    <x v="46"/>
    <s v="Patna"/>
    <x v="0"/>
    <s v="P017"/>
    <x v="2"/>
    <x v="0"/>
    <n v="2"/>
    <x v="2"/>
    <n v="30000"/>
    <m/>
    <m/>
    <m/>
    <m/>
  </r>
  <r>
    <x v="302"/>
    <x v="207"/>
    <s v="C065"/>
    <x v="69"/>
    <s v="Delhi"/>
    <x v="3"/>
    <s v="P011"/>
    <x v="28"/>
    <x v="0"/>
    <n v="2"/>
    <x v="24"/>
    <n v="13000"/>
    <m/>
    <m/>
    <m/>
    <m/>
  </r>
  <r>
    <x v="303"/>
    <x v="37"/>
    <s v="C063"/>
    <x v="45"/>
    <s v="Hyderabad"/>
    <x v="1"/>
    <s v="P012"/>
    <x v="16"/>
    <x v="0"/>
    <n v="1"/>
    <x v="14"/>
    <n v="5000"/>
    <m/>
    <m/>
    <m/>
    <m/>
  </r>
  <r>
    <x v="304"/>
    <x v="208"/>
    <s v="C011"/>
    <x v="28"/>
    <s v="Ahmedabad"/>
    <x v="2"/>
    <s v="P019"/>
    <x v="24"/>
    <x v="3"/>
    <n v="1"/>
    <x v="21"/>
    <n v="3200"/>
    <m/>
    <m/>
    <m/>
    <m/>
  </r>
  <r>
    <x v="305"/>
    <x v="53"/>
    <s v="C029"/>
    <x v="11"/>
    <s v="Bengaluru"/>
    <x v="1"/>
    <s v="P002"/>
    <x v="17"/>
    <x v="2"/>
    <n v="4"/>
    <x v="15"/>
    <n v="208000"/>
    <m/>
    <m/>
    <m/>
    <m/>
  </r>
  <r>
    <x v="306"/>
    <x v="169"/>
    <s v="C030"/>
    <x v="52"/>
    <s v="Chennai"/>
    <x v="1"/>
    <s v="P014"/>
    <x v="0"/>
    <x v="0"/>
    <n v="2"/>
    <x v="0"/>
    <n v="22000"/>
    <m/>
    <m/>
    <m/>
    <m/>
  </r>
  <r>
    <x v="307"/>
    <x v="52"/>
    <s v="C058"/>
    <x v="62"/>
    <s v="Pune"/>
    <x v="2"/>
    <s v="P008"/>
    <x v="21"/>
    <x v="2"/>
    <n v="2"/>
    <x v="19"/>
    <n v="9000"/>
    <m/>
    <m/>
    <m/>
    <m/>
  </r>
  <r>
    <x v="308"/>
    <x v="10"/>
    <s v="C032"/>
    <x v="58"/>
    <s v="Kochi"/>
    <x v="1"/>
    <s v="P007"/>
    <x v="13"/>
    <x v="2"/>
    <n v="2"/>
    <x v="11"/>
    <n v="36000"/>
    <m/>
    <m/>
    <m/>
    <m/>
  </r>
  <r>
    <x v="309"/>
    <x v="183"/>
    <s v="C011"/>
    <x v="28"/>
    <s v="Ahmedabad"/>
    <x v="2"/>
    <s v="P009"/>
    <x v="27"/>
    <x v="2"/>
    <n v="1"/>
    <x v="23"/>
    <n v="2500"/>
    <m/>
    <m/>
    <m/>
    <m/>
  </r>
  <r>
    <x v="310"/>
    <x v="180"/>
    <s v="C068"/>
    <x v="20"/>
    <s v="Chandigarh"/>
    <x v="3"/>
    <s v="P005"/>
    <x v="15"/>
    <x v="2"/>
    <n v="1"/>
    <x v="13"/>
    <n v="28000"/>
    <m/>
    <m/>
    <m/>
    <m/>
  </r>
  <r>
    <x v="311"/>
    <x v="4"/>
    <s v="C028"/>
    <x v="55"/>
    <s v="Surat"/>
    <x v="2"/>
    <s v="P002"/>
    <x v="17"/>
    <x v="2"/>
    <n v="1"/>
    <x v="15"/>
    <n v="52000"/>
    <m/>
    <m/>
    <m/>
    <m/>
  </r>
  <r>
    <x v="312"/>
    <x v="115"/>
    <s v="C050"/>
    <x v="14"/>
    <s v="Jaipur"/>
    <x v="3"/>
    <s v="P007"/>
    <x v="13"/>
    <x v="2"/>
    <n v="1"/>
    <x v="11"/>
    <n v="18000"/>
    <m/>
    <m/>
    <m/>
    <m/>
  </r>
  <r>
    <x v="313"/>
    <x v="166"/>
    <s v="C019"/>
    <x v="40"/>
    <s v="Lucknow"/>
    <x v="3"/>
    <s v="P008"/>
    <x v="21"/>
    <x v="2"/>
    <n v="1"/>
    <x v="19"/>
    <n v="4500"/>
    <m/>
    <m/>
    <m/>
    <m/>
  </r>
  <r>
    <x v="314"/>
    <x v="105"/>
    <s v="C039"/>
    <x v="60"/>
    <s v="Bhubaneswar"/>
    <x v="0"/>
    <s v="P020"/>
    <x v="5"/>
    <x v="3"/>
    <n v="2"/>
    <x v="5"/>
    <n v="3200"/>
    <m/>
    <m/>
    <m/>
    <m/>
  </r>
  <r>
    <x v="315"/>
    <x v="59"/>
    <s v="C058"/>
    <x v="62"/>
    <s v="Pune"/>
    <x v="2"/>
    <s v="P025"/>
    <x v="26"/>
    <x v="3"/>
    <n v="1"/>
    <x v="22"/>
    <n v="3800"/>
    <m/>
    <m/>
    <m/>
    <m/>
  </r>
  <r>
    <x v="316"/>
    <x v="91"/>
    <s v="C041"/>
    <x v="65"/>
    <s v="Mumbai"/>
    <x v="2"/>
    <s v="P020"/>
    <x v="5"/>
    <x v="3"/>
    <n v="1"/>
    <x v="5"/>
    <n v="1600"/>
    <m/>
    <m/>
    <m/>
    <m/>
  </r>
  <r>
    <x v="317"/>
    <x v="93"/>
    <s v="C049"/>
    <x v="29"/>
    <s v="Delhi"/>
    <x v="3"/>
    <s v="P010"/>
    <x v="10"/>
    <x v="2"/>
    <n v="2"/>
    <x v="8"/>
    <n v="4400"/>
    <m/>
    <m/>
    <m/>
    <m/>
  </r>
  <r>
    <x v="318"/>
    <x v="209"/>
    <s v="C070"/>
    <x v="24"/>
    <s v="Guwahati"/>
    <x v="0"/>
    <s v="P013"/>
    <x v="12"/>
    <x v="0"/>
    <n v="2"/>
    <x v="10"/>
    <n v="8400"/>
    <m/>
    <m/>
    <m/>
    <m/>
  </r>
  <r>
    <x v="319"/>
    <x v="153"/>
    <s v="C047"/>
    <x v="25"/>
    <s v="Hyderabad"/>
    <x v="1"/>
    <s v="P008"/>
    <x v="21"/>
    <x v="2"/>
    <n v="1"/>
    <x v="19"/>
    <n v="4500"/>
    <m/>
    <m/>
    <m/>
    <m/>
  </r>
  <r>
    <x v="320"/>
    <x v="210"/>
    <s v="C041"/>
    <x v="65"/>
    <s v="Mumbai"/>
    <x v="2"/>
    <s v="P025"/>
    <x v="26"/>
    <x v="3"/>
    <n v="2"/>
    <x v="22"/>
    <n v="7600"/>
    <m/>
    <m/>
    <m/>
    <m/>
  </r>
  <r>
    <x v="321"/>
    <x v="211"/>
    <s v="C036"/>
    <x v="15"/>
    <s v="Chandigarh"/>
    <x v="3"/>
    <s v="P027"/>
    <x v="29"/>
    <x v="1"/>
    <n v="1"/>
    <x v="25"/>
    <n v="5500"/>
    <m/>
    <m/>
    <m/>
    <m/>
  </r>
  <r>
    <x v="322"/>
    <x v="212"/>
    <s v="C034"/>
    <x v="43"/>
    <s v="Jaipur"/>
    <x v="3"/>
    <s v="P026"/>
    <x v="1"/>
    <x v="1"/>
    <n v="1"/>
    <x v="1"/>
    <n v="2400"/>
    <m/>
    <m/>
    <m/>
    <m/>
  </r>
  <r>
    <x v="323"/>
    <x v="50"/>
    <s v="C009"/>
    <x v="30"/>
    <s v="Mumbai"/>
    <x v="2"/>
    <s v="P029"/>
    <x v="14"/>
    <x v="1"/>
    <n v="1"/>
    <x v="12"/>
    <n v="2000"/>
    <m/>
    <m/>
    <m/>
    <m/>
  </r>
  <r>
    <x v="324"/>
    <x v="213"/>
    <s v="C024"/>
    <x v="6"/>
    <s v="Patna"/>
    <x v="0"/>
    <s v="P008"/>
    <x v="21"/>
    <x v="2"/>
    <n v="3"/>
    <x v="19"/>
    <n v="13500"/>
    <m/>
    <m/>
    <m/>
    <m/>
  </r>
  <r>
    <x v="325"/>
    <x v="23"/>
    <s v="C003"/>
    <x v="32"/>
    <s v="Lucknow"/>
    <x v="3"/>
    <s v="P002"/>
    <x v="17"/>
    <x v="2"/>
    <n v="1"/>
    <x v="15"/>
    <n v="52000"/>
    <m/>
    <m/>
    <m/>
    <m/>
  </r>
  <r>
    <x v="326"/>
    <x v="95"/>
    <s v="C014"/>
    <x v="70"/>
    <s v="Chennai"/>
    <x v="1"/>
    <s v="P005"/>
    <x v="15"/>
    <x v="2"/>
    <n v="1"/>
    <x v="13"/>
    <n v="28000"/>
    <m/>
    <m/>
    <m/>
    <m/>
  </r>
  <r>
    <x v="327"/>
    <x v="179"/>
    <s v="C074"/>
    <x v="49"/>
    <s v="Pune"/>
    <x v="2"/>
    <s v="P005"/>
    <x v="15"/>
    <x v="2"/>
    <n v="3"/>
    <x v="13"/>
    <n v="84000"/>
    <m/>
    <m/>
    <m/>
    <m/>
  </r>
  <r>
    <x v="328"/>
    <x v="161"/>
    <s v="C007"/>
    <x v="8"/>
    <s v="Bhubaneswar"/>
    <x v="0"/>
    <s v="P014"/>
    <x v="0"/>
    <x v="0"/>
    <n v="3"/>
    <x v="0"/>
    <n v="33000"/>
    <m/>
    <m/>
    <m/>
    <m/>
  </r>
  <r>
    <x v="329"/>
    <x v="214"/>
    <s v="C051"/>
    <x v="53"/>
    <s v="Lucknow"/>
    <x v="3"/>
    <s v="P016"/>
    <x v="8"/>
    <x v="0"/>
    <n v="1"/>
    <x v="8"/>
    <n v="2200"/>
    <m/>
    <m/>
    <m/>
    <m/>
  </r>
  <r>
    <x v="330"/>
    <x v="215"/>
    <s v="C026"/>
    <x v="19"/>
    <s v="Pune"/>
    <x v="2"/>
    <s v="P020"/>
    <x v="5"/>
    <x v="3"/>
    <n v="4"/>
    <x v="5"/>
    <n v="6400"/>
    <m/>
    <m/>
    <m/>
    <m/>
  </r>
  <r>
    <x v="331"/>
    <x v="179"/>
    <s v="C036"/>
    <x v="15"/>
    <s v="Chandigarh"/>
    <x v="3"/>
    <s v="P012"/>
    <x v="16"/>
    <x v="0"/>
    <n v="2"/>
    <x v="14"/>
    <n v="10000"/>
    <m/>
    <m/>
    <m/>
    <m/>
  </r>
  <r>
    <x v="332"/>
    <x v="216"/>
    <s v="C066"/>
    <x v="67"/>
    <s v="Jaipur"/>
    <x v="3"/>
    <s v="P005"/>
    <x v="15"/>
    <x v="2"/>
    <n v="2"/>
    <x v="13"/>
    <n v="56000"/>
    <m/>
    <m/>
    <m/>
    <m/>
  </r>
  <r>
    <x v="333"/>
    <x v="94"/>
    <s v="C038"/>
    <x v="56"/>
    <s v="Guwahati"/>
    <x v="0"/>
    <s v="P023"/>
    <x v="25"/>
    <x v="3"/>
    <n v="3"/>
    <x v="10"/>
    <n v="12600"/>
    <m/>
    <m/>
    <m/>
    <m/>
  </r>
  <r>
    <x v="334"/>
    <x v="70"/>
    <s v="C006"/>
    <x v="36"/>
    <s v="Guwahati"/>
    <x v="0"/>
    <s v="P019"/>
    <x v="24"/>
    <x v="3"/>
    <n v="1"/>
    <x v="21"/>
    <n v="3200"/>
    <m/>
    <m/>
    <m/>
    <m/>
  </r>
  <r>
    <x v="335"/>
    <x v="98"/>
    <s v="C070"/>
    <x v="24"/>
    <s v="Guwahati"/>
    <x v="0"/>
    <s v="P002"/>
    <x v="17"/>
    <x v="2"/>
    <n v="1"/>
    <x v="15"/>
    <n v="52000"/>
    <m/>
    <m/>
    <m/>
    <m/>
  </r>
  <r>
    <x v="336"/>
    <x v="217"/>
    <s v="C011"/>
    <x v="28"/>
    <s v="Ahmedabad"/>
    <x v="2"/>
    <s v="P020"/>
    <x v="5"/>
    <x v="3"/>
    <n v="1"/>
    <x v="5"/>
    <n v="1600"/>
    <m/>
    <m/>
    <m/>
    <m/>
  </r>
  <r>
    <x v="337"/>
    <x v="16"/>
    <s v="C068"/>
    <x v="20"/>
    <s v="Chandigarh"/>
    <x v="3"/>
    <s v="P025"/>
    <x v="26"/>
    <x v="3"/>
    <n v="1"/>
    <x v="22"/>
    <n v="3800"/>
    <m/>
    <m/>
    <m/>
    <m/>
  </r>
  <r>
    <x v="338"/>
    <x v="181"/>
    <s v="C017"/>
    <x v="71"/>
    <s v="Delhi"/>
    <x v="3"/>
    <s v="P006"/>
    <x v="3"/>
    <x v="2"/>
    <n v="1"/>
    <x v="3"/>
    <n v="12000"/>
    <m/>
    <m/>
    <m/>
    <m/>
  </r>
  <r>
    <x v="339"/>
    <x v="144"/>
    <s v="C015"/>
    <x v="48"/>
    <s v="Hyderabad"/>
    <x v="1"/>
    <s v="P029"/>
    <x v="14"/>
    <x v="1"/>
    <n v="1"/>
    <x v="12"/>
    <n v="2000"/>
    <m/>
    <m/>
    <m/>
    <m/>
  </r>
  <r>
    <x v="340"/>
    <x v="65"/>
    <s v="C055"/>
    <x v="63"/>
    <s v="Bhubaneswar"/>
    <x v="0"/>
    <s v="P015"/>
    <x v="7"/>
    <x v="0"/>
    <n v="1"/>
    <x v="7"/>
    <n v="9000"/>
    <m/>
    <m/>
    <m/>
    <m/>
  </r>
  <r>
    <x v="341"/>
    <x v="58"/>
    <s v="C068"/>
    <x v="20"/>
    <s v="Chandigarh"/>
    <x v="3"/>
    <s v="P028"/>
    <x v="20"/>
    <x v="1"/>
    <n v="3"/>
    <x v="18"/>
    <n v="4200"/>
    <m/>
    <m/>
    <m/>
    <m/>
  </r>
  <r>
    <x v="342"/>
    <x v="218"/>
    <s v="C052"/>
    <x v="5"/>
    <s v="Chandigarh"/>
    <x v="3"/>
    <s v="P008"/>
    <x v="21"/>
    <x v="2"/>
    <n v="2"/>
    <x v="19"/>
    <n v="9000"/>
    <m/>
    <m/>
    <m/>
    <m/>
  </r>
  <r>
    <x v="343"/>
    <x v="219"/>
    <s v="C021"/>
    <x v="4"/>
    <s v="Kolkata"/>
    <x v="0"/>
    <s v="P024"/>
    <x v="11"/>
    <x v="3"/>
    <n v="1"/>
    <x v="9"/>
    <n v="3000"/>
    <m/>
    <m/>
    <m/>
    <m/>
  </r>
  <r>
    <x v="344"/>
    <x v="220"/>
    <s v="C007"/>
    <x v="8"/>
    <s v="Bhubaneswar"/>
    <x v="0"/>
    <s v="P010"/>
    <x v="10"/>
    <x v="2"/>
    <n v="3"/>
    <x v="8"/>
    <n v="6600"/>
    <m/>
    <m/>
    <m/>
    <m/>
  </r>
  <r>
    <x v="345"/>
    <x v="221"/>
    <s v="C045"/>
    <x v="72"/>
    <s v="Bengaluru"/>
    <x v="1"/>
    <s v="P022"/>
    <x v="18"/>
    <x v="3"/>
    <n v="2"/>
    <x v="16"/>
    <n v="9600"/>
    <m/>
    <m/>
    <m/>
    <m/>
  </r>
  <r>
    <x v="346"/>
    <x v="24"/>
    <s v="C071"/>
    <x v="1"/>
    <s v="Bhubaneswar"/>
    <x v="0"/>
    <s v="P007"/>
    <x v="13"/>
    <x v="2"/>
    <n v="4"/>
    <x v="11"/>
    <n v="72000"/>
    <m/>
    <m/>
    <m/>
    <m/>
  </r>
  <r>
    <x v="347"/>
    <x v="108"/>
    <s v="C017"/>
    <x v="71"/>
    <s v="Delhi"/>
    <x v="3"/>
    <s v="P026"/>
    <x v="1"/>
    <x v="1"/>
    <n v="2"/>
    <x v="1"/>
    <n v="4800"/>
    <m/>
    <m/>
    <m/>
    <m/>
  </r>
  <r>
    <x v="348"/>
    <x v="134"/>
    <s v="C064"/>
    <x v="10"/>
    <s v="Kochi"/>
    <x v="1"/>
    <s v="P022"/>
    <x v="18"/>
    <x v="3"/>
    <n v="1"/>
    <x v="16"/>
    <n v="4800"/>
    <m/>
    <m/>
    <m/>
    <m/>
  </r>
  <r>
    <x v="349"/>
    <x v="210"/>
    <s v="C012"/>
    <x v="37"/>
    <s v="Surat"/>
    <x v="2"/>
    <s v="P021"/>
    <x v="9"/>
    <x v="3"/>
    <n v="4"/>
    <x v="1"/>
    <n v="9600"/>
    <m/>
    <m/>
    <m/>
    <m/>
  </r>
  <r>
    <x v="350"/>
    <x v="53"/>
    <s v="C047"/>
    <x v="25"/>
    <s v="Hyderabad"/>
    <x v="1"/>
    <s v="P013"/>
    <x v="12"/>
    <x v="0"/>
    <n v="1"/>
    <x v="10"/>
    <n v="4200"/>
    <m/>
    <m/>
    <m/>
    <m/>
  </r>
  <r>
    <x v="351"/>
    <x v="222"/>
    <s v="C021"/>
    <x v="4"/>
    <s v="Kolkata"/>
    <x v="0"/>
    <s v="P029"/>
    <x v="14"/>
    <x v="1"/>
    <n v="2"/>
    <x v="12"/>
    <n v="4000"/>
    <m/>
    <m/>
    <m/>
    <m/>
  </r>
  <r>
    <x v="352"/>
    <x v="105"/>
    <s v="C047"/>
    <x v="25"/>
    <s v="Hyderabad"/>
    <x v="1"/>
    <s v="P007"/>
    <x v="13"/>
    <x v="2"/>
    <n v="1"/>
    <x v="11"/>
    <n v="18000"/>
    <m/>
    <m/>
    <m/>
    <m/>
  </r>
  <r>
    <x v="353"/>
    <x v="165"/>
    <s v="C061"/>
    <x v="21"/>
    <s v="Bengaluru"/>
    <x v="1"/>
    <s v="P022"/>
    <x v="18"/>
    <x v="3"/>
    <n v="1"/>
    <x v="16"/>
    <n v="4800"/>
    <m/>
    <m/>
    <m/>
    <m/>
  </r>
  <r>
    <x v="354"/>
    <x v="223"/>
    <s v="C055"/>
    <x v="63"/>
    <s v="Bhubaneswar"/>
    <x v="0"/>
    <s v="P012"/>
    <x v="16"/>
    <x v="0"/>
    <n v="2"/>
    <x v="14"/>
    <n v="10000"/>
    <m/>
    <m/>
    <m/>
    <m/>
  </r>
  <r>
    <x v="355"/>
    <x v="21"/>
    <s v="C021"/>
    <x v="4"/>
    <s v="Kolkata"/>
    <x v="0"/>
    <s v="P021"/>
    <x v="9"/>
    <x v="3"/>
    <n v="3"/>
    <x v="1"/>
    <n v="7200"/>
    <m/>
    <m/>
    <m/>
    <m/>
  </r>
  <r>
    <x v="356"/>
    <x v="9"/>
    <s v="C018"/>
    <x v="66"/>
    <s v="Jaipur"/>
    <x v="3"/>
    <s v="P009"/>
    <x v="27"/>
    <x v="2"/>
    <n v="3"/>
    <x v="23"/>
    <n v="7500"/>
    <m/>
    <m/>
    <m/>
    <m/>
  </r>
  <r>
    <x v="357"/>
    <x v="119"/>
    <s v="C071"/>
    <x v="1"/>
    <s v="Bhubaneswar"/>
    <x v="0"/>
    <s v="P007"/>
    <x v="13"/>
    <x v="2"/>
    <n v="1"/>
    <x v="11"/>
    <n v="18000"/>
    <m/>
    <m/>
    <m/>
    <m/>
  </r>
  <r>
    <x v="358"/>
    <x v="224"/>
    <s v="C051"/>
    <x v="53"/>
    <s v="Lucknow"/>
    <x v="3"/>
    <s v="P027"/>
    <x v="29"/>
    <x v="1"/>
    <n v="4"/>
    <x v="25"/>
    <n v="22000"/>
    <m/>
    <m/>
    <m/>
    <m/>
  </r>
  <r>
    <x v="359"/>
    <x v="225"/>
    <s v="C057"/>
    <x v="13"/>
    <s v="Mumbai"/>
    <x v="2"/>
    <s v="P007"/>
    <x v="13"/>
    <x v="2"/>
    <n v="2"/>
    <x v="11"/>
    <n v="36000"/>
    <m/>
    <m/>
    <m/>
    <m/>
  </r>
  <r>
    <x v="360"/>
    <x v="110"/>
    <s v="C075"/>
    <x v="7"/>
    <s v="Ahmedabad"/>
    <x v="2"/>
    <s v="P002"/>
    <x v="17"/>
    <x v="2"/>
    <n v="1"/>
    <x v="15"/>
    <n v="52000"/>
    <m/>
    <m/>
    <m/>
    <m/>
  </r>
  <r>
    <x v="361"/>
    <x v="132"/>
    <s v="C060"/>
    <x v="47"/>
    <s v="Surat"/>
    <x v="2"/>
    <s v="P011"/>
    <x v="28"/>
    <x v="0"/>
    <n v="1"/>
    <x v="24"/>
    <n v="6500"/>
    <m/>
    <m/>
    <m/>
    <m/>
  </r>
  <r>
    <x v="362"/>
    <x v="146"/>
    <s v="C007"/>
    <x v="8"/>
    <s v="Bhubaneswar"/>
    <x v="0"/>
    <s v="P010"/>
    <x v="10"/>
    <x v="2"/>
    <n v="2"/>
    <x v="8"/>
    <n v="4400"/>
    <m/>
    <m/>
    <m/>
    <m/>
  </r>
  <r>
    <x v="363"/>
    <x v="226"/>
    <s v="C055"/>
    <x v="63"/>
    <s v="Bhubaneswar"/>
    <x v="0"/>
    <s v="P001"/>
    <x v="23"/>
    <x v="2"/>
    <n v="3"/>
    <x v="20"/>
    <n v="195000"/>
    <m/>
    <m/>
    <m/>
    <m/>
  </r>
  <r>
    <x v="364"/>
    <x v="32"/>
    <s v="C073"/>
    <x v="12"/>
    <s v="Mumbai"/>
    <x v="2"/>
    <s v="P001"/>
    <x v="23"/>
    <x v="2"/>
    <n v="2"/>
    <x v="20"/>
    <n v="130000"/>
    <m/>
    <m/>
    <m/>
    <m/>
  </r>
  <r>
    <x v="365"/>
    <x v="175"/>
    <s v="C002"/>
    <x v="34"/>
    <s v="Jaipur"/>
    <x v="3"/>
    <s v="P014"/>
    <x v="0"/>
    <x v="0"/>
    <n v="2"/>
    <x v="0"/>
    <n v="22000"/>
    <m/>
    <m/>
    <m/>
    <m/>
  </r>
  <r>
    <x v="366"/>
    <x v="30"/>
    <s v="C008"/>
    <x v="0"/>
    <s v="Patna"/>
    <x v="0"/>
    <s v="P023"/>
    <x v="25"/>
    <x v="3"/>
    <n v="2"/>
    <x v="10"/>
    <n v="8400"/>
    <m/>
    <m/>
    <m/>
    <m/>
  </r>
  <r>
    <x v="367"/>
    <x v="115"/>
    <s v="C044"/>
    <x v="61"/>
    <s v="Surat"/>
    <x v="2"/>
    <s v="P014"/>
    <x v="0"/>
    <x v="0"/>
    <n v="1"/>
    <x v="0"/>
    <n v="11000"/>
    <m/>
    <m/>
    <m/>
    <m/>
  </r>
  <r>
    <x v="368"/>
    <x v="102"/>
    <s v="C034"/>
    <x v="43"/>
    <s v="Jaipur"/>
    <x v="3"/>
    <s v="P005"/>
    <x v="15"/>
    <x v="2"/>
    <n v="2"/>
    <x v="13"/>
    <n v="56000"/>
    <m/>
    <m/>
    <m/>
    <m/>
  </r>
  <r>
    <x v="369"/>
    <x v="127"/>
    <s v="C037"/>
    <x v="17"/>
    <s v="Kolkata"/>
    <x v="0"/>
    <s v="P013"/>
    <x v="12"/>
    <x v="0"/>
    <n v="2"/>
    <x v="10"/>
    <n v="8400"/>
    <m/>
    <m/>
    <m/>
    <m/>
  </r>
  <r>
    <x v="370"/>
    <x v="227"/>
    <s v="C007"/>
    <x v="8"/>
    <s v="Bhubaneswar"/>
    <x v="0"/>
    <s v="P012"/>
    <x v="16"/>
    <x v="0"/>
    <n v="1"/>
    <x v="14"/>
    <n v="5000"/>
    <m/>
    <m/>
    <m/>
    <m/>
  </r>
  <r>
    <x v="371"/>
    <x v="19"/>
    <s v="C006"/>
    <x v="36"/>
    <s v="Guwahati"/>
    <x v="0"/>
    <s v="P003"/>
    <x v="4"/>
    <x v="2"/>
    <n v="1"/>
    <x v="4"/>
    <n v="30000"/>
    <m/>
    <m/>
    <m/>
    <m/>
  </r>
  <r>
    <x v="372"/>
    <x v="72"/>
    <s v="C006"/>
    <x v="36"/>
    <s v="Guwahati"/>
    <x v="0"/>
    <s v="P001"/>
    <x v="23"/>
    <x v="2"/>
    <n v="1"/>
    <x v="20"/>
    <n v="65000"/>
    <m/>
    <m/>
    <m/>
    <m/>
  </r>
  <r>
    <x v="373"/>
    <x v="211"/>
    <s v="C017"/>
    <x v="71"/>
    <s v="Delhi"/>
    <x v="3"/>
    <s v="P001"/>
    <x v="23"/>
    <x v="2"/>
    <n v="1"/>
    <x v="20"/>
    <n v="65000"/>
    <m/>
    <m/>
    <m/>
    <m/>
  </r>
  <r>
    <x v="374"/>
    <x v="140"/>
    <s v="C014"/>
    <x v="70"/>
    <s v="Chennai"/>
    <x v="1"/>
    <s v="P029"/>
    <x v="14"/>
    <x v="1"/>
    <n v="1"/>
    <x v="12"/>
    <n v="2000"/>
    <m/>
    <m/>
    <m/>
    <m/>
  </r>
  <r>
    <x v="375"/>
    <x v="171"/>
    <s v="C014"/>
    <x v="70"/>
    <s v="Chennai"/>
    <x v="1"/>
    <s v="P012"/>
    <x v="16"/>
    <x v="0"/>
    <n v="3"/>
    <x v="14"/>
    <n v="15000"/>
    <m/>
    <m/>
    <m/>
    <m/>
  </r>
  <r>
    <x v="376"/>
    <x v="65"/>
    <s v="C037"/>
    <x v="17"/>
    <s v="Kolkata"/>
    <x v="0"/>
    <s v="P009"/>
    <x v="27"/>
    <x v="2"/>
    <n v="1"/>
    <x v="23"/>
    <n v="2500"/>
    <m/>
    <m/>
    <m/>
    <m/>
  </r>
  <r>
    <x v="377"/>
    <x v="149"/>
    <s v="C043"/>
    <x v="3"/>
    <s v="Ahmedabad"/>
    <x v="2"/>
    <s v="P027"/>
    <x v="29"/>
    <x v="1"/>
    <n v="3"/>
    <x v="25"/>
    <n v="16500"/>
    <m/>
    <m/>
    <m/>
    <m/>
  </r>
  <r>
    <x v="378"/>
    <x v="184"/>
    <s v="C011"/>
    <x v="28"/>
    <s v="Ahmedabad"/>
    <x v="2"/>
    <s v="P012"/>
    <x v="16"/>
    <x v="0"/>
    <n v="2"/>
    <x v="14"/>
    <n v="10000"/>
    <m/>
    <m/>
    <m/>
    <m/>
  </r>
  <r>
    <x v="379"/>
    <x v="39"/>
    <s v="C058"/>
    <x v="62"/>
    <s v="Pune"/>
    <x v="2"/>
    <s v="P023"/>
    <x v="25"/>
    <x v="3"/>
    <n v="1"/>
    <x v="10"/>
    <n v="4200"/>
    <m/>
    <m/>
    <m/>
    <m/>
  </r>
  <r>
    <x v="380"/>
    <x v="228"/>
    <s v="C065"/>
    <x v="69"/>
    <s v="Delhi"/>
    <x v="3"/>
    <s v="P023"/>
    <x v="25"/>
    <x v="3"/>
    <n v="2"/>
    <x v="10"/>
    <n v="8400"/>
    <m/>
    <m/>
    <m/>
    <m/>
  </r>
  <r>
    <x v="381"/>
    <x v="229"/>
    <s v="C043"/>
    <x v="3"/>
    <s v="Ahmedabad"/>
    <x v="2"/>
    <s v="P019"/>
    <x v="24"/>
    <x v="3"/>
    <n v="2"/>
    <x v="21"/>
    <n v="6400"/>
    <m/>
    <m/>
    <m/>
    <m/>
  </r>
  <r>
    <x v="382"/>
    <x v="167"/>
    <s v="C037"/>
    <x v="17"/>
    <s v="Kolkata"/>
    <x v="0"/>
    <s v="P022"/>
    <x v="18"/>
    <x v="3"/>
    <n v="1"/>
    <x v="16"/>
    <n v="4800"/>
    <m/>
    <m/>
    <m/>
    <m/>
  </r>
  <r>
    <x v="383"/>
    <x v="230"/>
    <s v="C004"/>
    <x v="41"/>
    <s v="Chandigarh"/>
    <x v="3"/>
    <s v="P003"/>
    <x v="4"/>
    <x v="2"/>
    <n v="2"/>
    <x v="4"/>
    <n v="60000"/>
    <m/>
    <m/>
    <m/>
    <m/>
  </r>
  <r>
    <x v="384"/>
    <x v="220"/>
    <s v="C007"/>
    <x v="8"/>
    <s v="Bhubaneswar"/>
    <x v="0"/>
    <s v="P012"/>
    <x v="16"/>
    <x v="0"/>
    <n v="2"/>
    <x v="14"/>
    <n v="10000"/>
    <m/>
    <m/>
    <m/>
    <m/>
  </r>
  <r>
    <x v="385"/>
    <x v="66"/>
    <s v="C008"/>
    <x v="0"/>
    <s v="Patna"/>
    <x v="0"/>
    <s v="P024"/>
    <x v="11"/>
    <x v="3"/>
    <n v="2"/>
    <x v="9"/>
    <n v="6000"/>
    <m/>
    <m/>
    <m/>
    <m/>
  </r>
  <r>
    <x v="386"/>
    <x v="64"/>
    <s v="C068"/>
    <x v="20"/>
    <s v="Chandigarh"/>
    <x v="3"/>
    <s v="P030"/>
    <x v="6"/>
    <x v="1"/>
    <n v="2"/>
    <x v="6"/>
    <n v="7000"/>
    <m/>
    <m/>
    <m/>
    <m/>
  </r>
  <r>
    <x v="387"/>
    <x v="62"/>
    <s v="C035"/>
    <x v="16"/>
    <s v="Lucknow"/>
    <x v="3"/>
    <s v="P009"/>
    <x v="27"/>
    <x v="2"/>
    <n v="2"/>
    <x v="23"/>
    <n v="5000"/>
    <m/>
    <m/>
    <m/>
    <m/>
  </r>
  <r>
    <x v="388"/>
    <x v="206"/>
    <s v="C023"/>
    <x v="44"/>
    <s v="Bhubaneswar"/>
    <x v="0"/>
    <s v="P012"/>
    <x v="16"/>
    <x v="0"/>
    <n v="3"/>
    <x v="14"/>
    <n v="15000"/>
    <m/>
    <m/>
    <m/>
    <m/>
  </r>
  <r>
    <x v="389"/>
    <x v="225"/>
    <s v="C007"/>
    <x v="8"/>
    <s v="Bhubaneswar"/>
    <x v="0"/>
    <s v="P014"/>
    <x v="0"/>
    <x v="0"/>
    <n v="1"/>
    <x v="0"/>
    <n v="11000"/>
    <m/>
    <m/>
    <m/>
    <m/>
  </r>
  <r>
    <x v="390"/>
    <x v="105"/>
    <s v="C068"/>
    <x v="20"/>
    <s v="Chandigarh"/>
    <x v="3"/>
    <s v="P008"/>
    <x v="21"/>
    <x v="2"/>
    <n v="1"/>
    <x v="19"/>
    <n v="4500"/>
    <m/>
    <m/>
    <m/>
    <m/>
  </r>
  <r>
    <x v="391"/>
    <x v="27"/>
    <s v="C040"/>
    <x v="31"/>
    <s v="Patna"/>
    <x v="0"/>
    <s v="P003"/>
    <x v="4"/>
    <x v="2"/>
    <n v="1"/>
    <x v="4"/>
    <n v="30000"/>
    <m/>
    <m/>
    <m/>
    <m/>
  </r>
  <r>
    <x v="392"/>
    <x v="231"/>
    <s v="C068"/>
    <x v="20"/>
    <s v="Chandigarh"/>
    <x v="3"/>
    <s v="P026"/>
    <x v="1"/>
    <x v="1"/>
    <n v="2"/>
    <x v="1"/>
    <n v="4800"/>
    <m/>
    <m/>
    <m/>
    <m/>
  </r>
  <r>
    <x v="393"/>
    <x v="232"/>
    <s v="C028"/>
    <x v="55"/>
    <s v="Surat"/>
    <x v="2"/>
    <s v="P006"/>
    <x v="3"/>
    <x v="2"/>
    <n v="1"/>
    <x v="3"/>
    <n v="12000"/>
    <m/>
    <m/>
    <m/>
    <m/>
  </r>
  <r>
    <x v="394"/>
    <x v="221"/>
    <s v="C011"/>
    <x v="28"/>
    <s v="Ahmedabad"/>
    <x v="2"/>
    <s v="P024"/>
    <x v="11"/>
    <x v="3"/>
    <n v="1"/>
    <x v="9"/>
    <n v="3000"/>
    <m/>
    <m/>
    <m/>
    <m/>
  </r>
  <r>
    <x v="395"/>
    <x v="126"/>
    <s v="C050"/>
    <x v="14"/>
    <s v="Jaipur"/>
    <x v="3"/>
    <s v="P018"/>
    <x v="22"/>
    <x v="0"/>
    <n v="1"/>
    <x v="9"/>
    <n v="3000"/>
    <m/>
    <m/>
    <m/>
    <m/>
  </r>
  <r>
    <x v="396"/>
    <x v="233"/>
    <s v="C054"/>
    <x v="51"/>
    <s v="Guwahati"/>
    <x v="0"/>
    <s v="P021"/>
    <x v="9"/>
    <x v="3"/>
    <n v="2"/>
    <x v="1"/>
    <n v="4800"/>
    <m/>
    <m/>
    <m/>
    <m/>
  </r>
  <r>
    <x v="397"/>
    <x v="38"/>
    <s v="C023"/>
    <x v="44"/>
    <s v="Bhubaneswar"/>
    <x v="0"/>
    <s v="P019"/>
    <x v="24"/>
    <x v="3"/>
    <n v="2"/>
    <x v="21"/>
    <n v="6400"/>
    <m/>
    <m/>
    <m/>
    <m/>
  </r>
  <r>
    <x v="398"/>
    <x v="234"/>
    <s v="C010"/>
    <x v="50"/>
    <s v="Pune"/>
    <x v="2"/>
    <s v="P004"/>
    <x v="19"/>
    <x v="2"/>
    <n v="4"/>
    <x v="17"/>
    <n v="88000"/>
    <m/>
    <m/>
    <m/>
    <m/>
  </r>
  <r>
    <x v="399"/>
    <x v="100"/>
    <s v="C052"/>
    <x v="5"/>
    <s v="Chandigarh"/>
    <x v="3"/>
    <s v="P001"/>
    <x v="23"/>
    <x v="2"/>
    <n v="2"/>
    <x v="20"/>
    <n v="130000"/>
    <m/>
    <m/>
    <m/>
    <m/>
  </r>
  <r>
    <x v="400"/>
    <x v="235"/>
    <s v="C048"/>
    <x v="26"/>
    <s v="Kochi"/>
    <x v="1"/>
    <s v="P010"/>
    <x v="10"/>
    <x v="2"/>
    <n v="1"/>
    <x v="8"/>
    <n v="2200"/>
    <m/>
    <m/>
    <m/>
    <m/>
  </r>
  <r>
    <x v="401"/>
    <x v="161"/>
    <s v="C075"/>
    <x v="7"/>
    <s v="Ahmedabad"/>
    <x v="2"/>
    <s v="P003"/>
    <x v="4"/>
    <x v="2"/>
    <n v="2"/>
    <x v="4"/>
    <n v="60000"/>
    <m/>
    <m/>
    <m/>
    <m/>
  </r>
  <r>
    <x v="402"/>
    <x v="16"/>
    <s v="C041"/>
    <x v="65"/>
    <s v="Mumbai"/>
    <x v="2"/>
    <s v="P001"/>
    <x v="23"/>
    <x v="2"/>
    <n v="1"/>
    <x v="20"/>
    <n v="65000"/>
    <m/>
    <m/>
    <m/>
    <m/>
  </r>
  <r>
    <x v="403"/>
    <x v="236"/>
    <s v="C035"/>
    <x v="16"/>
    <s v="Lucknow"/>
    <x v="3"/>
    <s v="P016"/>
    <x v="8"/>
    <x v="0"/>
    <n v="1"/>
    <x v="8"/>
    <n v="2200"/>
    <m/>
    <m/>
    <m/>
    <m/>
  </r>
  <r>
    <x v="404"/>
    <x v="132"/>
    <s v="C056"/>
    <x v="33"/>
    <s v="Patna"/>
    <x v="0"/>
    <s v="P004"/>
    <x v="19"/>
    <x v="2"/>
    <n v="1"/>
    <x v="17"/>
    <n v="22000"/>
    <m/>
    <m/>
    <m/>
    <m/>
  </r>
  <r>
    <x v="405"/>
    <x v="237"/>
    <s v="C026"/>
    <x v="19"/>
    <s v="Pune"/>
    <x v="2"/>
    <s v="P022"/>
    <x v="18"/>
    <x v="3"/>
    <n v="5"/>
    <x v="16"/>
    <n v="24000"/>
    <m/>
    <m/>
    <m/>
    <m/>
  </r>
  <r>
    <x v="406"/>
    <x v="238"/>
    <s v="C035"/>
    <x v="16"/>
    <s v="Lucknow"/>
    <x v="3"/>
    <s v="P028"/>
    <x v="20"/>
    <x v="1"/>
    <n v="3"/>
    <x v="18"/>
    <n v="4200"/>
    <m/>
    <m/>
    <m/>
    <m/>
  </r>
  <r>
    <x v="407"/>
    <x v="184"/>
    <s v="C029"/>
    <x v="11"/>
    <s v="Bengaluru"/>
    <x v="1"/>
    <s v="P001"/>
    <x v="23"/>
    <x v="2"/>
    <n v="1"/>
    <x v="20"/>
    <n v="65000"/>
    <m/>
    <m/>
    <m/>
    <m/>
  </r>
  <r>
    <x v="408"/>
    <x v="239"/>
    <s v="C052"/>
    <x v="5"/>
    <s v="Chandigarh"/>
    <x v="3"/>
    <s v="P017"/>
    <x v="2"/>
    <x v="0"/>
    <n v="1"/>
    <x v="2"/>
    <n v="15000"/>
    <m/>
    <m/>
    <m/>
    <m/>
  </r>
  <r>
    <x v="409"/>
    <x v="49"/>
    <s v="C007"/>
    <x v="8"/>
    <s v="Bhubaneswar"/>
    <x v="0"/>
    <s v="P015"/>
    <x v="7"/>
    <x v="0"/>
    <n v="1"/>
    <x v="7"/>
    <n v="9000"/>
    <m/>
    <m/>
    <m/>
    <m/>
  </r>
  <r>
    <x v="410"/>
    <x v="133"/>
    <s v="C034"/>
    <x v="43"/>
    <s v="Jaipur"/>
    <x v="3"/>
    <s v="P001"/>
    <x v="23"/>
    <x v="2"/>
    <n v="1"/>
    <x v="20"/>
    <n v="65000"/>
    <m/>
    <m/>
    <m/>
    <m/>
  </r>
  <r>
    <x v="411"/>
    <x v="198"/>
    <s v="C029"/>
    <x v="11"/>
    <s v="Bengaluru"/>
    <x v="1"/>
    <s v="P022"/>
    <x v="18"/>
    <x v="3"/>
    <n v="1"/>
    <x v="16"/>
    <n v="4800"/>
    <m/>
    <m/>
    <m/>
    <m/>
  </r>
  <r>
    <x v="412"/>
    <x v="240"/>
    <s v="C068"/>
    <x v="20"/>
    <s v="Chandigarh"/>
    <x v="3"/>
    <s v="P005"/>
    <x v="15"/>
    <x v="2"/>
    <n v="1"/>
    <x v="13"/>
    <n v="28000"/>
    <m/>
    <m/>
    <m/>
    <m/>
  </r>
  <r>
    <x v="413"/>
    <x v="152"/>
    <s v="C022"/>
    <x v="18"/>
    <s v="Guwahati"/>
    <x v="0"/>
    <s v="P011"/>
    <x v="28"/>
    <x v="0"/>
    <n v="3"/>
    <x v="24"/>
    <n v="19500"/>
    <m/>
    <m/>
    <m/>
    <m/>
  </r>
  <r>
    <x v="414"/>
    <x v="241"/>
    <s v="C003"/>
    <x v="32"/>
    <s v="Lucknow"/>
    <x v="3"/>
    <s v="P005"/>
    <x v="15"/>
    <x v="2"/>
    <n v="1"/>
    <x v="13"/>
    <n v="28000"/>
    <m/>
    <m/>
    <m/>
    <m/>
  </r>
  <r>
    <x v="415"/>
    <x v="170"/>
    <s v="C054"/>
    <x v="51"/>
    <s v="Guwahati"/>
    <x v="0"/>
    <s v="P030"/>
    <x v="6"/>
    <x v="1"/>
    <n v="1"/>
    <x v="6"/>
    <n v="3500"/>
    <m/>
    <m/>
    <m/>
    <m/>
  </r>
  <r>
    <x v="416"/>
    <x v="154"/>
    <s v="C067"/>
    <x v="9"/>
    <s v="Lucknow"/>
    <x v="3"/>
    <s v="P021"/>
    <x v="9"/>
    <x v="3"/>
    <n v="2"/>
    <x v="1"/>
    <n v="4800"/>
    <m/>
    <m/>
    <m/>
    <m/>
  </r>
  <r>
    <x v="417"/>
    <x v="242"/>
    <s v="C068"/>
    <x v="20"/>
    <s v="Chandigarh"/>
    <x v="3"/>
    <s v="P023"/>
    <x v="25"/>
    <x v="3"/>
    <n v="4"/>
    <x v="10"/>
    <n v="16800"/>
    <m/>
    <m/>
    <m/>
    <m/>
  </r>
  <r>
    <x v="418"/>
    <x v="129"/>
    <s v="C009"/>
    <x v="30"/>
    <s v="Mumbai"/>
    <x v="2"/>
    <s v="P022"/>
    <x v="18"/>
    <x v="3"/>
    <n v="1"/>
    <x v="16"/>
    <n v="4800"/>
    <m/>
    <m/>
    <m/>
    <m/>
  </r>
  <r>
    <x v="419"/>
    <x v="243"/>
    <s v="C047"/>
    <x v="25"/>
    <s v="Hyderabad"/>
    <x v="1"/>
    <s v="P002"/>
    <x v="17"/>
    <x v="2"/>
    <n v="2"/>
    <x v="15"/>
    <n v="104000"/>
    <m/>
    <m/>
    <m/>
    <m/>
  </r>
  <r>
    <x v="420"/>
    <x v="244"/>
    <s v="C003"/>
    <x v="32"/>
    <s v="Lucknow"/>
    <x v="3"/>
    <s v="P025"/>
    <x v="26"/>
    <x v="3"/>
    <n v="1"/>
    <x v="22"/>
    <n v="3800"/>
    <m/>
    <m/>
    <m/>
    <m/>
  </r>
  <r>
    <x v="421"/>
    <x v="135"/>
    <s v="C040"/>
    <x v="31"/>
    <s v="Patna"/>
    <x v="0"/>
    <s v="P023"/>
    <x v="25"/>
    <x v="3"/>
    <n v="1"/>
    <x v="10"/>
    <n v="4200"/>
    <m/>
    <m/>
    <m/>
    <m/>
  </r>
  <r>
    <x v="422"/>
    <x v="237"/>
    <s v="C008"/>
    <x v="0"/>
    <s v="Patna"/>
    <x v="0"/>
    <s v="P002"/>
    <x v="17"/>
    <x v="2"/>
    <n v="3"/>
    <x v="15"/>
    <n v="156000"/>
    <m/>
    <m/>
    <m/>
    <m/>
  </r>
  <r>
    <x v="423"/>
    <x v="65"/>
    <s v="C070"/>
    <x v="24"/>
    <s v="Guwahati"/>
    <x v="0"/>
    <s v="P004"/>
    <x v="19"/>
    <x v="2"/>
    <n v="1"/>
    <x v="17"/>
    <n v="22000"/>
    <m/>
    <m/>
    <m/>
    <m/>
  </r>
  <r>
    <x v="424"/>
    <x v="245"/>
    <s v="C008"/>
    <x v="0"/>
    <s v="Patna"/>
    <x v="0"/>
    <s v="P025"/>
    <x v="26"/>
    <x v="3"/>
    <n v="1"/>
    <x v="22"/>
    <n v="3800"/>
    <m/>
    <m/>
    <m/>
    <m/>
  </r>
  <r>
    <x v="425"/>
    <x v="48"/>
    <s v="C052"/>
    <x v="5"/>
    <s v="Chandigarh"/>
    <x v="3"/>
    <s v="P002"/>
    <x v="17"/>
    <x v="2"/>
    <n v="3"/>
    <x v="15"/>
    <n v="156000"/>
    <m/>
    <m/>
    <m/>
    <m/>
  </r>
  <r>
    <x v="426"/>
    <x v="188"/>
    <s v="C044"/>
    <x v="61"/>
    <s v="Surat"/>
    <x v="2"/>
    <s v="P007"/>
    <x v="13"/>
    <x v="2"/>
    <n v="3"/>
    <x v="11"/>
    <n v="54000"/>
    <m/>
    <m/>
    <m/>
    <m/>
  </r>
  <r>
    <x v="427"/>
    <x v="176"/>
    <s v="C074"/>
    <x v="49"/>
    <s v="Pune"/>
    <x v="2"/>
    <s v="P008"/>
    <x v="21"/>
    <x v="2"/>
    <n v="1"/>
    <x v="19"/>
    <n v="4500"/>
    <m/>
    <m/>
    <m/>
    <m/>
  </r>
  <r>
    <x v="428"/>
    <x v="246"/>
    <s v="C038"/>
    <x v="56"/>
    <s v="Guwahati"/>
    <x v="0"/>
    <s v="P024"/>
    <x v="11"/>
    <x v="3"/>
    <n v="1"/>
    <x v="9"/>
    <n v="3000"/>
    <m/>
    <m/>
    <m/>
    <m/>
  </r>
  <r>
    <x v="429"/>
    <x v="97"/>
    <s v="C048"/>
    <x v="26"/>
    <s v="Kochi"/>
    <x v="1"/>
    <s v="P024"/>
    <x v="11"/>
    <x v="3"/>
    <n v="2"/>
    <x v="9"/>
    <n v="6000"/>
    <m/>
    <m/>
    <m/>
    <m/>
  </r>
  <r>
    <x v="430"/>
    <x v="247"/>
    <s v="C054"/>
    <x v="51"/>
    <s v="Guwahati"/>
    <x v="0"/>
    <s v="P027"/>
    <x v="29"/>
    <x v="1"/>
    <n v="1"/>
    <x v="25"/>
    <n v="5500"/>
    <m/>
    <m/>
    <m/>
    <m/>
  </r>
  <r>
    <x v="431"/>
    <x v="21"/>
    <s v="C070"/>
    <x v="24"/>
    <s v="Guwahati"/>
    <x v="0"/>
    <s v="P021"/>
    <x v="9"/>
    <x v="3"/>
    <n v="3"/>
    <x v="1"/>
    <n v="7200"/>
    <m/>
    <m/>
    <m/>
    <m/>
  </r>
  <r>
    <x v="432"/>
    <x v="48"/>
    <s v="C052"/>
    <x v="5"/>
    <s v="Chandigarh"/>
    <x v="3"/>
    <s v="P005"/>
    <x v="15"/>
    <x v="2"/>
    <n v="1"/>
    <x v="13"/>
    <n v="28000"/>
    <m/>
    <m/>
    <m/>
    <m/>
  </r>
  <r>
    <x v="433"/>
    <x v="248"/>
    <s v="C029"/>
    <x v="11"/>
    <s v="Bengaluru"/>
    <x v="1"/>
    <s v="P008"/>
    <x v="21"/>
    <x v="2"/>
    <n v="1"/>
    <x v="19"/>
    <n v="4500"/>
    <m/>
    <m/>
    <m/>
    <m/>
  </r>
  <r>
    <x v="434"/>
    <x v="249"/>
    <s v="C068"/>
    <x v="20"/>
    <s v="Chandigarh"/>
    <x v="3"/>
    <s v="P008"/>
    <x v="21"/>
    <x v="2"/>
    <n v="1"/>
    <x v="19"/>
    <n v="4500"/>
    <m/>
    <m/>
    <m/>
    <m/>
  </r>
  <r>
    <x v="435"/>
    <x v="63"/>
    <s v="C024"/>
    <x v="6"/>
    <s v="Patna"/>
    <x v="0"/>
    <s v="P020"/>
    <x v="5"/>
    <x v="3"/>
    <n v="1"/>
    <x v="5"/>
    <n v="1600"/>
    <m/>
    <m/>
    <m/>
    <m/>
  </r>
  <r>
    <x v="436"/>
    <x v="154"/>
    <s v="C034"/>
    <x v="43"/>
    <s v="Jaipur"/>
    <x v="3"/>
    <s v="P007"/>
    <x v="13"/>
    <x v="2"/>
    <n v="2"/>
    <x v="11"/>
    <n v="36000"/>
    <m/>
    <m/>
    <m/>
    <m/>
  </r>
  <r>
    <x v="437"/>
    <x v="239"/>
    <s v="C011"/>
    <x v="28"/>
    <s v="Ahmedabad"/>
    <x v="2"/>
    <s v="P024"/>
    <x v="11"/>
    <x v="3"/>
    <n v="3"/>
    <x v="9"/>
    <n v="9000"/>
    <m/>
    <m/>
    <m/>
    <m/>
  </r>
  <r>
    <x v="438"/>
    <x v="51"/>
    <s v="C023"/>
    <x v="44"/>
    <s v="Bhubaneswar"/>
    <x v="0"/>
    <s v="P022"/>
    <x v="18"/>
    <x v="3"/>
    <n v="1"/>
    <x v="16"/>
    <n v="4800"/>
    <m/>
    <m/>
    <m/>
    <m/>
  </r>
  <r>
    <x v="439"/>
    <x v="147"/>
    <s v="C003"/>
    <x v="32"/>
    <s v="Lucknow"/>
    <x v="3"/>
    <s v="P024"/>
    <x v="11"/>
    <x v="3"/>
    <n v="1"/>
    <x v="9"/>
    <n v="3000"/>
    <m/>
    <m/>
    <m/>
    <m/>
  </r>
  <r>
    <x v="440"/>
    <x v="37"/>
    <s v="C046"/>
    <x v="54"/>
    <s v="Chennai"/>
    <x v="1"/>
    <s v="P011"/>
    <x v="28"/>
    <x v="0"/>
    <n v="2"/>
    <x v="24"/>
    <n v="13000"/>
    <m/>
    <m/>
    <m/>
    <m/>
  </r>
  <r>
    <x v="441"/>
    <x v="187"/>
    <s v="C024"/>
    <x v="6"/>
    <s v="Patna"/>
    <x v="0"/>
    <s v="P007"/>
    <x v="13"/>
    <x v="2"/>
    <n v="1"/>
    <x v="11"/>
    <n v="18000"/>
    <m/>
    <m/>
    <m/>
    <m/>
  </r>
  <r>
    <x v="442"/>
    <x v="44"/>
    <s v="C034"/>
    <x v="43"/>
    <s v="Jaipur"/>
    <x v="3"/>
    <s v="P017"/>
    <x v="2"/>
    <x v="0"/>
    <n v="1"/>
    <x v="2"/>
    <n v="15000"/>
    <m/>
    <m/>
    <m/>
    <m/>
  </r>
  <r>
    <x v="443"/>
    <x v="229"/>
    <s v="C019"/>
    <x v="40"/>
    <s v="Lucknow"/>
    <x v="3"/>
    <s v="P006"/>
    <x v="3"/>
    <x v="2"/>
    <n v="1"/>
    <x v="3"/>
    <n v="12000"/>
    <m/>
    <m/>
    <m/>
    <m/>
  </r>
  <r>
    <x v="444"/>
    <x v="196"/>
    <s v="C069"/>
    <x v="22"/>
    <s v="Kolkata"/>
    <x v="0"/>
    <s v="P025"/>
    <x v="26"/>
    <x v="3"/>
    <n v="1"/>
    <x v="22"/>
    <n v="3800"/>
    <m/>
    <m/>
    <m/>
    <m/>
  </r>
  <r>
    <x v="445"/>
    <x v="195"/>
    <s v="C040"/>
    <x v="31"/>
    <s v="Patna"/>
    <x v="0"/>
    <s v="P014"/>
    <x v="0"/>
    <x v="0"/>
    <n v="1"/>
    <x v="0"/>
    <n v="11000"/>
    <m/>
    <m/>
    <m/>
    <m/>
  </r>
  <r>
    <x v="446"/>
    <x v="250"/>
    <s v="C056"/>
    <x v="33"/>
    <s v="Patna"/>
    <x v="0"/>
    <s v="P018"/>
    <x v="22"/>
    <x v="0"/>
    <n v="1"/>
    <x v="9"/>
    <n v="3000"/>
    <m/>
    <m/>
    <m/>
    <m/>
  </r>
  <r>
    <x v="447"/>
    <x v="251"/>
    <s v="C029"/>
    <x v="11"/>
    <s v="Bengaluru"/>
    <x v="1"/>
    <s v="P018"/>
    <x v="22"/>
    <x v="0"/>
    <n v="3"/>
    <x v="9"/>
    <n v="9000"/>
    <m/>
    <m/>
    <m/>
    <m/>
  </r>
  <r>
    <x v="448"/>
    <x v="77"/>
    <s v="C035"/>
    <x v="16"/>
    <s v="Lucknow"/>
    <x v="3"/>
    <s v="P001"/>
    <x v="23"/>
    <x v="2"/>
    <n v="2"/>
    <x v="20"/>
    <n v="130000"/>
    <m/>
    <m/>
    <m/>
    <m/>
  </r>
  <r>
    <x v="449"/>
    <x v="12"/>
    <s v="C062"/>
    <x v="64"/>
    <s v="Chennai"/>
    <x v="1"/>
    <s v="P027"/>
    <x v="29"/>
    <x v="1"/>
    <n v="1"/>
    <x v="25"/>
    <n v="5500"/>
    <m/>
    <m/>
    <m/>
    <m/>
  </r>
  <r>
    <x v="450"/>
    <x v="243"/>
    <s v="C051"/>
    <x v="53"/>
    <s v="Lucknow"/>
    <x v="3"/>
    <s v="P001"/>
    <x v="23"/>
    <x v="2"/>
    <n v="1"/>
    <x v="20"/>
    <n v="65000"/>
    <m/>
    <m/>
    <m/>
    <m/>
  </r>
  <r>
    <x v="451"/>
    <x v="252"/>
    <s v="C043"/>
    <x v="3"/>
    <s v="Ahmedabad"/>
    <x v="2"/>
    <s v="P010"/>
    <x v="10"/>
    <x v="2"/>
    <n v="1"/>
    <x v="8"/>
    <n v="2200"/>
    <m/>
    <m/>
    <m/>
    <m/>
  </r>
  <r>
    <x v="452"/>
    <x v="166"/>
    <s v="C022"/>
    <x v="18"/>
    <s v="Guwahati"/>
    <x v="0"/>
    <s v="P002"/>
    <x v="17"/>
    <x v="2"/>
    <n v="2"/>
    <x v="15"/>
    <n v="104000"/>
    <m/>
    <m/>
    <m/>
    <m/>
  </r>
  <r>
    <x v="453"/>
    <x v="253"/>
    <s v="C003"/>
    <x v="32"/>
    <s v="Lucknow"/>
    <x v="3"/>
    <s v="P028"/>
    <x v="20"/>
    <x v="1"/>
    <n v="2"/>
    <x v="18"/>
    <n v="2800"/>
    <m/>
    <m/>
    <m/>
    <m/>
  </r>
  <r>
    <x v="454"/>
    <x v="84"/>
    <s v="C011"/>
    <x v="28"/>
    <s v="Ahmedabad"/>
    <x v="2"/>
    <s v="P005"/>
    <x v="15"/>
    <x v="2"/>
    <n v="2"/>
    <x v="13"/>
    <n v="56000"/>
    <m/>
    <m/>
    <m/>
    <m/>
  </r>
  <r>
    <x v="455"/>
    <x v="254"/>
    <s v="C067"/>
    <x v="9"/>
    <s v="Lucknow"/>
    <x v="3"/>
    <s v="P011"/>
    <x v="28"/>
    <x v="0"/>
    <n v="1"/>
    <x v="24"/>
    <n v="6500"/>
    <m/>
    <m/>
    <m/>
    <m/>
  </r>
  <r>
    <x v="456"/>
    <x v="255"/>
    <s v="C068"/>
    <x v="20"/>
    <s v="Chandigarh"/>
    <x v="3"/>
    <s v="P021"/>
    <x v="9"/>
    <x v="3"/>
    <n v="1"/>
    <x v="1"/>
    <n v="2400"/>
    <m/>
    <m/>
    <m/>
    <m/>
  </r>
  <r>
    <x v="457"/>
    <x v="225"/>
    <s v="C001"/>
    <x v="42"/>
    <s v="Delhi"/>
    <x v="3"/>
    <s v="P023"/>
    <x v="25"/>
    <x v="3"/>
    <n v="2"/>
    <x v="10"/>
    <n v="8400"/>
    <m/>
    <m/>
    <m/>
    <m/>
  </r>
  <r>
    <x v="458"/>
    <x v="143"/>
    <s v="C037"/>
    <x v="17"/>
    <s v="Kolkata"/>
    <x v="0"/>
    <s v="P020"/>
    <x v="5"/>
    <x v="3"/>
    <n v="1"/>
    <x v="5"/>
    <n v="1600"/>
    <m/>
    <m/>
    <m/>
    <m/>
  </r>
  <r>
    <x v="459"/>
    <x v="248"/>
    <s v="C037"/>
    <x v="17"/>
    <s v="Kolkata"/>
    <x v="0"/>
    <s v="P003"/>
    <x v="4"/>
    <x v="2"/>
    <n v="3"/>
    <x v="4"/>
    <n v="90000"/>
    <m/>
    <m/>
    <m/>
    <m/>
  </r>
  <r>
    <x v="460"/>
    <x v="26"/>
    <s v="C002"/>
    <x v="34"/>
    <s v="Jaipur"/>
    <x v="3"/>
    <s v="P003"/>
    <x v="4"/>
    <x v="2"/>
    <n v="4"/>
    <x v="4"/>
    <n v="120000"/>
    <m/>
    <m/>
    <m/>
    <m/>
  </r>
  <r>
    <x v="461"/>
    <x v="62"/>
    <s v="C011"/>
    <x v="28"/>
    <s v="Ahmedabad"/>
    <x v="2"/>
    <s v="P018"/>
    <x v="22"/>
    <x v="0"/>
    <n v="1"/>
    <x v="9"/>
    <n v="3000"/>
    <m/>
    <m/>
    <m/>
    <m/>
  </r>
  <r>
    <x v="462"/>
    <x v="37"/>
    <s v="C074"/>
    <x v="49"/>
    <s v="Pune"/>
    <x v="2"/>
    <s v="P015"/>
    <x v="7"/>
    <x v="0"/>
    <n v="2"/>
    <x v="7"/>
    <n v="18000"/>
    <m/>
    <m/>
    <m/>
    <m/>
  </r>
  <r>
    <x v="463"/>
    <x v="117"/>
    <s v="C054"/>
    <x v="51"/>
    <s v="Guwahati"/>
    <x v="0"/>
    <s v="P024"/>
    <x v="11"/>
    <x v="3"/>
    <n v="3"/>
    <x v="9"/>
    <n v="9000"/>
    <m/>
    <m/>
    <m/>
    <m/>
  </r>
  <r>
    <x v="464"/>
    <x v="256"/>
    <s v="C015"/>
    <x v="48"/>
    <s v="Hyderabad"/>
    <x v="1"/>
    <s v="P025"/>
    <x v="26"/>
    <x v="3"/>
    <n v="1"/>
    <x v="22"/>
    <n v="3800"/>
    <m/>
    <m/>
    <m/>
    <m/>
  </r>
  <r>
    <x v="465"/>
    <x v="5"/>
    <s v="C070"/>
    <x v="24"/>
    <s v="Guwahati"/>
    <x v="0"/>
    <s v="P010"/>
    <x v="10"/>
    <x v="2"/>
    <n v="1"/>
    <x v="8"/>
    <n v="2200"/>
    <m/>
    <m/>
    <m/>
    <m/>
  </r>
  <r>
    <x v="466"/>
    <x v="33"/>
    <s v="C014"/>
    <x v="70"/>
    <s v="Chennai"/>
    <x v="1"/>
    <s v="P012"/>
    <x v="16"/>
    <x v="0"/>
    <n v="3"/>
    <x v="14"/>
    <n v="15000"/>
    <m/>
    <m/>
    <m/>
    <m/>
  </r>
  <r>
    <x v="467"/>
    <x v="168"/>
    <s v="C034"/>
    <x v="43"/>
    <s v="Jaipur"/>
    <x v="3"/>
    <s v="P004"/>
    <x v="19"/>
    <x v="2"/>
    <n v="1"/>
    <x v="17"/>
    <n v="22000"/>
    <m/>
    <m/>
    <m/>
    <m/>
  </r>
  <r>
    <x v="468"/>
    <x v="222"/>
    <s v="C027"/>
    <x v="23"/>
    <s v="Ahmedabad"/>
    <x v="2"/>
    <s v="P029"/>
    <x v="14"/>
    <x v="1"/>
    <n v="1"/>
    <x v="12"/>
    <n v="2000"/>
    <m/>
    <m/>
    <m/>
    <m/>
  </r>
  <r>
    <x v="469"/>
    <x v="104"/>
    <s v="C049"/>
    <x v="29"/>
    <s v="Delhi"/>
    <x v="3"/>
    <s v="P018"/>
    <x v="22"/>
    <x v="0"/>
    <n v="1"/>
    <x v="9"/>
    <n v="3000"/>
    <m/>
    <m/>
    <m/>
    <m/>
  </r>
  <r>
    <x v="470"/>
    <x v="257"/>
    <s v="C010"/>
    <x v="50"/>
    <s v="Pune"/>
    <x v="2"/>
    <s v="P009"/>
    <x v="27"/>
    <x v="2"/>
    <n v="1"/>
    <x v="23"/>
    <n v="2500"/>
    <m/>
    <m/>
    <m/>
    <m/>
  </r>
  <r>
    <x v="471"/>
    <x v="5"/>
    <s v="C069"/>
    <x v="22"/>
    <s v="Kolkata"/>
    <x v="0"/>
    <s v="P017"/>
    <x v="2"/>
    <x v="0"/>
    <n v="1"/>
    <x v="2"/>
    <n v="15000"/>
    <m/>
    <m/>
    <m/>
    <m/>
  </r>
  <r>
    <x v="472"/>
    <x v="258"/>
    <s v="C005"/>
    <x v="73"/>
    <s v="Kolkata"/>
    <x v="0"/>
    <s v="P022"/>
    <x v="18"/>
    <x v="3"/>
    <n v="1"/>
    <x v="16"/>
    <n v="4800"/>
    <m/>
    <m/>
    <m/>
    <m/>
  </r>
  <r>
    <x v="473"/>
    <x v="259"/>
    <s v="C031"/>
    <x v="2"/>
    <s v="Hyderabad"/>
    <x v="1"/>
    <s v="P018"/>
    <x v="22"/>
    <x v="0"/>
    <n v="1"/>
    <x v="9"/>
    <n v="3000"/>
    <m/>
    <m/>
    <m/>
    <m/>
  </r>
  <r>
    <x v="474"/>
    <x v="260"/>
    <s v="C007"/>
    <x v="8"/>
    <s v="Bhubaneswar"/>
    <x v="0"/>
    <s v="P015"/>
    <x v="7"/>
    <x v="0"/>
    <n v="1"/>
    <x v="7"/>
    <n v="9000"/>
    <m/>
    <m/>
    <m/>
    <m/>
  </r>
  <r>
    <x v="475"/>
    <x v="158"/>
    <s v="C042"/>
    <x v="27"/>
    <s v="Pune"/>
    <x v="2"/>
    <s v="P022"/>
    <x v="18"/>
    <x v="3"/>
    <n v="1"/>
    <x v="16"/>
    <n v="4800"/>
    <m/>
    <m/>
    <m/>
    <m/>
  </r>
  <r>
    <x v="476"/>
    <x v="54"/>
    <s v="C050"/>
    <x v="14"/>
    <s v="Jaipur"/>
    <x v="3"/>
    <s v="P026"/>
    <x v="1"/>
    <x v="1"/>
    <n v="1"/>
    <x v="1"/>
    <n v="2400"/>
    <m/>
    <m/>
    <m/>
    <m/>
  </r>
  <r>
    <x v="477"/>
    <x v="261"/>
    <s v="C056"/>
    <x v="33"/>
    <s v="Patna"/>
    <x v="0"/>
    <s v="P019"/>
    <x v="24"/>
    <x v="3"/>
    <n v="2"/>
    <x v="21"/>
    <n v="6400"/>
    <m/>
    <m/>
    <m/>
    <m/>
  </r>
  <r>
    <x v="478"/>
    <x v="262"/>
    <s v="C003"/>
    <x v="32"/>
    <s v="Lucknow"/>
    <x v="3"/>
    <s v="P008"/>
    <x v="21"/>
    <x v="2"/>
    <n v="1"/>
    <x v="19"/>
    <n v="4500"/>
    <m/>
    <m/>
    <m/>
    <m/>
  </r>
  <r>
    <x v="479"/>
    <x v="93"/>
    <s v="C024"/>
    <x v="6"/>
    <s v="Patna"/>
    <x v="0"/>
    <s v="P017"/>
    <x v="2"/>
    <x v="0"/>
    <n v="1"/>
    <x v="2"/>
    <n v="15000"/>
    <m/>
    <m/>
    <m/>
    <m/>
  </r>
  <r>
    <x v="480"/>
    <x v="92"/>
    <s v="C036"/>
    <x v="15"/>
    <s v="Chandigarh"/>
    <x v="3"/>
    <s v="P011"/>
    <x v="28"/>
    <x v="0"/>
    <n v="1"/>
    <x v="24"/>
    <n v="6500"/>
    <m/>
    <m/>
    <m/>
    <m/>
  </r>
  <r>
    <x v="481"/>
    <x v="205"/>
    <s v="C032"/>
    <x v="58"/>
    <s v="Kochi"/>
    <x v="1"/>
    <s v="P023"/>
    <x v="25"/>
    <x v="3"/>
    <n v="1"/>
    <x v="10"/>
    <n v="4200"/>
    <m/>
    <m/>
    <m/>
    <m/>
  </r>
  <r>
    <x v="482"/>
    <x v="154"/>
    <s v="C053"/>
    <x v="57"/>
    <s v="Kolkata"/>
    <x v="0"/>
    <s v="P008"/>
    <x v="21"/>
    <x v="2"/>
    <n v="1"/>
    <x v="19"/>
    <n v="4500"/>
    <m/>
    <m/>
    <m/>
    <m/>
  </r>
  <r>
    <x v="483"/>
    <x v="168"/>
    <s v="C027"/>
    <x v="23"/>
    <s v="Ahmedabad"/>
    <x v="2"/>
    <s v="P029"/>
    <x v="14"/>
    <x v="1"/>
    <n v="1"/>
    <x v="12"/>
    <n v="2000"/>
    <m/>
    <m/>
    <m/>
    <m/>
  </r>
  <r>
    <x v="484"/>
    <x v="81"/>
    <s v="C063"/>
    <x v="45"/>
    <s v="Hyderabad"/>
    <x v="1"/>
    <s v="P017"/>
    <x v="2"/>
    <x v="0"/>
    <n v="3"/>
    <x v="2"/>
    <n v="45000"/>
    <m/>
    <m/>
    <m/>
    <m/>
  </r>
  <r>
    <x v="485"/>
    <x v="263"/>
    <s v="C038"/>
    <x v="56"/>
    <s v="Guwahati"/>
    <x v="0"/>
    <s v="P009"/>
    <x v="27"/>
    <x v="2"/>
    <n v="1"/>
    <x v="23"/>
    <n v="2500"/>
    <m/>
    <m/>
    <m/>
    <m/>
  </r>
  <r>
    <x v="486"/>
    <x v="264"/>
    <s v="C048"/>
    <x v="26"/>
    <s v="Kochi"/>
    <x v="1"/>
    <s v="P021"/>
    <x v="9"/>
    <x v="3"/>
    <n v="1"/>
    <x v="1"/>
    <n v="2400"/>
    <m/>
    <m/>
    <m/>
    <m/>
  </r>
  <r>
    <x v="487"/>
    <x v="245"/>
    <s v="C021"/>
    <x v="4"/>
    <s v="Kolkata"/>
    <x v="0"/>
    <s v="P003"/>
    <x v="4"/>
    <x v="2"/>
    <n v="1"/>
    <x v="4"/>
    <n v="30000"/>
    <m/>
    <m/>
    <m/>
    <m/>
  </r>
  <r>
    <x v="488"/>
    <x v="138"/>
    <s v="C060"/>
    <x v="47"/>
    <s v="Surat"/>
    <x v="2"/>
    <s v="P002"/>
    <x v="17"/>
    <x v="2"/>
    <n v="1"/>
    <x v="15"/>
    <n v="52000"/>
    <m/>
    <m/>
    <m/>
    <m/>
  </r>
  <r>
    <x v="489"/>
    <x v="192"/>
    <s v="C019"/>
    <x v="40"/>
    <s v="Lucknow"/>
    <x v="3"/>
    <s v="P020"/>
    <x v="5"/>
    <x v="3"/>
    <n v="2"/>
    <x v="5"/>
    <n v="3200"/>
    <m/>
    <m/>
    <m/>
    <m/>
  </r>
  <r>
    <x v="490"/>
    <x v="154"/>
    <s v="C014"/>
    <x v="70"/>
    <s v="Chennai"/>
    <x v="1"/>
    <s v="P013"/>
    <x v="12"/>
    <x v="0"/>
    <n v="2"/>
    <x v="10"/>
    <n v="8400"/>
    <m/>
    <m/>
    <m/>
    <m/>
  </r>
  <r>
    <x v="491"/>
    <x v="142"/>
    <s v="C063"/>
    <x v="45"/>
    <s v="Hyderabad"/>
    <x v="1"/>
    <s v="P023"/>
    <x v="25"/>
    <x v="3"/>
    <n v="1"/>
    <x v="10"/>
    <n v="4200"/>
    <m/>
    <m/>
    <m/>
    <m/>
  </r>
  <r>
    <x v="492"/>
    <x v="265"/>
    <s v="C068"/>
    <x v="20"/>
    <s v="Chandigarh"/>
    <x v="3"/>
    <s v="P001"/>
    <x v="23"/>
    <x v="2"/>
    <n v="1"/>
    <x v="20"/>
    <n v="65000"/>
    <m/>
    <m/>
    <m/>
    <m/>
  </r>
  <r>
    <x v="493"/>
    <x v="262"/>
    <s v="C052"/>
    <x v="5"/>
    <s v="Chandigarh"/>
    <x v="3"/>
    <s v="P027"/>
    <x v="29"/>
    <x v="1"/>
    <n v="2"/>
    <x v="25"/>
    <n v="11000"/>
    <m/>
    <m/>
    <m/>
    <m/>
  </r>
  <r>
    <x v="494"/>
    <x v="140"/>
    <s v="C070"/>
    <x v="24"/>
    <s v="Guwahati"/>
    <x v="0"/>
    <s v="P028"/>
    <x v="20"/>
    <x v="1"/>
    <n v="1"/>
    <x v="18"/>
    <n v="1400"/>
    <m/>
    <m/>
    <m/>
    <m/>
  </r>
  <r>
    <x v="495"/>
    <x v="230"/>
    <s v="C027"/>
    <x v="23"/>
    <s v="Ahmedabad"/>
    <x v="2"/>
    <s v="P030"/>
    <x v="6"/>
    <x v="1"/>
    <n v="1"/>
    <x v="6"/>
    <n v="3500"/>
    <m/>
    <m/>
    <m/>
    <m/>
  </r>
  <r>
    <x v="496"/>
    <x v="169"/>
    <s v="C050"/>
    <x v="14"/>
    <s v="Jaipur"/>
    <x v="3"/>
    <s v="P018"/>
    <x v="22"/>
    <x v="0"/>
    <n v="1"/>
    <x v="9"/>
    <n v="3000"/>
    <m/>
    <m/>
    <m/>
    <m/>
  </r>
  <r>
    <x v="497"/>
    <x v="65"/>
    <s v="C004"/>
    <x v="41"/>
    <s v="Chandigarh"/>
    <x v="3"/>
    <s v="P020"/>
    <x v="5"/>
    <x v="3"/>
    <n v="1"/>
    <x v="5"/>
    <n v="1600"/>
    <m/>
    <m/>
    <m/>
    <m/>
  </r>
  <r>
    <x v="498"/>
    <x v="239"/>
    <s v="C064"/>
    <x v="10"/>
    <s v="Kochi"/>
    <x v="1"/>
    <s v="P001"/>
    <x v="23"/>
    <x v="2"/>
    <n v="2"/>
    <x v="20"/>
    <n v="130000"/>
    <m/>
    <m/>
    <m/>
    <m/>
  </r>
  <r>
    <x v="499"/>
    <x v="190"/>
    <s v="C063"/>
    <x v="45"/>
    <s v="Hyderabad"/>
    <x v="1"/>
    <s v="P028"/>
    <x v="20"/>
    <x v="1"/>
    <n v="2"/>
    <x v="18"/>
    <n v="2800"/>
    <m/>
    <m/>
    <m/>
    <m/>
  </r>
  <r>
    <x v="500"/>
    <x v="182"/>
    <s v="C037"/>
    <x v="17"/>
    <s v="Kolkata"/>
    <x v="0"/>
    <s v="P024"/>
    <x v="11"/>
    <x v="3"/>
    <n v="1"/>
    <x v="9"/>
    <n v="3000"/>
    <m/>
    <m/>
    <m/>
    <m/>
  </r>
  <r>
    <x v="501"/>
    <x v="162"/>
    <s v="C044"/>
    <x v="61"/>
    <s v="Surat"/>
    <x v="2"/>
    <s v="P007"/>
    <x v="13"/>
    <x v="2"/>
    <n v="2"/>
    <x v="11"/>
    <n v="36000"/>
    <m/>
    <m/>
    <m/>
    <m/>
  </r>
  <r>
    <x v="502"/>
    <x v="206"/>
    <s v="C012"/>
    <x v="37"/>
    <s v="Surat"/>
    <x v="2"/>
    <s v="P014"/>
    <x v="0"/>
    <x v="0"/>
    <n v="1"/>
    <x v="0"/>
    <n v="11000"/>
    <m/>
    <m/>
    <m/>
    <m/>
  </r>
  <r>
    <x v="503"/>
    <x v="51"/>
    <s v="C028"/>
    <x v="55"/>
    <s v="Surat"/>
    <x v="2"/>
    <s v="P017"/>
    <x v="2"/>
    <x v="0"/>
    <n v="2"/>
    <x v="2"/>
    <n v="30000"/>
    <m/>
    <m/>
    <m/>
    <m/>
  </r>
  <r>
    <x v="504"/>
    <x v="165"/>
    <s v="C064"/>
    <x v="10"/>
    <s v="Kochi"/>
    <x v="1"/>
    <s v="P003"/>
    <x v="4"/>
    <x v="2"/>
    <n v="1"/>
    <x v="4"/>
    <n v="30000"/>
    <m/>
    <m/>
    <m/>
    <m/>
  </r>
  <r>
    <x v="505"/>
    <x v="10"/>
    <s v="C070"/>
    <x v="24"/>
    <s v="Guwahati"/>
    <x v="0"/>
    <s v="P004"/>
    <x v="19"/>
    <x v="2"/>
    <n v="1"/>
    <x v="17"/>
    <n v="22000"/>
    <m/>
    <m/>
    <m/>
    <m/>
  </r>
  <r>
    <x v="506"/>
    <x v="254"/>
    <s v="C068"/>
    <x v="20"/>
    <s v="Chandigarh"/>
    <x v="3"/>
    <s v="P015"/>
    <x v="7"/>
    <x v="0"/>
    <n v="2"/>
    <x v="7"/>
    <n v="18000"/>
    <m/>
    <m/>
    <m/>
    <m/>
  </r>
  <r>
    <x v="507"/>
    <x v="73"/>
    <s v="C074"/>
    <x v="49"/>
    <s v="Pune"/>
    <x v="2"/>
    <s v="P014"/>
    <x v="0"/>
    <x v="0"/>
    <n v="1"/>
    <x v="0"/>
    <n v="11000"/>
    <m/>
    <m/>
    <m/>
    <m/>
  </r>
  <r>
    <x v="508"/>
    <x v="69"/>
    <s v="C037"/>
    <x v="17"/>
    <s v="Kolkata"/>
    <x v="0"/>
    <s v="P009"/>
    <x v="27"/>
    <x v="2"/>
    <n v="2"/>
    <x v="23"/>
    <n v="5000"/>
    <m/>
    <m/>
    <m/>
    <m/>
  </r>
  <r>
    <x v="509"/>
    <x v="199"/>
    <s v="C057"/>
    <x v="13"/>
    <s v="Mumbai"/>
    <x v="2"/>
    <s v="P022"/>
    <x v="18"/>
    <x v="3"/>
    <n v="2"/>
    <x v="16"/>
    <n v="9600"/>
    <m/>
    <m/>
    <m/>
    <m/>
  </r>
  <r>
    <x v="510"/>
    <x v="162"/>
    <s v="C024"/>
    <x v="6"/>
    <s v="Patna"/>
    <x v="0"/>
    <s v="P023"/>
    <x v="25"/>
    <x v="3"/>
    <n v="5"/>
    <x v="10"/>
    <n v="21000"/>
    <m/>
    <m/>
    <m/>
    <m/>
  </r>
  <r>
    <x v="511"/>
    <x v="57"/>
    <s v="C060"/>
    <x v="47"/>
    <s v="Surat"/>
    <x v="2"/>
    <s v="P012"/>
    <x v="16"/>
    <x v="0"/>
    <n v="1"/>
    <x v="14"/>
    <n v="5000"/>
    <m/>
    <m/>
    <m/>
    <m/>
  </r>
  <r>
    <x v="512"/>
    <x v="266"/>
    <s v="C049"/>
    <x v="29"/>
    <s v="Delhi"/>
    <x v="3"/>
    <s v="P011"/>
    <x v="28"/>
    <x v="0"/>
    <n v="1"/>
    <x v="24"/>
    <n v="6500"/>
    <m/>
    <m/>
    <m/>
    <m/>
  </r>
  <r>
    <x v="513"/>
    <x v="267"/>
    <s v="C059"/>
    <x v="38"/>
    <s v="Ahmedabad"/>
    <x v="2"/>
    <s v="P001"/>
    <x v="23"/>
    <x v="2"/>
    <n v="2"/>
    <x v="20"/>
    <n v="130000"/>
    <m/>
    <m/>
    <m/>
    <m/>
  </r>
  <r>
    <x v="514"/>
    <x v="124"/>
    <s v="C011"/>
    <x v="28"/>
    <s v="Ahmedabad"/>
    <x v="2"/>
    <s v="P019"/>
    <x v="24"/>
    <x v="3"/>
    <n v="2"/>
    <x v="21"/>
    <n v="6400"/>
    <m/>
    <m/>
    <m/>
    <m/>
  </r>
  <r>
    <x v="515"/>
    <x v="104"/>
    <s v="C050"/>
    <x v="14"/>
    <s v="Jaipur"/>
    <x v="3"/>
    <s v="P019"/>
    <x v="24"/>
    <x v="3"/>
    <n v="1"/>
    <x v="21"/>
    <n v="3200"/>
    <m/>
    <m/>
    <m/>
    <m/>
  </r>
  <r>
    <x v="516"/>
    <x v="149"/>
    <s v="C005"/>
    <x v="73"/>
    <s v="Kolkata"/>
    <x v="0"/>
    <s v="P018"/>
    <x v="22"/>
    <x v="0"/>
    <n v="4"/>
    <x v="9"/>
    <n v="12000"/>
    <m/>
    <m/>
    <m/>
    <m/>
  </r>
  <r>
    <x v="517"/>
    <x v="123"/>
    <s v="C015"/>
    <x v="48"/>
    <s v="Hyderabad"/>
    <x v="1"/>
    <s v="P001"/>
    <x v="23"/>
    <x v="2"/>
    <n v="1"/>
    <x v="20"/>
    <n v="65000"/>
    <m/>
    <m/>
    <m/>
    <m/>
  </r>
  <r>
    <x v="518"/>
    <x v="219"/>
    <s v="C033"/>
    <x v="59"/>
    <s v="Delhi"/>
    <x v="3"/>
    <s v="P005"/>
    <x v="15"/>
    <x v="2"/>
    <n v="1"/>
    <x v="13"/>
    <n v="28000"/>
    <m/>
    <m/>
    <m/>
    <m/>
  </r>
  <r>
    <x v="519"/>
    <x v="94"/>
    <s v="C029"/>
    <x v="11"/>
    <s v="Bengaluru"/>
    <x v="1"/>
    <s v="P017"/>
    <x v="2"/>
    <x v="0"/>
    <n v="1"/>
    <x v="2"/>
    <n v="15000"/>
    <m/>
    <m/>
    <m/>
    <m/>
  </r>
  <r>
    <x v="520"/>
    <x v="268"/>
    <s v="C055"/>
    <x v="63"/>
    <s v="Bhubaneswar"/>
    <x v="0"/>
    <s v="P025"/>
    <x v="26"/>
    <x v="3"/>
    <n v="1"/>
    <x v="22"/>
    <n v="3800"/>
    <m/>
    <m/>
    <m/>
    <m/>
  </r>
  <r>
    <x v="521"/>
    <x v="269"/>
    <s v="C032"/>
    <x v="58"/>
    <s v="Kochi"/>
    <x v="1"/>
    <s v="P002"/>
    <x v="17"/>
    <x v="2"/>
    <n v="2"/>
    <x v="15"/>
    <n v="104000"/>
    <m/>
    <m/>
    <m/>
    <m/>
  </r>
  <r>
    <x v="522"/>
    <x v="270"/>
    <s v="C049"/>
    <x v="29"/>
    <s v="Delhi"/>
    <x v="3"/>
    <s v="P002"/>
    <x v="17"/>
    <x v="2"/>
    <n v="2"/>
    <x v="15"/>
    <n v="104000"/>
    <m/>
    <m/>
    <m/>
    <m/>
  </r>
  <r>
    <x v="523"/>
    <x v="236"/>
    <s v="C023"/>
    <x v="44"/>
    <s v="Bhubaneswar"/>
    <x v="0"/>
    <s v="P028"/>
    <x v="20"/>
    <x v="1"/>
    <n v="4"/>
    <x v="18"/>
    <n v="5600"/>
    <m/>
    <m/>
    <m/>
    <m/>
  </r>
  <r>
    <x v="524"/>
    <x v="81"/>
    <s v="C013"/>
    <x v="35"/>
    <s v="Bengaluru"/>
    <x v="1"/>
    <s v="P017"/>
    <x v="2"/>
    <x v="0"/>
    <n v="4"/>
    <x v="2"/>
    <n v="60000"/>
    <m/>
    <m/>
    <m/>
    <m/>
  </r>
  <r>
    <x v="525"/>
    <x v="56"/>
    <s v="C054"/>
    <x v="51"/>
    <s v="Guwahati"/>
    <x v="0"/>
    <s v="P030"/>
    <x v="6"/>
    <x v="1"/>
    <n v="1"/>
    <x v="6"/>
    <n v="3500"/>
    <m/>
    <m/>
    <m/>
    <m/>
  </r>
  <r>
    <x v="526"/>
    <x v="65"/>
    <s v="C054"/>
    <x v="51"/>
    <s v="Guwahati"/>
    <x v="0"/>
    <s v="P028"/>
    <x v="20"/>
    <x v="1"/>
    <n v="1"/>
    <x v="18"/>
    <n v="1400"/>
    <m/>
    <m/>
    <m/>
    <m/>
  </r>
  <r>
    <x v="527"/>
    <x v="271"/>
    <s v="C038"/>
    <x v="56"/>
    <s v="Guwahati"/>
    <x v="0"/>
    <s v="P027"/>
    <x v="29"/>
    <x v="1"/>
    <n v="4"/>
    <x v="25"/>
    <n v="22000"/>
    <m/>
    <m/>
    <m/>
    <m/>
  </r>
  <r>
    <x v="528"/>
    <x v="92"/>
    <s v="C021"/>
    <x v="4"/>
    <s v="Kolkata"/>
    <x v="0"/>
    <s v="P010"/>
    <x v="10"/>
    <x v="2"/>
    <n v="1"/>
    <x v="8"/>
    <n v="2200"/>
    <m/>
    <m/>
    <m/>
    <m/>
  </r>
  <r>
    <x v="529"/>
    <x v="248"/>
    <s v="C066"/>
    <x v="67"/>
    <s v="Jaipur"/>
    <x v="3"/>
    <s v="P030"/>
    <x v="6"/>
    <x v="1"/>
    <n v="1"/>
    <x v="6"/>
    <n v="3500"/>
    <m/>
    <m/>
    <m/>
    <m/>
  </r>
  <r>
    <x v="530"/>
    <x v="133"/>
    <s v="C063"/>
    <x v="45"/>
    <s v="Hyderabad"/>
    <x v="1"/>
    <s v="P016"/>
    <x v="8"/>
    <x v="0"/>
    <n v="2"/>
    <x v="8"/>
    <n v="4400"/>
    <m/>
    <m/>
    <m/>
    <m/>
  </r>
  <r>
    <x v="531"/>
    <x v="272"/>
    <s v="C024"/>
    <x v="6"/>
    <s v="Patna"/>
    <x v="0"/>
    <s v="P016"/>
    <x v="8"/>
    <x v="0"/>
    <n v="2"/>
    <x v="8"/>
    <n v="4400"/>
    <m/>
    <m/>
    <m/>
    <m/>
  </r>
  <r>
    <x v="532"/>
    <x v="3"/>
    <s v="C068"/>
    <x v="20"/>
    <s v="Chandigarh"/>
    <x v="3"/>
    <s v="P013"/>
    <x v="12"/>
    <x v="0"/>
    <n v="3"/>
    <x v="10"/>
    <n v="12600"/>
    <m/>
    <m/>
    <m/>
    <m/>
  </r>
  <r>
    <x v="533"/>
    <x v="85"/>
    <s v="C033"/>
    <x v="59"/>
    <s v="Delhi"/>
    <x v="3"/>
    <s v="P002"/>
    <x v="17"/>
    <x v="2"/>
    <n v="1"/>
    <x v="15"/>
    <n v="52000"/>
    <m/>
    <m/>
    <m/>
    <m/>
  </r>
  <r>
    <x v="534"/>
    <x v="40"/>
    <s v="C037"/>
    <x v="17"/>
    <s v="Kolkata"/>
    <x v="0"/>
    <s v="P015"/>
    <x v="7"/>
    <x v="0"/>
    <n v="2"/>
    <x v="7"/>
    <n v="18000"/>
    <m/>
    <m/>
    <m/>
    <m/>
  </r>
  <r>
    <x v="535"/>
    <x v="223"/>
    <s v="C071"/>
    <x v="1"/>
    <s v="Bhubaneswar"/>
    <x v="0"/>
    <s v="P023"/>
    <x v="25"/>
    <x v="3"/>
    <n v="1"/>
    <x v="10"/>
    <n v="4200"/>
    <m/>
    <m/>
    <m/>
    <m/>
  </r>
  <r>
    <x v="536"/>
    <x v="43"/>
    <s v="C035"/>
    <x v="16"/>
    <s v="Lucknow"/>
    <x v="3"/>
    <s v="P025"/>
    <x v="26"/>
    <x v="3"/>
    <n v="1"/>
    <x v="22"/>
    <n v="3800"/>
    <m/>
    <m/>
    <m/>
    <m/>
  </r>
  <r>
    <x v="537"/>
    <x v="4"/>
    <s v="C037"/>
    <x v="17"/>
    <s v="Kolkata"/>
    <x v="0"/>
    <s v="P011"/>
    <x v="28"/>
    <x v="0"/>
    <n v="2"/>
    <x v="24"/>
    <n v="13000"/>
    <m/>
    <m/>
    <m/>
    <m/>
  </r>
  <r>
    <x v="538"/>
    <x v="273"/>
    <s v="C026"/>
    <x v="19"/>
    <s v="Pune"/>
    <x v="2"/>
    <s v="P022"/>
    <x v="18"/>
    <x v="3"/>
    <n v="2"/>
    <x v="16"/>
    <n v="9600"/>
    <m/>
    <m/>
    <m/>
    <m/>
  </r>
  <r>
    <x v="539"/>
    <x v="274"/>
    <s v="C068"/>
    <x v="20"/>
    <s v="Chandigarh"/>
    <x v="3"/>
    <s v="P021"/>
    <x v="9"/>
    <x v="3"/>
    <n v="2"/>
    <x v="1"/>
    <n v="4800"/>
    <m/>
    <m/>
    <m/>
    <m/>
  </r>
  <r>
    <x v="540"/>
    <x v="209"/>
    <s v="C068"/>
    <x v="20"/>
    <s v="Chandigarh"/>
    <x v="3"/>
    <s v="P022"/>
    <x v="18"/>
    <x v="3"/>
    <n v="1"/>
    <x v="16"/>
    <n v="4800"/>
    <m/>
    <m/>
    <m/>
    <m/>
  </r>
  <r>
    <x v="541"/>
    <x v="215"/>
    <s v="C003"/>
    <x v="32"/>
    <s v="Lucknow"/>
    <x v="3"/>
    <s v="P016"/>
    <x v="8"/>
    <x v="0"/>
    <n v="1"/>
    <x v="8"/>
    <n v="2200"/>
    <m/>
    <m/>
    <m/>
    <m/>
  </r>
  <r>
    <x v="542"/>
    <x v="134"/>
    <s v="C013"/>
    <x v="35"/>
    <s v="Bengaluru"/>
    <x v="1"/>
    <s v="P011"/>
    <x v="28"/>
    <x v="0"/>
    <n v="1"/>
    <x v="24"/>
    <n v="6500"/>
    <m/>
    <m/>
    <m/>
    <m/>
  </r>
  <r>
    <x v="543"/>
    <x v="275"/>
    <s v="C022"/>
    <x v="18"/>
    <s v="Guwahati"/>
    <x v="0"/>
    <s v="P015"/>
    <x v="7"/>
    <x v="0"/>
    <n v="1"/>
    <x v="7"/>
    <n v="9000"/>
    <m/>
    <m/>
    <m/>
    <m/>
  </r>
  <r>
    <x v="544"/>
    <x v="276"/>
    <s v="C019"/>
    <x v="40"/>
    <s v="Lucknow"/>
    <x v="3"/>
    <s v="P027"/>
    <x v="29"/>
    <x v="1"/>
    <n v="1"/>
    <x v="25"/>
    <n v="5500"/>
    <m/>
    <m/>
    <m/>
    <m/>
  </r>
  <r>
    <x v="545"/>
    <x v="238"/>
    <s v="C021"/>
    <x v="4"/>
    <s v="Kolkata"/>
    <x v="0"/>
    <s v="P024"/>
    <x v="11"/>
    <x v="3"/>
    <n v="1"/>
    <x v="9"/>
    <n v="3000"/>
    <m/>
    <m/>
    <m/>
    <m/>
  </r>
  <r>
    <x v="546"/>
    <x v="277"/>
    <s v="C042"/>
    <x v="27"/>
    <s v="Pune"/>
    <x v="2"/>
    <s v="P012"/>
    <x v="16"/>
    <x v="0"/>
    <n v="2"/>
    <x v="14"/>
    <n v="10000"/>
    <m/>
    <m/>
    <m/>
    <m/>
  </r>
  <r>
    <x v="547"/>
    <x v="278"/>
    <s v="C014"/>
    <x v="70"/>
    <s v="Chennai"/>
    <x v="1"/>
    <s v="P009"/>
    <x v="27"/>
    <x v="2"/>
    <n v="1"/>
    <x v="23"/>
    <n v="2500"/>
    <m/>
    <m/>
    <m/>
    <m/>
  </r>
  <r>
    <x v="548"/>
    <x v="2"/>
    <s v="C038"/>
    <x v="56"/>
    <s v="Guwahati"/>
    <x v="0"/>
    <s v="P014"/>
    <x v="0"/>
    <x v="0"/>
    <n v="1"/>
    <x v="0"/>
    <n v="11000"/>
    <m/>
    <m/>
    <m/>
    <m/>
  </r>
  <r>
    <x v="549"/>
    <x v="279"/>
    <s v="C073"/>
    <x v="12"/>
    <s v="Mumbai"/>
    <x v="2"/>
    <s v="P024"/>
    <x v="11"/>
    <x v="3"/>
    <n v="1"/>
    <x v="9"/>
    <n v="3000"/>
    <m/>
    <m/>
    <m/>
    <m/>
  </r>
  <r>
    <x v="550"/>
    <x v="56"/>
    <s v="C036"/>
    <x v="15"/>
    <s v="Chandigarh"/>
    <x v="3"/>
    <s v="P003"/>
    <x v="4"/>
    <x v="2"/>
    <n v="4"/>
    <x v="4"/>
    <n v="120000"/>
    <m/>
    <m/>
    <m/>
    <m/>
  </r>
  <r>
    <x v="551"/>
    <x v="280"/>
    <s v="C065"/>
    <x v="69"/>
    <s v="Delhi"/>
    <x v="3"/>
    <s v="P017"/>
    <x v="2"/>
    <x v="0"/>
    <n v="1"/>
    <x v="2"/>
    <n v="15000"/>
    <m/>
    <m/>
    <m/>
    <m/>
  </r>
  <r>
    <x v="552"/>
    <x v="148"/>
    <s v="C046"/>
    <x v="54"/>
    <s v="Chennai"/>
    <x v="1"/>
    <s v="P022"/>
    <x v="18"/>
    <x v="3"/>
    <n v="1"/>
    <x v="16"/>
    <n v="4800"/>
    <m/>
    <m/>
    <m/>
    <m/>
  </r>
  <r>
    <x v="553"/>
    <x v="281"/>
    <s v="C033"/>
    <x v="59"/>
    <s v="Delhi"/>
    <x v="3"/>
    <s v="P029"/>
    <x v="14"/>
    <x v="1"/>
    <n v="1"/>
    <x v="12"/>
    <n v="2000"/>
    <m/>
    <m/>
    <m/>
    <m/>
  </r>
  <r>
    <x v="554"/>
    <x v="282"/>
    <s v="C009"/>
    <x v="30"/>
    <s v="Mumbai"/>
    <x v="2"/>
    <s v="P022"/>
    <x v="18"/>
    <x v="3"/>
    <n v="1"/>
    <x v="16"/>
    <n v="4800"/>
    <m/>
    <m/>
    <m/>
    <m/>
  </r>
  <r>
    <x v="555"/>
    <x v="181"/>
    <s v="C008"/>
    <x v="0"/>
    <s v="Patna"/>
    <x v="0"/>
    <s v="P009"/>
    <x v="27"/>
    <x v="2"/>
    <n v="1"/>
    <x v="23"/>
    <n v="2500"/>
    <m/>
    <m/>
    <m/>
    <m/>
  </r>
  <r>
    <x v="556"/>
    <x v="283"/>
    <s v="C037"/>
    <x v="17"/>
    <s v="Kolkata"/>
    <x v="0"/>
    <s v="P005"/>
    <x v="15"/>
    <x v="2"/>
    <n v="1"/>
    <x v="13"/>
    <n v="28000"/>
    <m/>
    <m/>
    <m/>
    <m/>
  </r>
  <r>
    <x v="557"/>
    <x v="211"/>
    <s v="C060"/>
    <x v="47"/>
    <s v="Surat"/>
    <x v="2"/>
    <s v="P021"/>
    <x v="9"/>
    <x v="3"/>
    <n v="1"/>
    <x v="1"/>
    <n v="2400"/>
    <m/>
    <m/>
    <m/>
    <m/>
  </r>
  <r>
    <x v="558"/>
    <x v="277"/>
    <s v="C023"/>
    <x v="44"/>
    <s v="Bhubaneswar"/>
    <x v="0"/>
    <s v="P013"/>
    <x v="12"/>
    <x v="0"/>
    <n v="1"/>
    <x v="10"/>
    <n v="4200"/>
    <m/>
    <m/>
    <m/>
    <m/>
  </r>
  <r>
    <x v="559"/>
    <x v="207"/>
    <s v="C011"/>
    <x v="28"/>
    <s v="Ahmedabad"/>
    <x v="2"/>
    <s v="P022"/>
    <x v="18"/>
    <x v="3"/>
    <n v="1"/>
    <x v="16"/>
    <n v="4800"/>
    <m/>
    <m/>
    <m/>
    <m/>
  </r>
  <r>
    <x v="560"/>
    <x v="110"/>
    <s v="C074"/>
    <x v="49"/>
    <s v="Pune"/>
    <x v="2"/>
    <s v="P023"/>
    <x v="25"/>
    <x v="3"/>
    <n v="3"/>
    <x v="10"/>
    <n v="12600"/>
    <m/>
    <m/>
    <m/>
    <m/>
  </r>
  <r>
    <x v="561"/>
    <x v="257"/>
    <s v="C036"/>
    <x v="15"/>
    <s v="Chandigarh"/>
    <x v="3"/>
    <s v="P003"/>
    <x v="4"/>
    <x v="2"/>
    <n v="2"/>
    <x v="4"/>
    <n v="60000"/>
    <m/>
    <m/>
    <m/>
    <m/>
  </r>
  <r>
    <x v="562"/>
    <x v="248"/>
    <s v="C020"/>
    <x v="74"/>
    <s v="Chandigarh"/>
    <x v="3"/>
    <s v="P026"/>
    <x v="1"/>
    <x v="1"/>
    <n v="1"/>
    <x v="1"/>
    <n v="2400"/>
    <m/>
    <m/>
    <m/>
    <m/>
  </r>
  <r>
    <x v="563"/>
    <x v="50"/>
    <s v="C062"/>
    <x v="64"/>
    <s v="Chennai"/>
    <x v="1"/>
    <s v="P017"/>
    <x v="2"/>
    <x v="0"/>
    <n v="1"/>
    <x v="2"/>
    <n v="15000"/>
    <m/>
    <m/>
    <m/>
    <m/>
  </r>
  <r>
    <x v="564"/>
    <x v="41"/>
    <s v="C037"/>
    <x v="17"/>
    <s v="Kolkata"/>
    <x v="0"/>
    <s v="P008"/>
    <x v="21"/>
    <x v="2"/>
    <n v="3"/>
    <x v="19"/>
    <n v="13500"/>
    <m/>
    <m/>
    <m/>
    <m/>
  </r>
  <r>
    <x v="565"/>
    <x v="141"/>
    <s v="C071"/>
    <x v="1"/>
    <s v="Bhubaneswar"/>
    <x v="0"/>
    <s v="P024"/>
    <x v="11"/>
    <x v="3"/>
    <n v="1"/>
    <x v="9"/>
    <n v="3000"/>
    <m/>
    <m/>
    <m/>
    <m/>
  </r>
  <r>
    <x v="566"/>
    <x v="41"/>
    <s v="C007"/>
    <x v="8"/>
    <s v="Bhubaneswar"/>
    <x v="0"/>
    <s v="P023"/>
    <x v="25"/>
    <x v="3"/>
    <n v="3"/>
    <x v="10"/>
    <n v="12600"/>
    <m/>
    <m/>
    <m/>
    <m/>
  </r>
  <r>
    <x v="567"/>
    <x v="214"/>
    <s v="C007"/>
    <x v="8"/>
    <s v="Bhubaneswar"/>
    <x v="0"/>
    <s v="P008"/>
    <x v="21"/>
    <x v="2"/>
    <n v="4"/>
    <x v="19"/>
    <n v="18000"/>
    <m/>
    <m/>
    <m/>
    <m/>
  </r>
  <r>
    <x v="568"/>
    <x v="284"/>
    <s v="C059"/>
    <x v="38"/>
    <s v="Ahmedabad"/>
    <x v="2"/>
    <s v="P007"/>
    <x v="13"/>
    <x v="2"/>
    <n v="1"/>
    <x v="11"/>
    <n v="18000"/>
    <m/>
    <m/>
    <m/>
    <m/>
  </r>
  <r>
    <x v="569"/>
    <x v="235"/>
    <s v="C058"/>
    <x v="62"/>
    <s v="Pune"/>
    <x v="2"/>
    <s v="P028"/>
    <x v="20"/>
    <x v="1"/>
    <n v="1"/>
    <x v="18"/>
    <n v="1400"/>
    <m/>
    <m/>
    <m/>
    <m/>
  </r>
  <r>
    <x v="570"/>
    <x v="35"/>
    <s v="C064"/>
    <x v="10"/>
    <s v="Kochi"/>
    <x v="1"/>
    <s v="P013"/>
    <x v="12"/>
    <x v="0"/>
    <n v="1"/>
    <x v="10"/>
    <n v="4200"/>
    <m/>
    <m/>
    <m/>
    <m/>
  </r>
  <r>
    <x v="571"/>
    <x v="227"/>
    <s v="C071"/>
    <x v="1"/>
    <s v="Bhubaneswar"/>
    <x v="0"/>
    <s v="P001"/>
    <x v="23"/>
    <x v="2"/>
    <n v="1"/>
    <x v="20"/>
    <n v="65000"/>
    <m/>
    <m/>
    <m/>
    <m/>
  </r>
  <r>
    <x v="572"/>
    <x v="101"/>
    <s v="C011"/>
    <x v="28"/>
    <s v="Ahmedabad"/>
    <x v="2"/>
    <s v="P010"/>
    <x v="10"/>
    <x v="2"/>
    <n v="1"/>
    <x v="8"/>
    <n v="2200"/>
    <m/>
    <m/>
    <m/>
    <m/>
  </r>
  <r>
    <x v="573"/>
    <x v="249"/>
    <s v="C051"/>
    <x v="53"/>
    <s v="Lucknow"/>
    <x v="3"/>
    <s v="P023"/>
    <x v="25"/>
    <x v="3"/>
    <n v="1"/>
    <x v="10"/>
    <n v="4200"/>
    <m/>
    <m/>
    <m/>
    <m/>
  </r>
  <r>
    <x v="574"/>
    <x v="243"/>
    <s v="C068"/>
    <x v="20"/>
    <s v="Chandigarh"/>
    <x v="3"/>
    <s v="P019"/>
    <x v="24"/>
    <x v="3"/>
    <n v="2"/>
    <x v="21"/>
    <n v="6400"/>
    <m/>
    <m/>
    <m/>
    <m/>
  </r>
  <r>
    <x v="575"/>
    <x v="203"/>
    <s v="C026"/>
    <x v="19"/>
    <s v="Pune"/>
    <x v="2"/>
    <s v="P028"/>
    <x v="20"/>
    <x v="1"/>
    <n v="4"/>
    <x v="18"/>
    <n v="5600"/>
    <m/>
    <m/>
    <m/>
    <m/>
  </r>
  <r>
    <x v="576"/>
    <x v="44"/>
    <s v="C012"/>
    <x v="37"/>
    <s v="Surat"/>
    <x v="2"/>
    <s v="P024"/>
    <x v="11"/>
    <x v="3"/>
    <n v="5"/>
    <x v="9"/>
    <n v="15000"/>
    <m/>
    <m/>
    <m/>
    <m/>
  </r>
  <r>
    <x v="577"/>
    <x v="285"/>
    <s v="C026"/>
    <x v="19"/>
    <s v="Pune"/>
    <x v="2"/>
    <s v="P016"/>
    <x v="8"/>
    <x v="0"/>
    <n v="1"/>
    <x v="8"/>
    <n v="2200"/>
    <m/>
    <m/>
    <m/>
    <m/>
  </r>
  <r>
    <x v="578"/>
    <x v="264"/>
    <s v="C043"/>
    <x v="3"/>
    <s v="Ahmedabad"/>
    <x v="2"/>
    <s v="P012"/>
    <x v="16"/>
    <x v="0"/>
    <n v="1"/>
    <x v="14"/>
    <n v="5000"/>
    <m/>
    <m/>
    <m/>
    <m/>
  </r>
  <r>
    <x v="579"/>
    <x v="240"/>
    <s v="C072"/>
    <x v="46"/>
    <s v="Patna"/>
    <x v="0"/>
    <s v="P019"/>
    <x v="24"/>
    <x v="3"/>
    <n v="1"/>
    <x v="21"/>
    <n v="3200"/>
    <m/>
    <m/>
    <m/>
    <m/>
  </r>
  <r>
    <x v="580"/>
    <x v="29"/>
    <s v="C073"/>
    <x v="12"/>
    <s v="Mumbai"/>
    <x v="2"/>
    <s v="P019"/>
    <x v="24"/>
    <x v="3"/>
    <n v="1"/>
    <x v="21"/>
    <n v="3200"/>
    <m/>
    <m/>
    <m/>
    <m/>
  </r>
  <r>
    <x v="581"/>
    <x v="286"/>
    <s v="C062"/>
    <x v="64"/>
    <s v="Chennai"/>
    <x v="1"/>
    <s v="P009"/>
    <x v="27"/>
    <x v="2"/>
    <n v="4"/>
    <x v="23"/>
    <n v="10000"/>
    <m/>
    <m/>
    <m/>
    <m/>
  </r>
  <r>
    <x v="582"/>
    <x v="287"/>
    <s v="C034"/>
    <x v="43"/>
    <s v="Jaipur"/>
    <x v="3"/>
    <s v="P005"/>
    <x v="15"/>
    <x v="2"/>
    <n v="1"/>
    <x v="13"/>
    <n v="28000"/>
    <m/>
    <m/>
    <m/>
    <m/>
  </r>
  <r>
    <x v="583"/>
    <x v="269"/>
    <s v="C020"/>
    <x v="74"/>
    <s v="Chandigarh"/>
    <x v="3"/>
    <s v="P016"/>
    <x v="8"/>
    <x v="0"/>
    <n v="1"/>
    <x v="8"/>
    <n v="2200"/>
    <m/>
    <m/>
    <m/>
    <m/>
  </r>
  <r>
    <x v="584"/>
    <x v="82"/>
    <s v="C056"/>
    <x v="33"/>
    <s v="Patna"/>
    <x v="0"/>
    <s v="P004"/>
    <x v="19"/>
    <x v="2"/>
    <n v="1"/>
    <x v="17"/>
    <n v="22000"/>
    <m/>
    <m/>
    <m/>
    <m/>
  </r>
  <r>
    <x v="585"/>
    <x v="21"/>
    <s v="C060"/>
    <x v="47"/>
    <s v="Surat"/>
    <x v="2"/>
    <s v="P015"/>
    <x v="7"/>
    <x v="0"/>
    <n v="1"/>
    <x v="7"/>
    <n v="9000"/>
    <m/>
    <m/>
    <m/>
    <m/>
  </r>
  <r>
    <x v="586"/>
    <x v="181"/>
    <s v="C017"/>
    <x v="71"/>
    <s v="Delhi"/>
    <x v="3"/>
    <s v="P024"/>
    <x v="11"/>
    <x v="3"/>
    <n v="1"/>
    <x v="9"/>
    <n v="3000"/>
    <m/>
    <m/>
    <m/>
    <m/>
  </r>
  <r>
    <x v="587"/>
    <x v="78"/>
    <s v="C074"/>
    <x v="49"/>
    <s v="Pune"/>
    <x v="2"/>
    <s v="P025"/>
    <x v="26"/>
    <x v="3"/>
    <n v="2"/>
    <x v="22"/>
    <n v="7600"/>
    <m/>
    <m/>
    <m/>
    <m/>
  </r>
  <r>
    <x v="588"/>
    <x v="214"/>
    <s v="C001"/>
    <x v="42"/>
    <s v="Delhi"/>
    <x v="3"/>
    <s v="P012"/>
    <x v="16"/>
    <x v="0"/>
    <n v="1"/>
    <x v="14"/>
    <n v="5000"/>
    <m/>
    <m/>
    <m/>
    <m/>
  </r>
  <r>
    <x v="589"/>
    <x v="288"/>
    <s v="C061"/>
    <x v="21"/>
    <s v="Bengaluru"/>
    <x v="1"/>
    <s v="P010"/>
    <x v="10"/>
    <x v="2"/>
    <n v="3"/>
    <x v="8"/>
    <n v="6600"/>
    <m/>
    <m/>
    <m/>
    <m/>
  </r>
  <r>
    <x v="590"/>
    <x v="99"/>
    <s v="C023"/>
    <x v="44"/>
    <s v="Bhubaneswar"/>
    <x v="0"/>
    <s v="P025"/>
    <x v="26"/>
    <x v="3"/>
    <n v="1"/>
    <x v="22"/>
    <n v="3800"/>
    <m/>
    <m/>
    <m/>
    <m/>
  </r>
  <r>
    <x v="591"/>
    <x v="252"/>
    <s v="C020"/>
    <x v="74"/>
    <s v="Chandigarh"/>
    <x v="3"/>
    <s v="P020"/>
    <x v="5"/>
    <x v="3"/>
    <n v="2"/>
    <x v="5"/>
    <n v="3200"/>
    <m/>
    <m/>
    <m/>
    <m/>
  </r>
  <r>
    <x v="592"/>
    <x v="81"/>
    <s v="C068"/>
    <x v="20"/>
    <s v="Chandigarh"/>
    <x v="3"/>
    <s v="P009"/>
    <x v="27"/>
    <x v="2"/>
    <n v="2"/>
    <x v="23"/>
    <n v="5000"/>
    <m/>
    <m/>
    <m/>
    <m/>
  </r>
  <r>
    <x v="593"/>
    <x v="173"/>
    <s v="C013"/>
    <x v="35"/>
    <s v="Bengaluru"/>
    <x v="1"/>
    <s v="P018"/>
    <x v="22"/>
    <x v="0"/>
    <n v="2"/>
    <x v="9"/>
    <n v="6000"/>
    <m/>
    <m/>
    <m/>
    <m/>
  </r>
  <r>
    <x v="594"/>
    <x v="105"/>
    <s v="C070"/>
    <x v="24"/>
    <s v="Guwahati"/>
    <x v="0"/>
    <s v="P016"/>
    <x v="8"/>
    <x v="0"/>
    <n v="1"/>
    <x v="8"/>
    <n v="2200"/>
    <m/>
    <m/>
    <m/>
    <m/>
  </r>
  <r>
    <x v="595"/>
    <x v="137"/>
    <s v="C055"/>
    <x v="63"/>
    <s v="Bhubaneswar"/>
    <x v="0"/>
    <s v="P021"/>
    <x v="9"/>
    <x v="3"/>
    <n v="2"/>
    <x v="1"/>
    <n v="4800"/>
    <m/>
    <m/>
    <m/>
    <m/>
  </r>
  <r>
    <x v="596"/>
    <x v="4"/>
    <s v="C052"/>
    <x v="5"/>
    <s v="Chandigarh"/>
    <x v="3"/>
    <s v="P012"/>
    <x v="16"/>
    <x v="0"/>
    <n v="2"/>
    <x v="14"/>
    <n v="10000"/>
    <m/>
    <m/>
    <m/>
    <m/>
  </r>
  <r>
    <x v="597"/>
    <x v="191"/>
    <s v="C034"/>
    <x v="43"/>
    <s v="Jaipur"/>
    <x v="3"/>
    <s v="P004"/>
    <x v="19"/>
    <x v="2"/>
    <n v="1"/>
    <x v="17"/>
    <n v="22000"/>
    <m/>
    <m/>
    <m/>
    <m/>
  </r>
  <r>
    <x v="598"/>
    <x v="232"/>
    <s v="C024"/>
    <x v="6"/>
    <s v="Patna"/>
    <x v="0"/>
    <s v="P015"/>
    <x v="7"/>
    <x v="0"/>
    <n v="1"/>
    <x v="7"/>
    <n v="9000"/>
    <m/>
    <m/>
    <m/>
    <m/>
  </r>
  <r>
    <x v="599"/>
    <x v="100"/>
    <s v="C054"/>
    <x v="51"/>
    <s v="Guwahati"/>
    <x v="0"/>
    <s v="P003"/>
    <x v="4"/>
    <x v="2"/>
    <n v="3"/>
    <x v="4"/>
    <n v="90000"/>
    <m/>
    <m/>
    <m/>
    <m/>
  </r>
  <r>
    <x v="600"/>
    <x v="90"/>
    <s v="C041"/>
    <x v="65"/>
    <s v="Mumbai"/>
    <x v="2"/>
    <s v="P023"/>
    <x v="25"/>
    <x v="3"/>
    <n v="1"/>
    <x v="10"/>
    <n v="4200"/>
    <m/>
    <m/>
    <m/>
    <m/>
  </r>
  <r>
    <x v="601"/>
    <x v="84"/>
    <s v="C008"/>
    <x v="0"/>
    <s v="Patna"/>
    <x v="0"/>
    <s v="P009"/>
    <x v="27"/>
    <x v="2"/>
    <n v="3"/>
    <x v="23"/>
    <n v="7500"/>
    <m/>
    <m/>
    <m/>
    <m/>
  </r>
  <r>
    <x v="602"/>
    <x v="82"/>
    <s v="C061"/>
    <x v="21"/>
    <s v="Bengaluru"/>
    <x v="1"/>
    <s v="P021"/>
    <x v="9"/>
    <x v="3"/>
    <n v="1"/>
    <x v="1"/>
    <n v="2400"/>
    <m/>
    <m/>
    <m/>
    <m/>
  </r>
  <r>
    <x v="603"/>
    <x v="177"/>
    <s v="C052"/>
    <x v="5"/>
    <s v="Chandigarh"/>
    <x v="3"/>
    <s v="P013"/>
    <x v="12"/>
    <x v="0"/>
    <n v="1"/>
    <x v="10"/>
    <n v="4200"/>
    <m/>
    <m/>
    <m/>
    <m/>
  </r>
  <r>
    <x v="604"/>
    <x v="94"/>
    <s v="C037"/>
    <x v="17"/>
    <s v="Kolkata"/>
    <x v="0"/>
    <s v="P017"/>
    <x v="2"/>
    <x v="0"/>
    <n v="1"/>
    <x v="2"/>
    <n v="15000"/>
    <m/>
    <m/>
    <m/>
    <m/>
  </r>
  <r>
    <x v="605"/>
    <x v="58"/>
    <s v="C011"/>
    <x v="28"/>
    <s v="Ahmedabad"/>
    <x v="2"/>
    <s v="P013"/>
    <x v="12"/>
    <x v="0"/>
    <n v="1"/>
    <x v="10"/>
    <n v="4200"/>
    <m/>
    <m/>
    <m/>
    <m/>
  </r>
  <r>
    <x v="606"/>
    <x v="215"/>
    <s v="C062"/>
    <x v="64"/>
    <s v="Chennai"/>
    <x v="1"/>
    <s v="P009"/>
    <x v="27"/>
    <x v="2"/>
    <n v="1"/>
    <x v="23"/>
    <n v="2500"/>
    <m/>
    <m/>
    <m/>
    <m/>
  </r>
  <r>
    <x v="607"/>
    <x v="4"/>
    <s v="C016"/>
    <x v="39"/>
    <s v="Kochi"/>
    <x v="1"/>
    <s v="P019"/>
    <x v="24"/>
    <x v="3"/>
    <n v="1"/>
    <x v="21"/>
    <n v="3200"/>
    <m/>
    <m/>
    <m/>
    <m/>
  </r>
  <r>
    <x v="608"/>
    <x v="22"/>
    <s v="C008"/>
    <x v="0"/>
    <s v="Patna"/>
    <x v="0"/>
    <s v="P008"/>
    <x v="21"/>
    <x v="2"/>
    <n v="1"/>
    <x v="19"/>
    <n v="4500"/>
    <m/>
    <m/>
    <m/>
    <m/>
  </r>
  <r>
    <x v="609"/>
    <x v="67"/>
    <s v="C011"/>
    <x v="28"/>
    <s v="Ahmedabad"/>
    <x v="2"/>
    <s v="P003"/>
    <x v="4"/>
    <x v="2"/>
    <n v="2"/>
    <x v="4"/>
    <n v="60000"/>
    <m/>
    <m/>
    <m/>
    <m/>
  </r>
  <r>
    <x v="610"/>
    <x v="212"/>
    <s v="C011"/>
    <x v="28"/>
    <s v="Ahmedabad"/>
    <x v="2"/>
    <s v="P029"/>
    <x v="14"/>
    <x v="1"/>
    <n v="4"/>
    <x v="12"/>
    <n v="8000"/>
    <m/>
    <m/>
    <m/>
    <m/>
  </r>
  <r>
    <x v="611"/>
    <x v="124"/>
    <s v="C011"/>
    <x v="28"/>
    <s v="Ahmedabad"/>
    <x v="2"/>
    <s v="P002"/>
    <x v="17"/>
    <x v="2"/>
    <n v="1"/>
    <x v="15"/>
    <n v="52000"/>
    <m/>
    <m/>
    <m/>
    <m/>
  </r>
  <r>
    <x v="612"/>
    <x v="289"/>
    <s v="C029"/>
    <x v="11"/>
    <s v="Bengaluru"/>
    <x v="1"/>
    <s v="P022"/>
    <x v="18"/>
    <x v="3"/>
    <n v="2"/>
    <x v="16"/>
    <n v="9600"/>
    <m/>
    <m/>
    <m/>
    <m/>
  </r>
  <r>
    <x v="613"/>
    <x v="70"/>
    <s v="C061"/>
    <x v="21"/>
    <s v="Bengaluru"/>
    <x v="1"/>
    <s v="P029"/>
    <x v="14"/>
    <x v="1"/>
    <n v="1"/>
    <x v="12"/>
    <n v="2000"/>
    <m/>
    <m/>
    <m/>
    <m/>
  </r>
  <r>
    <x v="614"/>
    <x v="165"/>
    <s v="C051"/>
    <x v="53"/>
    <s v="Lucknow"/>
    <x v="3"/>
    <s v="P021"/>
    <x v="9"/>
    <x v="3"/>
    <n v="4"/>
    <x v="1"/>
    <n v="9600"/>
    <m/>
    <m/>
    <m/>
    <m/>
  </r>
  <r>
    <x v="615"/>
    <x v="9"/>
    <s v="C055"/>
    <x v="63"/>
    <s v="Bhubaneswar"/>
    <x v="0"/>
    <s v="P016"/>
    <x v="8"/>
    <x v="0"/>
    <n v="2"/>
    <x v="8"/>
    <n v="4400"/>
    <m/>
    <m/>
    <m/>
    <m/>
  </r>
  <r>
    <x v="616"/>
    <x v="290"/>
    <s v="C037"/>
    <x v="17"/>
    <s v="Kolkata"/>
    <x v="0"/>
    <s v="P024"/>
    <x v="11"/>
    <x v="3"/>
    <n v="2"/>
    <x v="9"/>
    <n v="6000"/>
    <m/>
    <m/>
    <m/>
    <m/>
  </r>
  <r>
    <x v="617"/>
    <x v="114"/>
    <s v="C003"/>
    <x v="32"/>
    <s v="Lucknow"/>
    <x v="3"/>
    <s v="P028"/>
    <x v="20"/>
    <x v="1"/>
    <n v="1"/>
    <x v="18"/>
    <n v="1400"/>
    <m/>
    <m/>
    <m/>
    <m/>
  </r>
  <r>
    <x v="618"/>
    <x v="291"/>
    <s v="C007"/>
    <x v="8"/>
    <s v="Bhubaneswar"/>
    <x v="0"/>
    <s v="P029"/>
    <x v="14"/>
    <x v="1"/>
    <n v="1"/>
    <x v="12"/>
    <n v="2000"/>
    <m/>
    <m/>
    <m/>
    <m/>
  </r>
  <r>
    <x v="619"/>
    <x v="91"/>
    <s v="C003"/>
    <x v="32"/>
    <s v="Lucknow"/>
    <x v="3"/>
    <s v="P030"/>
    <x v="6"/>
    <x v="1"/>
    <n v="1"/>
    <x v="6"/>
    <n v="3500"/>
    <m/>
    <m/>
    <m/>
    <m/>
  </r>
  <r>
    <x v="620"/>
    <x v="292"/>
    <s v="C029"/>
    <x v="11"/>
    <s v="Bengaluru"/>
    <x v="1"/>
    <s v="P010"/>
    <x v="10"/>
    <x v="2"/>
    <n v="4"/>
    <x v="8"/>
    <n v="8800"/>
    <m/>
    <m/>
    <m/>
    <m/>
  </r>
  <r>
    <x v="621"/>
    <x v="291"/>
    <s v="C022"/>
    <x v="18"/>
    <s v="Guwahati"/>
    <x v="0"/>
    <s v="P007"/>
    <x v="13"/>
    <x v="2"/>
    <n v="2"/>
    <x v="11"/>
    <n v="36000"/>
    <m/>
    <m/>
    <m/>
    <m/>
  </r>
  <r>
    <x v="622"/>
    <x v="107"/>
    <s v="C070"/>
    <x v="24"/>
    <s v="Guwahati"/>
    <x v="0"/>
    <s v="P006"/>
    <x v="3"/>
    <x v="2"/>
    <n v="1"/>
    <x v="3"/>
    <n v="12000"/>
    <m/>
    <m/>
    <m/>
    <m/>
  </r>
  <r>
    <x v="623"/>
    <x v="293"/>
    <s v="C050"/>
    <x v="14"/>
    <s v="Jaipur"/>
    <x v="3"/>
    <s v="P028"/>
    <x v="20"/>
    <x v="1"/>
    <n v="2"/>
    <x v="18"/>
    <n v="2800"/>
    <m/>
    <m/>
    <m/>
    <m/>
  </r>
  <r>
    <x v="624"/>
    <x v="93"/>
    <s v="C052"/>
    <x v="5"/>
    <s v="Chandigarh"/>
    <x v="3"/>
    <s v="P021"/>
    <x v="9"/>
    <x v="3"/>
    <n v="3"/>
    <x v="1"/>
    <n v="7200"/>
    <m/>
    <m/>
    <m/>
    <m/>
  </r>
  <r>
    <x v="625"/>
    <x v="32"/>
    <s v="C067"/>
    <x v="9"/>
    <s v="Lucknow"/>
    <x v="3"/>
    <s v="P005"/>
    <x v="15"/>
    <x v="2"/>
    <n v="5"/>
    <x v="13"/>
    <n v="140000"/>
    <m/>
    <m/>
    <m/>
    <m/>
  </r>
  <r>
    <x v="626"/>
    <x v="73"/>
    <s v="C042"/>
    <x v="27"/>
    <s v="Pune"/>
    <x v="2"/>
    <s v="P029"/>
    <x v="14"/>
    <x v="1"/>
    <n v="1"/>
    <x v="12"/>
    <n v="2000"/>
    <m/>
    <m/>
    <m/>
    <m/>
  </r>
  <r>
    <x v="627"/>
    <x v="256"/>
    <s v="C032"/>
    <x v="58"/>
    <s v="Kochi"/>
    <x v="1"/>
    <s v="P016"/>
    <x v="8"/>
    <x v="0"/>
    <n v="1"/>
    <x v="8"/>
    <n v="2200"/>
    <m/>
    <m/>
    <m/>
    <m/>
  </r>
  <r>
    <x v="628"/>
    <x v="118"/>
    <s v="C056"/>
    <x v="33"/>
    <s v="Patna"/>
    <x v="0"/>
    <s v="P007"/>
    <x v="13"/>
    <x v="2"/>
    <n v="5"/>
    <x v="11"/>
    <n v="90000"/>
    <m/>
    <m/>
    <m/>
    <m/>
  </r>
  <r>
    <x v="629"/>
    <x v="46"/>
    <s v="C037"/>
    <x v="17"/>
    <s v="Kolkata"/>
    <x v="0"/>
    <s v="P020"/>
    <x v="5"/>
    <x v="3"/>
    <n v="2"/>
    <x v="5"/>
    <n v="3200"/>
    <m/>
    <m/>
    <m/>
    <m/>
  </r>
  <r>
    <x v="630"/>
    <x v="288"/>
    <s v="C035"/>
    <x v="16"/>
    <s v="Lucknow"/>
    <x v="3"/>
    <s v="P023"/>
    <x v="25"/>
    <x v="3"/>
    <n v="1"/>
    <x v="10"/>
    <n v="4200"/>
    <m/>
    <m/>
    <m/>
    <m/>
  </r>
  <r>
    <x v="631"/>
    <x v="93"/>
    <s v="C050"/>
    <x v="14"/>
    <s v="Jaipur"/>
    <x v="3"/>
    <s v="P020"/>
    <x v="5"/>
    <x v="3"/>
    <n v="1"/>
    <x v="5"/>
    <n v="1600"/>
    <m/>
    <m/>
    <m/>
    <m/>
  </r>
  <r>
    <x v="632"/>
    <x v="187"/>
    <s v="C062"/>
    <x v="64"/>
    <s v="Chennai"/>
    <x v="1"/>
    <s v="P008"/>
    <x v="21"/>
    <x v="2"/>
    <n v="1"/>
    <x v="19"/>
    <n v="4500"/>
    <m/>
    <m/>
    <m/>
    <m/>
  </r>
  <r>
    <x v="633"/>
    <x v="185"/>
    <s v="C069"/>
    <x v="22"/>
    <s v="Kolkata"/>
    <x v="0"/>
    <s v="P003"/>
    <x v="4"/>
    <x v="2"/>
    <n v="3"/>
    <x v="4"/>
    <n v="90000"/>
    <m/>
    <m/>
    <m/>
    <m/>
  </r>
  <r>
    <x v="634"/>
    <x v="208"/>
    <s v="C017"/>
    <x v="71"/>
    <s v="Delhi"/>
    <x v="3"/>
    <s v="P003"/>
    <x v="4"/>
    <x v="2"/>
    <n v="1"/>
    <x v="4"/>
    <n v="30000"/>
    <m/>
    <m/>
    <m/>
    <m/>
  </r>
  <r>
    <x v="635"/>
    <x v="96"/>
    <s v="C003"/>
    <x v="32"/>
    <s v="Lucknow"/>
    <x v="3"/>
    <s v="P008"/>
    <x v="21"/>
    <x v="2"/>
    <n v="2"/>
    <x v="19"/>
    <n v="9000"/>
    <m/>
    <m/>
    <m/>
    <m/>
  </r>
  <r>
    <x v="636"/>
    <x v="138"/>
    <s v="C048"/>
    <x v="26"/>
    <s v="Kochi"/>
    <x v="1"/>
    <s v="P017"/>
    <x v="2"/>
    <x v="0"/>
    <n v="1"/>
    <x v="2"/>
    <n v="15000"/>
    <m/>
    <m/>
    <m/>
    <m/>
  </r>
  <r>
    <x v="637"/>
    <x v="294"/>
    <s v="C007"/>
    <x v="8"/>
    <s v="Bhubaneswar"/>
    <x v="0"/>
    <s v="P020"/>
    <x v="5"/>
    <x v="3"/>
    <n v="1"/>
    <x v="5"/>
    <n v="1600"/>
    <m/>
    <m/>
    <m/>
    <m/>
  </r>
  <r>
    <x v="638"/>
    <x v="99"/>
    <s v="C037"/>
    <x v="17"/>
    <s v="Kolkata"/>
    <x v="0"/>
    <s v="P022"/>
    <x v="18"/>
    <x v="3"/>
    <n v="2"/>
    <x v="16"/>
    <n v="9600"/>
    <m/>
    <m/>
    <m/>
    <m/>
  </r>
  <r>
    <x v="639"/>
    <x v="124"/>
    <s v="C050"/>
    <x v="14"/>
    <s v="Jaipur"/>
    <x v="3"/>
    <s v="P030"/>
    <x v="6"/>
    <x v="1"/>
    <n v="2"/>
    <x v="6"/>
    <n v="7000"/>
    <m/>
    <m/>
    <m/>
    <m/>
  </r>
  <r>
    <x v="640"/>
    <x v="120"/>
    <s v="C034"/>
    <x v="43"/>
    <s v="Jaipur"/>
    <x v="3"/>
    <s v="P012"/>
    <x v="16"/>
    <x v="0"/>
    <n v="1"/>
    <x v="14"/>
    <n v="5000"/>
    <m/>
    <m/>
    <m/>
    <m/>
  </r>
  <r>
    <x v="641"/>
    <x v="255"/>
    <s v="C060"/>
    <x v="47"/>
    <s v="Surat"/>
    <x v="2"/>
    <s v="P026"/>
    <x v="1"/>
    <x v="1"/>
    <n v="2"/>
    <x v="1"/>
    <n v="4800"/>
    <m/>
    <m/>
    <m/>
    <m/>
  </r>
  <r>
    <x v="642"/>
    <x v="42"/>
    <s v="C027"/>
    <x v="23"/>
    <s v="Ahmedabad"/>
    <x v="2"/>
    <s v="P019"/>
    <x v="24"/>
    <x v="3"/>
    <n v="1"/>
    <x v="21"/>
    <n v="3200"/>
    <m/>
    <m/>
    <m/>
    <m/>
  </r>
  <r>
    <x v="643"/>
    <x v="11"/>
    <s v="C008"/>
    <x v="0"/>
    <s v="Patna"/>
    <x v="0"/>
    <s v="P008"/>
    <x v="21"/>
    <x v="2"/>
    <n v="1"/>
    <x v="19"/>
    <n v="4500"/>
    <m/>
    <m/>
    <m/>
    <m/>
  </r>
  <r>
    <x v="644"/>
    <x v="86"/>
    <s v="C030"/>
    <x v="52"/>
    <s v="Chennai"/>
    <x v="1"/>
    <s v="P001"/>
    <x v="23"/>
    <x v="2"/>
    <n v="1"/>
    <x v="20"/>
    <n v="65000"/>
    <m/>
    <m/>
    <m/>
    <m/>
  </r>
  <r>
    <x v="645"/>
    <x v="91"/>
    <s v="C049"/>
    <x v="29"/>
    <s v="Delhi"/>
    <x v="3"/>
    <s v="P005"/>
    <x v="15"/>
    <x v="2"/>
    <n v="4"/>
    <x v="13"/>
    <n v="112000"/>
    <m/>
    <m/>
    <m/>
    <m/>
  </r>
  <r>
    <x v="646"/>
    <x v="295"/>
    <s v="C033"/>
    <x v="59"/>
    <s v="Delhi"/>
    <x v="3"/>
    <s v="P013"/>
    <x v="12"/>
    <x v="0"/>
    <n v="1"/>
    <x v="10"/>
    <n v="4200"/>
    <m/>
    <m/>
    <m/>
    <m/>
  </r>
  <r>
    <x v="647"/>
    <x v="296"/>
    <s v="C032"/>
    <x v="58"/>
    <s v="Kochi"/>
    <x v="1"/>
    <s v="P027"/>
    <x v="29"/>
    <x v="1"/>
    <n v="1"/>
    <x v="25"/>
    <n v="5500"/>
    <m/>
    <m/>
    <m/>
    <m/>
  </r>
  <r>
    <x v="648"/>
    <x v="292"/>
    <s v="C071"/>
    <x v="1"/>
    <s v="Bhubaneswar"/>
    <x v="0"/>
    <s v="P018"/>
    <x v="22"/>
    <x v="0"/>
    <n v="2"/>
    <x v="9"/>
    <n v="6000"/>
    <m/>
    <m/>
    <m/>
    <m/>
  </r>
  <r>
    <x v="649"/>
    <x v="176"/>
    <s v="C004"/>
    <x v="41"/>
    <s v="Chandigarh"/>
    <x v="3"/>
    <s v="P007"/>
    <x v="13"/>
    <x v="2"/>
    <n v="2"/>
    <x v="11"/>
    <n v="36000"/>
    <m/>
    <m/>
    <m/>
    <m/>
  </r>
  <r>
    <x v="650"/>
    <x v="143"/>
    <s v="C042"/>
    <x v="27"/>
    <s v="Pune"/>
    <x v="2"/>
    <s v="P020"/>
    <x v="5"/>
    <x v="3"/>
    <n v="2"/>
    <x v="5"/>
    <n v="3200"/>
    <m/>
    <m/>
    <m/>
    <m/>
  </r>
  <r>
    <x v="651"/>
    <x v="177"/>
    <s v="C044"/>
    <x v="61"/>
    <s v="Surat"/>
    <x v="2"/>
    <s v="P024"/>
    <x v="11"/>
    <x v="3"/>
    <n v="2"/>
    <x v="9"/>
    <n v="6000"/>
    <m/>
    <m/>
    <m/>
    <m/>
  </r>
  <r>
    <x v="652"/>
    <x v="222"/>
    <s v="C070"/>
    <x v="24"/>
    <s v="Guwahati"/>
    <x v="0"/>
    <s v="P024"/>
    <x v="11"/>
    <x v="3"/>
    <n v="2"/>
    <x v="9"/>
    <n v="6000"/>
    <m/>
    <m/>
    <m/>
    <m/>
  </r>
  <r>
    <x v="653"/>
    <x v="289"/>
    <s v="C067"/>
    <x v="9"/>
    <s v="Lucknow"/>
    <x v="3"/>
    <s v="P004"/>
    <x v="19"/>
    <x v="2"/>
    <n v="2"/>
    <x v="17"/>
    <n v="44000"/>
    <m/>
    <m/>
    <m/>
    <m/>
  </r>
  <r>
    <x v="654"/>
    <x v="297"/>
    <s v="C047"/>
    <x v="25"/>
    <s v="Hyderabad"/>
    <x v="1"/>
    <s v="P002"/>
    <x v="17"/>
    <x v="2"/>
    <n v="1"/>
    <x v="15"/>
    <n v="52000"/>
    <m/>
    <m/>
    <m/>
    <m/>
  </r>
  <r>
    <x v="655"/>
    <x v="18"/>
    <s v="C058"/>
    <x v="62"/>
    <s v="Pune"/>
    <x v="2"/>
    <s v="P008"/>
    <x v="21"/>
    <x v="2"/>
    <n v="1"/>
    <x v="19"/>
    <n v="4500"/>
    <m/>
    <m/>
    <m/>
    <m/>
  </r>
  <r>
    <x v="656"/>
    <x v="228"/>
    <s v="C061"/>
    <x v="21"/>
    <s v="Bengaluru"/>
    <x v="1"/>
    <s v="P004"/>
    <x v="19"/>
    <x v="2"/>
    <n v="1"/>
    <x v="17"/>
    <n v="22000"/>
    <m/>
    <m/>
    <m/>
    <m/>
  </r>
  <r>
    <x v="657"/>
    <x v="266"/>
    <s v="C026"/>
    <x v="19"/>
    <s v="Pune"/>
    <x v="2"/>
    <s v="P001"/>
    <x v="23"/>
    <x v="2"/>
    <n v="2"/>
    <x v="20"/>
    <n v="130000"/>
    <m/>
    <m/>
    <m/>
    <m/>
  </r>
  <r>
    <x v="658"/>
    <x v="113"/>
    <s v="C068"/>
    <x v="20"/>
    <s v="Chandigarh"/>
    <x v="3"/>
    <s v="P030"/>
    <x v="6"/>
    <x v="1"/>
    <n v="1"/>
    <x v="6"/>
    <n v="3500"/>
    <m/>
    <m/>
    <m/>
    <m/>
  </r>
  <r>
    <x v="659"/>
    <x v="87"/>
    <s v="C071"/>
    <x v="1"/>
    <s v="Bhubaneswar"/>
    <x v="0"/>
    <s v="P009"/>
    <x v="27"/>
    <x v="2"/>
    <n v="2"/>
    <x v="23"/>
    <n v="5000"/>
    <m/>
    <m/>
    <m/>
    <m/>
  </r>
  <r>
    <x v="660"/>
    <x v="164"/>
    <s v="C003"/>
    <x v="32"/>
    <s v="Lucknow"/>
    <x v="3"/>
    <s v="P012"/>
    <x v="16"/>
    <x v="0"/>
    <n v="2"/>
    <x v="14"/>
    <n v="10000"/>
    <m/>
    <m/>
    <m/>
    <m/>
  </r>
  <r>
    <x v="661"/>
    <x v="56"/>
    <s v="C031"/>
    <x v="2"/>
    <s v="Hyderabad"/>
    <x v="1"/>
    <s v="P006"/>
    <x v="3"/>
    <x v="2"/>
    <n v="2"/>
    <x v="3"/>
    <n v="24000"/>
    <m/>
    <m/>
    <m/>
    <m/>
  </r>
  <r>
    <x v="662"/>
    <x v="44"/>
    <s v="C067"/>
    <x v="9"/>
    <s v="Lucknow"/>
    <x v="3"/>
    <s v="P008"/>
    <x v="21"/>
    <x v="2"/>
    <n v="2"/>
    <x v="19"/>
    <n v="9000"/>
    <m/>
    <m/>
    <m/>
    <m/>
  </r>
  <r>
    <x v="663"/>
    <x v="171"/>
    <s v="C068"/>
    <x v="20"/>
    <s v="Chandigarh"/>
    <x v="3"/>
    <s v="P029"/>
    <x v="14"/>
    <x v="1"/>
    <n v="2"/>
    <x v="12"/>
    <n v="4000"/>
    <m/>
    <m/>
    <m/>
    <m/>
  </r>
  <r>
    <x v="664"/>
    <x v="98"/>
    <s v="C036"/>
    <x v="15"/>
    <s v="Chandigarh"/>
    <x v="3"/>
    <s v="P002"/>
    <x v="17"/>
    <x v="2"/>
    <n v="2"/>
    <x v="15"/>
    <n v="104000"/>
    <m/>
    <m/>
    <m/>
    <m/>
  </r>
  <r>
    <x v="665"/>
    <x v="163"/>
    <s v="C036"/>
    <x v="15"/>
    <s v="Chandigarh"/>
    <x v="3"/>
    <s v="P024"/>
    <x v="11"/>
    <x v="3"/>
    <n v="1"/>
    <x v="9"/>
    <n v="3000"/>
    <m/>
    <m/>
    <m/>
    <m/>
  </r>
  <r>
    <x v="666"/>
    <x v="91"/>
    <s v="C071"/>
    <x v="1"/>
    <s v="Bhubaneswar"/>
    <x v="0"/>
    <s v="P004"/>
    <x v="19"/>
    <x v="2"/>
    <n v="2"/>
    <x v="17"/>
    <n v="44000"/>
    <m/>
    <m/>
    <m/>
    <m/>
  </r>
  <r>
    <x v="667"/>
    <x v="90"/>
    <s v="C021"/>
    <x v="4"/>
    <s v="Kolkata"/>
    <x v="0"/>
    <s v="P005"/>
    <x v="15"/>
    <x v="2"/>
    <n v="1"/>
    <x v="13"/>
    <n v="28000"/>
    <m/>
    <m/>
    <m/>
    <m/>
  </r>
  <r>
    <x v="668"/>
    <x v="34"/>
    <s v="C049"/>
    <x v="29"/>
    <s v="Delhi"/>
    <x v="3"/>
    <s v="P013"/>
    <x v="12"/>
    <x v="0"/>
    <n v="2"/>
    <x v="10"/>
    <n v="8400"/>
    <m/>
    <m/>
    <m/>
    <m/>
  </r>
  <r>
    <x v="669"/>
    <x v="221"/>
    <s v="C022"/>
    <x v="18"/>
    <s v="Guwahati"/>
    <x v="0"/>
    <s v="P022"/>
    <x v="18"/>
    <x v="3"/>
    <n v="2"/>
    <x v="16"/>
    <n v="9600"/>
    <m/>
    <m/>
    <m/>
    <m/>
  </r>
  <r>
    <x v="670"/>
    <x v="239"/>
    <s v="C010"/>
    <x v="50"/>
    <s v="Pune"/>
    <x v="2"/>
    <s v="P020"/>
    <x v="5"/>
    <x v="3"/>
    <n v="3"/>
    <x v="5"/>
    <n v="4800"/>
    <m/>
    <m/>
    <m/>
    <m/>
  </r>
  <r>
    <x v="671"/>
    <x v="264"/>
    <s v="C068"/>
    <x v="20"/>
    <s v="Chandigarh"/>
    <x v="3"/>
    <s v="P007"/>
    <x v="13"/>
    <x v="2"/>
    <n v="1"/>
    <x v="11"/>
    <n v="18000"/>
    <m/>
    <m/>
    <m/>
    <m/>
  </r>
  <r>
    <x v="672"/>
    <x v="13"/>
    <s v="C011"/>
    <x v="28"/>
    <s v="Ahmedabad"/>
    <x v="2"/>
    <s v="P019"/>
    <x v="24"/>
    <x v="3"/>
    <n v="2"/>
    <x v="21"/>
    <n v="6400"/>
    <m/>
    <m/>
    <m/>
    <m/>
  </r>
  <r>
    <x v="673"/>
    <x v="86"/>
    <s v="C073"/>
    <x v="12"/>
    <s v="Mumbai"/>
    <x v="2"/>
    <s v="P022"/>
    <x v="18"/>
    <x v="3"/>
    <n v="3"/>
    <x v="16"/>
    <n v="14400"/>
    <m/>
    <m/>
    <m/>
    <m/>
  </r>
  <r>
    <x v="674"/>
    <x v="251"/>
    <s v="C042"/>
    <x v="27"/>
    <s v="Pune"/>
    <x v="2"/>
    <s v="P012"/>
    <x v="16"/>
    <x v="0"/>
    <n v="1"/>
    <x v="14"/>
    <n v="5000"/>
    <m/>
    <m/>
    <m/>
    <m/>
  </r>
  <r>
    <x v="675"/>
    <x v="200"/>
    <s v="C021"/>
    <x v="4"/>
    <s v="Kolkata"/>
    <x v="0"/>
    <s v="P016"/>
    <x v="8"/>
    <x v="0"/>
    <n v="1"/>
    <x v="8"/>
    <n v="2200"/>
    <m/>
    <m/>
    <m/>
    <m/>
  </r>
  <r>
    <x v="676"/>
    <x v="298"/>
    <s v="C006"/>
    <x v="36"/>
    <s v="Guwahati"/>
    <x v="0"/>
    <s v="P027"/>
    <x v="29"/>
    <x v="1"/>
    <n v="2"/>
    <x v="25"/>
    <n v="11000"/>
    <m/>
    <m/>
    <m/>
    <m/>
  </r>
  <r>
    <x v="677"/>
    <x v="87"/>
    <s v="C058"/>
    <x v="62"/>
    <s v="Pune"/>
    <x v="2"/>
    <s v="P010"/>
    <x v="10"/>
    <x v="2"/>
    <n v="2"/>
    <x v="8"/>
    <n v="4400"/>
    <m/>
    <m/>
    <m/>
    <m/>
  </r>
  <r>
    <x v="678"/>
    <x v="7"/>
    <s v="C074"/>
    <x v="49"/>
    <s v="Pune"/>
    <x v="2"/>
    <s v="P029"/>
    <x v="14"/>
    <x v="1"/>
    <n v="3"/>
    <x v="12"/>
    <n v="6000"/>
    <m/>
    <m/>
    <m/>
    <m/>
  </r>
  <r>
    <x v="679"/>
    <x v="189"/>
    <s v="C019"/>
    <x v="40"/>
    <s v="Lucknow"/>
    <x v="3"/>
    <s v="P003"/>
    <x v="4"/>
    <x v="2"/>
    <n v="3"/>
    <x v="4"/>
    <n v="90000"/>
    <m/>
    <m/>
    <m/>
    <m/>
  </r>
  <r>
    <x v="680"/>
    <x v="0"/>
    <s v="C061"/>
    <x v="21"/>
    <s v="Bengaluru"/>
    <x v="1"/>
    <s v="P007"/>
    <x v="13"/>
    <x v="2"/>
    <n v="1"/>
    <x v="11"/>
    <n v="18000"/>
    <m/>
    <m/>
    <m/>
    <m/>
  </r>
  <r>
    <x v="681"/>
    <x v="251"/>
    <s v="C014"/>
    <x v="70"/>
    <s v="Chennai"/>
    <x v="1"/>
    <s v="P001"/>
    <x v="23"/>
    <x v="2"/>
    <n v="1"/>
    <x v="20"/>
    <n v="65000"/>
    <m/>
    <m/>
    <m/>
    <m/>
  </r>
  <r>
    <x v="682"/>
    <x v="239"/>
    <s v="C052"/>
    <x v="5"/>
    <s v="Chandigarh"/>
    <x v="3"/>
    <s v="P014"/>
    <x v="0"/>
    <x v="0"/>
    <n v="5"/>
    <x v="0"/>
    <n v="55000"/>
    <m/>
    <m/>
    <m/>
    <m/>
  </r>
  <r>
    <x v="683"/>
    <x v="138"/>
    <s v="C054"/>
    <x v="51"/>
    <s v="Guwahati"/>
    <x v="0"/>
    <s v="P027"/>
    <x v="29"/>
    <x v="1"/>
    <n v="1"/>
    <x v="25"/>
    <n v="5500"/>
    <m/>
    <m/>
    <m/>
    <m/>
  </r>
  <r>
    <x v="684"/>
    <x v="299"/>
    <s v="C037"/>
    <x v="17"/>
    <s v="Kolkata"/>
    <x v="0"/>
    <s v="P014"/>
    <x v="0"/>
    <x v="0"/>
    <n v="1"/>
    <x v="0"/>
    <n v="11000"/>
    <m/>
    <m/>
    <m/>
    <m/>
  </r>
  <r>
    <x v="685"/>
    <x v="251"/>
    <s v="C005"/>
    <x v="73"/>
    <s v="Kolkata"/>
    <x v="0"/>
    <s v="P015"/>
    <x v="7"/>
    <x v="0"/>
    <n v="1"/>
    <x v="7"/>
    <n v="9000"/>
    <m/>
    <m/>
    <m/>
    <m/>
  </r>
  <r>
    <x v="686"/>
    <x v="41"/>
    <s v="C014"/>
    <x v="70"/>
    <s v="Chennai"/>
    <x v="1"/>
    <s v="P001"/>
    <x v="23"/>
    <x v="2"/>
    <n v="1"/>
    <x v="20"/>
    <n v="65000"/>
    <m/>
    <m/>
    <m/>
    <m/>
  </r>
  <r>
    <x v="687"/>
    <x v="11"/>
    <s v="C027"/>
    <x v="23"/>
    <s v="Ahmedabad"/>
    <x v="2"/>
    <s v="P007"/>
    <x v="13"/>
    <x v="2"/>
    <n v="3"/>
    <x v="11"/>
    <n v="54000"/>
    <m/>
    <m/>
    <m/>
    <m/>
  </r>
  <r>
    <x v="688"/>
    <x v="189"/>
    <s v="C037"/>
    <x v="17"/>
    <s v="Kolkata"/>
    <x v="0"/>
    <s v="P003"/>
    <x v="4"/>
    <x v="2"/>
    <n v="1"/>
    <x v="4"/>
    <n v="30000"/>
    <m/>
    <m/>
    <m/>
    <m/>
  </r>
  <r>
    <x v="689"/>
    <x v="153"/>
    <s v="C032"/>
    <x v="58"/>
    <s v="Kochi"/>
    <x v="1"/>
    <s v="P026"/>
    <x v="1"/>
    <x v="1"/>
    <n v="2"/>
    <x v="1"/>
    <n v="4800"/>
    <m/>
    <m/>
    <m/>
    <m/>
  </r>
  <r>
    <x v="690"/>
    <x v="257"/>
    <s v="C063"/>
    <x v="45"/>
    <s v="Hyderabad"/>
    <x v="1"/>
    <s v="P028"/>
    <x v="20"/>
    <x v="1"/>
    <n v="1"/>
    <x v="18"/>
    <n v="1400"/>
    <m/>
    <m/>
    <m/>
    <m/>
  </r>
  <r>
    <x v="691"/>
    <x v="253"/>
    <s v="C020"/>
    <x v="74"/>
    <s v="Chandigarh"/>
    <x v="3"/>
    <s v="P025"/>
    <x v="26"/>
    <x v="3"/>
    <n v="1"/>
    <x v="22"/>
    <n v="3800"/>
    <m/>
    <m/>
    <m/>
    <m/>
  </r>
  <r>
    <x v="692"/>
    <x v="127"/>
    <s v="C069"/>
    <x v="22"/>
    <s v="Kolkata"/>
    <x v="0"/>
    <s v="P011"/>
    <x v="28"/>
    <x v="0"/>
    <n v="2"/>
    <x v="24"/>
    <n v="13000"/>
    <m/>
    <m/>
    <m/>
    <m/>
  </r>
  <r>
    <x v="693"/>
    <x v="30"/>
    <s v="C019"/>
    <x v="40"/>
    <s v="Lucknow"/>
    <x v="3"/>
    <s v="P023"/>
    <x v="25"/>
    <x v="3"/>
    <n v="1"/>
    <x v="10"/>
    <n v="4200"/>
    <m/>
    <m/>
    <m/>
    <m/>
  </r>
  <r>
    <x v="694"/>
    <x v="20"/>
    <s v="C029"/>
    <x v="11"/>
    <s v="Bengaluru"/>
    <x v="1"/>
    <s v="P025"/>
    <x v="26"/>
    <x v="3"/>
    <n v="5"/>
    <x v="22"/>
    <n v="19000"/>
    <m/>
    <m/>
    <m/>
    <m/>
  </r>
  <r>
    <x v="695"/>
    <x v="179"/>
    <s v="C068"/>
    <x v="20"/>
    <s v="Chandigarh"/>
    <x v="3"/>
    <s v="P002"/>
    <x v="17"/>
    <x v="2"/>
    <n v="1"/>
    <x v="15"/>
    <n v="52000"/>
    <m/>
    <m/>
    <m/>
    <m/>
  </r>
  <r>
    <x v="696"/>
    <x v="159"/>
    <s v="C028"/>
    <x v="55"/>
    <s v="Surat"/>
    <x v="2"/>
    <s v="P026"/>
    <x v="1"/>
    <x v="1"/>
    <n v="1"/>
    <x v="1"/>
    <n v="2400"/>
    <m/>
    <m/>
    <m/>
    <m/>
  </r>
  <r>
    <x v="697"/>
    <x v="155"/>
    <s v="C001"/>
    <x v="42"/>
    <s v="Delhi"/>
    <x v="3"/>
    <s v="P009"/>
    <x v="27"/>
    <x v="2"/>
    <n v="3"/>
    <x v="23"/>
    <n v="7500"/>
    <m/>
    <m/>
    <m/>
    <m/>
  </r>
  <r>
    <x v="698"/>
    <x v="258"/>
    <s v="C048"/>
    <x v="26"/>
    <s v="Kochi"/>
    <x v="1"/>
    <s v="P024"/>
    <x v="11"/>
    <x v="3"/>
    <n v="1"/>
    <x v="9"/>
    <n v="3000"/>
    <m/>
    <m/>
    <m/>
    <m/>
  </r>
  <r>
    <x v="699"/>
    <x v="70"/>
    <s v="C010"/>
    <x v="50"/>
    <s v="Pune"/>
    <x v="2"/>
    <s v="P030"/>
    <x v="6"/>
    <x v="1"/>
    <n v="1"/>
    <x v="6"/>
    <n v="3500"/>
    <m/>
    <m/>
    <m/>
    <m/>
  </r>
  <r>
    <x v="700"/>
    <x v="68"/>
    <s v="C056"/>
    <x v="33"/>
    <s v="Patna"/>
    <x v="0"/>
    <s v="P002"/>
    <x v="17"/>
    <x v="2"/>
    <n v="1"/>
    <x v="15"/>
    <n v="52000"/>
    <m/>
    <m/>
    <m/>
    <m/>
  </r>
  <r>
    <x v="701"/>
    <x v="26"/>
    <s v="C033"/>
    <x v="59"/>
    <s v="Delhi"/>
    <x v="3"/>
    <s v="P002"/>
    <x v="17"/>
    <x v="2"/>
    <n v="1"/>
    <x v="15"/>
    <n v="52000"/>
    <m/>
    <m/>
    <m/>
    <m/>
  </r>
  <r>
    <x v="702"/>
    <x v="300"/>
    <s v="C010"/>
    <x v="50"/>
    <s v="Pune"/>
    <x v="2"/>
    <s v="P017"/>
    <x v="2"/>
    <x v="0"/>
    <n v="2"/>
    <x v="2"/>
    <n v="30000"/>
    <m/>
    <m/>
    <m/>
    <m/>
  </r>
  <r>
    <x v="703"/>
    <x v="14"/>
    <s v="C041"/>
    <x v="65"/>
    <s v="Mumbai"/>
    <x v="2"/>
    <s v="P003"/>
    <x v="4"/>
    <x v="2"/>
    <n v="1"/>
    <x v="4"/>
    <n v="30000"/>
    <m/>
    <m/>
    <m/>
    <m/>
  </r>
  <r>
    <x v="704"/>
    <x v="251"/>
    <s v="C068"/>
    <x v="20"/>
    <s v="Chandigarh"/>
    <x v="3"/>
    <s v="P022"/>
    <x v="18"/>
    <x v="3"/>
    <n v="1"/>
    <x v="16"/>
    <n v="4800"/>
    <m/>
    <m/>
    <m/>
    <m/>
  </r>
  <r>
    <x v="705"/>
    <x v="301"/>
    <s v="C059"/>
    <x v="38"/>
    <s v="Ahmedabad"/>
    <x v="2"/>
    <s v="P009"/>
    <x v="27"/>
    <x v="2"/>
    <n v="4"/>
    <x v="23"/>
    <n v="10000"/>
    <m/>
    <m/>
    <m/>
    <m/>
  </r>
  <r>
    <x v="706"/>
    <x v="35"/>
    <s v="C056"/>
    <x v="33"/>
    <s v="Patna"/>
    <x v="0"/>
    <s v="P007"/>
    <x v="13"/>
    <x v="2"/>
    <n v="1"/>
    <x v="11"/>
    <n v="18000"/>
    <m/>
    <m/>
    <m/>
    <m/>
  </r>
  <r>
    <x v="707"/>
    <x v="93"/>
    <s v="C027"/>
    <x v="23"/>
    <s v="Ahmedabad"/>
    <x v="2"/>
    <s v="P023"/>
    <x v="25"/>
    <x v="3"/>
    <n v="1"/>
    <x v="10"/>
    <n v="4200"/>
    <m/>
    <m/>
    <m/>
    <m/>
  </r>
  <r>
    <x v="708"/>
    <x v="195"/>
    <s v="C043"/>
    <x v="3"/>
    <s v="Ahmedabad"/>
    <x v="2"/>
    <s v="P016"/>
    <x v="8"/>
    <x v="0"/>
    <n v="1"/>
    <x v="8"/>
    <n v="2200"/>
    <m/>
    <m/>
    <m/>
    <m/>
  </r>
  <r>
    <x v="709"/>
    <x v="296"/>
    <s v="C003"/>
    <x v="32"/>
    <s v="Lucknow"/>
    <x v="3"/>
    <s v="P017"/>
    <x v="2"/>
    <x v="0"/>
    <n v="1"/>
    <x v="2"/>
    <n v="15000"/>
    <m/>
    <m/>
    <m/>
    <m/>
  </r>
  <r>
    <x v="710"/>
    <x v="16"/>
    <s v="C021"/>
    <x v="4"/>
    <s v="Kolkata"/>
    <x v="0"/>
    <s v="P004"/>
    <x v="19"/>
    <x v="2"/>
    <n v="3"/>
    <x v="17"/>
    <n v="66000"/>
    <m/>
    <m/>
    <m/>
    <m/>
  </r>
  <r>
    <x v="711"/>
    <x v="24"/>
    <s v="C018"/>
    <x v="66"/>
    <s v="Jaipur"/>
    <x v="3"/>
    <s v="P023"/>
    <x v="25"/>
    <x v="3"/>
    <n v="4"/>
    <x v="10"/>
    <n v="16800"/>
    <m/>
    <m/>
    <m/>
    <m/>
  </r>
  <r>
    <x v="712"/>
    <x v="302"/>
    <s v="C054"/>
    <x v="51"/>
    <s v="Guwahati"/>
    <x v="0"/>
    <s v="P004"/>
    <x v="19"/>
    <x v="2"/>
    <n v="4"/>
    <x v="17"/>
    <n v="88000"/>
    <m/>
    <m/>
    <m/>
    <m/>
  </r>
  <r>
    <x v="713"/>
    <x v="254"/>
    <s v="C040"/>
    <x v="31"/>
    <s v="Patna"/>
    <x v="0"/>
    <s v="P024"/>
    <x v="11"/>
    <x v="3"/>
    <n v="1"/>
    <x v="9"/>
    <n v="3000"/>
    <m/>
    <m/>
    <m/>
    <m/>
  </r>
  <r>
    <x v="714"/>
    <x v="303"/>
    <s v="C056"/>
    <x v="33"/>
    <s v="Patna"/>
    <x v="0"/>
    <s v="P022"/>
    <x v="18"/>
    <x v="3"/>
    <n v="3"/>
    <x v="16"/>
    <n v="14400"/>
    <m/>
    <m/>
    <m/>
    <m/>
  </r>
  <r>
    <x v="715"/>
    <x v="304"/>
    <s v="C029"/>
    <x v="11"/>
    <s v="Bengaluru"/>
    <x v="1"/>
    <s v="P029"/>
    <x v="14"/>
    <x v="1"/>
    <n v="1"/>
    <x v="12"/>
    <n v="2000"/>
    <m/>
    <m/>
    <m/>
    <m/>
  </r>
  <r>
    <x v="716"/>
    <x v="241"/>
    <s v="C003"/>
    <x v="32"/>
    <s v="Lucknow"/>
    <x v="3"/>
    <s v="P025"/>
    <x v="26"/>
    <x v="3"/>
    <n v="1"/>
    <x v="22"/>
    <n v="3800"/>
    <m/>
    <m/>
    <m/>
    <m/>
  </r>
  <r>
    <x v="717"/>
    <x v="299"/>
    <s v="C008"/>
    <x v="0"/>
    <s v="Patna"/>
    <x v="0"/>
    <s v="P019"/>
    <x v="24"/>
    <x v="3"/>
    <n v="2"/>
    <x v="21"/>
    <n v="6400"/>
    <m/>
    <m/>
    <m/>
    <m/>
  </r>
  <r>
    <x v="718"/>
    <x v="238"/>
    <s v="C030"/>
    <x v="52"/>
    <s v="Chennai"/>
    <x v="1"/>
    <s v="P014"/>
    <x v="0"/>
    <x v="0"/>
    <n v="2"/>
    <x v="0"/>
    <n v="22000"/>
    <m/>
    <m/>
    <m/>
    <m/>
  </r>
  <r>
    <x v="719"/>
    <x v="258"/>
    <s v="C024"/>
    <x v="6"/>
    <s v="Patna"/>
    <x v="0"/>
    <s v="P001"/>
    <x v="23"/>
    <x v="2"/>
    <n v="1"/>
    <x v="20"/>
    <n v="65000"/>
    <m/>
    <m/>
    <m/>
    <m/>
  </r>
  <r>
    <x v="720"/>
    <x v="139"/>
    <s v="C030"/>
    <x v="52"/>
    <s v="Chennai"/>
    <x v="1"/>
    <s v="P005"/>
    <x v="15"/>
    <x v="2"/>
    <n v="3"/>
    <x v="13"/>
    <n v="84000"/>
    <m/>
    <m/>
    <m/>
    <m/>
  </r>
  <r>
    <x v="721"/>
    <x v="42"/>
    <s v="C008"/>
    <x v="0"/>
    <s v="Patna"/>
    <x v="0"/>
    <s v="P025"/>
    <x v="26"/>
    <x v="3"/>
    <n v="1"/>
    <x v="22"/>
    <n v="3800"/>
    <m/>
    <m/>
    <m/>
    <m/>
  </r>
  <r>
    <x v="722"/>
    <x v="187"/>
    <s v="C058"/>
    <x v="62"/>
    <s v="Pune"/>
    <x v="2"/>
    <s v="P003"/>
    <x v="4"/>
    <x v="2"/>
    <n v="2"/>
    <x v="4"/>
    <n v="60000"/>
    <m/>
    <m/>
    <m/>
    <m/>
  </r>
  <r>
    <x v="723"/>
    <x v="179"/>
    <s v="C021"/>
    <x v="4"/>
    <s v="Kolkata"/>
    <x v="0"/>
    <s v="P009"/>
    <x v="27"/>
    <x v="2"/>
    <n v="4"/>
    <x v="23"/>
    <n v="10000"/>
    <m/>
    <m/>
    <m/>
    <m/>
  </r>
  <r>
    <x v="724"/>
    <x v="305"/>
    <s v="C067"/>
    <x v="9"/>
    <s v="Lucknow"/>
    <x v="3"/>
    <s v="P019"/>
    <x v="24"/>
    <x v="3"/>
    <n v="1"/>
    <x v="21"/>
    <n v="3200"/>
    <m/>
    <m/>
    <m/>
    <m/>
  </r>
  <r>
    <x v="725"/>
    <x v="123"/>
    <s v="C003"/>
    <x v="32"/>
    <s v="Lucknow"/>
    <x v="3"/>
    <s v="P023"/>
    <x v="25"/>
    <x v="3"/>
    <n v="3"/>
    <x v="10"/>
    <n v="12600"/>
    <m/>
    <m/>
    <m/>
    <m/>
  </r>
  <r>
    <x v="726"/>
    <x v="303"/>
    <s v="C046"/>
    <x v="54"/>
    <s v="Chennai"/>
    <x v="1"/>
    <s v="P006"/>
    <x v="3"/>
    <x v="2"/>
    <n v="3"/>
    <x v="3"/>
    <n v="36000"/>
    <m/>
    <m/>
    <m/>
    <m/>
  </r>
  <r>
    <x v="727"/>
    <x v="303"/>
    <s v="C073"/>
    <x v="12"/>
    <s v="Mumbai"/>
    <x v="2"/>
    <s v="P006"/>
    <x v="3"/>
    <x v="2"/>
    <n v="1"/>
    <x v="3"/>
    <n v="12000"/>
    <m/>
    <m/>
    <m/>
    <m/>
  </r>
  <r>
    <x v="728"/>
    <x v="212"/>
    <s v="C047"/>
    <x v="25"/>
    <s v="Hyderabad"/>
    <x v="1"/>
    <s v="P025"/>
    <x v="26"/>
    <x v="3"/>
    <n v="2"/>
    <x v="22"/>
    <n v="7600"/>
    <m/>
    <m/>
    <m/>
    <m/>
  </r>
  <r>
    <x v="729"/>
    <x v="99"/>
    <s v="C036"/>
    <x v="15"/>
    <s v="Chandigarh"/>
    <x v="3"/>
    <s v="P002"/>
    <x v="17"/>
    <x v="2"/>
    <n v="1"/>
    <x v="15"/>
    <n v="52000"/>
    <m/>
    <m/>
    <m/>
    <m/>
  </r>
  <r>
    <x v="730"/>
    <x v="244"/>
    <s v="C019"/>
    <x v="40"/>
    <s v="Lucknow"/>
    <x v="3"/>
    <s v="P024"/>
    <x v="11"/>
    <x v="3"/>
    <n v="1"/>
    <x v="9"/>
    <n v="3000"/>
    <m/>
    <m/>
    <m/>
    <m/>
  </r>
  <r>
    <x v="731"/>
    <x v="143"/>
    <s v="C070"/>
    <x v="24"/>
    <s v="Guwahati"/>
    <x v="0"/>
    <s v="P008"/>
    <x v="21"/>
    <x v="2"/>
    <n v="2"/>
    <x v="19"/>
    <n v="9000"/>
    <m/>
    <m/>
    <m/>
    <m/>
  </r>
  <r>
    <x v="732"/>
    <x v="194"/>
    <s v="C021"/>
    <x v="4"/>
    <s v="Kolkata"/>
    <x v="0"/>
    <s v="P021"/>
    <x v="9"/>
    <x v="3"/>
    <n v="4"/>
    <x v="1"/>
    <n v="9600"/>
    <m/>
    <m/>
    <m/>
    <m/>
  </r>
  <r>
    <x v="733"/>
    <x v="288"/>
    <s v="C002"/>
    <x v="34"/>
    <s v="Jaipur"/>
    <x v="3"/>
    <s v="P020"/>
    <x v="5"/>
    <x v="3"/>
    <n v="1"/>
    <x v="5"/>
    <n v="1600"/>
    <m/>
    <m/>
    <m/>
    <m/>
  </r>
  <r>
    <x v="734"/>
    <x v="236"/>
    <s v="C056"/>
    <x v="33"/>
    <s v="Patna"/>
    <x v="0"/>
    <s v="P002"/>
    <x v="17"/>
    <x v="2"/>
    <n v="3"/>
    <x v="15"/>
    <n v="156000"/>
    <m/>
    <m/>
    <m/>
    <m/>
  </r>
  <r>
    <x v="735"/>
    <x v="182"/>
    <s v="C058"/>
    <x v="62"/>
    <s v="Pune"/>
    <x v="2"/>
    <s v="P008"/>
    <x v="21"/>
    <x v="2"/>
    <n v="1"/>
    <x v="19"/>
    <n v="4500"/>
    <m/>
    <m/>
    <m/>
    <m/>
  </r>
  <r>
    <x v="736"/>
    <x v="123"/>
    <s v="C049"/>
    <x v="29"/>
    <s v="Delhi"/>
    <x v="3"/>
    <s v="P011"/>
    <x v="28"/>
    <x v="0"/>
    <n v="1"/>
    <x v="24"/>
    <n v="6500"/>
    <m/>
    <m/>
    <m/>
    <m/>
  </r>
  <r>
    <x v="737"/>
    <x v="306"/>
    <s v="C068"/>
    <x v="20"/>
    <s v="Chandigarh"/>
    <x v="3"/>
    <s v="P008"/>
    <x v="21"/>
    <x v="2"/>
    <n v="1"/>
    <x v="19"/>
    <n v="4500"/>
    <m/>
    <m/>
    <m/>
    <m/>
  </r>
  <r>
    <x v="738"/>
    <x v="198"/>
    <s v="C007"/>
    <x v="8"/>
    <s v="Bhubaneswar"/>
    <x v="0"/>
    <s v="P003"/>
    <x v="4"/>
    <x v="2"/>
    <n v="1"/>
    <x v="4"/>
    <n v="30000"/>
    <m/>
    <m/>
    <m/>
    <m/>
  </r>
  <r>
    <x v="739"/>
    <x v="269"/>
    <s v="C034"/>
    <x v="43"/>
    <s v="Jaipur"/>
    <x v="3"/>
    <s v="P009"/>
    <x v="27"/>
    <x v="2"/>
    <n v="1"/>
    <x v="23"/>
    <n v="2500"/>
    <m/>
    <m/>
    <m/>
    <m/>
  </r>
  <r>
    <x v="740"/>
    <x v="205"/>
    <s v="C028"/>
    <x v="55"/>
    <s v="Surat"/>
    <x v="2"/>
    <s v="P029"/>
    <x v="14"/>
    <x v="1"/>
    <n v="1"/>
    <x v="12"/>
    <n v="2000"/>
    <m/>
    <m/>
    <m/>
    <m/>
  </r>
  <r>
    <x v="741"/>
    <x v="192"/>
    <s v="C008"/>
    <x v="0"/>
    <s v="Patna"/>
    <x v="0"/>
    <s v="P003"/>
    <x v="4"/>
    <x v="2"/>
    <n v="3"/>
    <x v="4"/>
    <n v="90000"/>
    <m/>
    <m/>
    <m/>
    <m/>
  </r>
  <r>
    <x v="742"/>
    <x v="11"/>
    <s v="C024"/>
    <x v="6"/>
    <s v="Patna"/>
    <x v="0"/>
    <s v="P006"/>
    <x v="3"/>
    <x v="2"/>
    <n v="4"/>
    <x v="3"/>
    <n v="48000"/>
    <m/>
    <m/>
    <m/>
    <m/>
  </r>
  <r>
    <x v="743"/>
    <x v="124"/>
    <s v="C056"/>
    <x v="33"/>
    <s v="Patna"/>
    <x v="0"/>
    <s v="P023"/>
    <x v="25"/>
    <x v="3"/>
    <n v="1"/>
    <x v="10"/>
    <n v="4200"/>
    <m/>
    <m/>
    <m/>
    <m/>
  </r>
  <r>
    <x v="744"/>
    <x v="193"/>
    <s v="C052"/>
    <x v="5"/>
    <s v="Chandigarh"/>
    <x v="3"/>
    <s v="P014"/>
    <x v="0"/>
    <x v="0"/>
    <n v="1"/>
    <x v="0"/>
    <n v="11000"/>
    <m/>
    <m/>
    <m/>
    <m/>
  </r>
  <r>
    <x v="745"/>
    <x v="307"/>
    <s v="C034"/>
    <x v="43"/>
    <s v="Jaipur"/>
    <x v="3"/>
    <s v="P027"/>
    <x v="29"/>
    <x v="1"/>
    <n v="2"/>
    <x v="25"/>
    <n v="11000"/>
    <m/>
    <m/>
    <m/>
    <m/>
  </r>
  <r>
    <x v="746"/>
    <x v="152"/>
    <s v="C011"/>
    <x v="28"/>
    <s v="Ahmedabad"/>
    <x v="2"/>
    <s v="P008"/>
    <x v="21"/>
    <x v="2"/>
    <n v="3"/>
    <x v="19"/>
    <n v="13500"/>
    <m/>
    <m/>
    <m/>
    <m/>
  </r>
  <r>
    <x v="747"/>
    <x v="226"/>
    <s v="C061"/>
    <x v="21"/>
    <s v="Bengaluru"/>
    <x v="1"/>
    <s v="P007"/>
    <x v="13"/>
    <x v="2"/>
    <n v="1"/>
    <x v="11"/>
    <n v="18000"/>
    <m/>
    <m/>
    <m/>
    <m/>
  </r>
  <r>
    <x v="748"/>
    <x v="308"/>
    <s v="C011"/>
    <x v="28"/>
    <s v="Ahmedabad"/>
    <x v="2"/>
    <s v="P021"/>
    <x v="9"/>
    <x v="3"/>
    <n v="1"/>
    <x v="1"/>
    <n v="2400"/>
    <m/>
    <m/>
    <m/>
    <m/>
  </r>
  <r>
    <x v="749"/>
    <x v="143"/>
    <s v="C013"/>
    <x v="35"/>
    <s v="Bengaluru"/>
    <x v="1"/>
    <s v="P005"/>
    <x v="15"/>
    <x v="2"/>
    <n v="1"/>
    <x v="13"/>
    <n v="28000"/>
    <m/>
    <m/>
    <m/>
    <m/>
  </r>
  <r>
    <x v="750"/>
    <x v="31"/>
    <s v="C049"/>
    <x v="29"/>
    <s v="Delhi"/>
    <x v="3"/>
    <s v="P004"/>
    <x v="19"/>
    <x v="2"/>
    <n v="2"/>
    <x v="17"/>
    <n v="44000"/>
    <m/>
    <m/>
    <m/>
    <m/>
  </r>
  <r>
    <x v="751"/>
    <x v="21"/>
    <s v="C003"/>
    <x v="32"/>
    <s v="Lucknow"/>
    <x v="3"/>
    <s v="P017"/>
    <x v="2"/>
    <x v="0"/>
    <n v="1"/>
    <x v="2"/>
    <n v="15000"/>
    <m/>
    <m/>
    <m/>
    <m/>
  </r>
  <r>
    <x v="752"/>
    <x v="121"/>
    <s v="C024"/>
    <x v="6"/>
    <s v="Patna"/>
    <x v="0"/>
    <s v="P005"/>
    <x v="15"/>
    <x v="2"/>
    <n v="3"/>
    <x v="13"/>
    <n v="84000"/>
    <m/>
    <m/>
    <m/>
    <m/>
  </r>
  <r>
    <x v="753"/>
    <x v="260"/>
    <s v="C064"/>
    <x v="10"/>
    <s v="Kochi"/>
    <x v="1"/>
    <s v="P023"/>
    <x v="25"/>
    <x v="3"/>
    <n v="1"/>
    <x v="10"/>
    <n v="4200"/>
    <m/>
    <m/>
    <m/>
    <m/>
  </r>
  <r>
    <x v="754"/>
    <x v="89"/>
    <s v="C063"/>
    <x v="45"/>
    <s v="Hyderabad"/>
    <x v="1"/>
    <s v="P018"/>
    <x v="22"/>
    <x v="0"/>
    <n v="2"/>
    <x v="9"/>
    <n v="6000"/>
    <m/>
    <m/>
    <m/>
    <m/>
  </r>
  <r>
    <x v="755"/>
    <x v="274"/>
    <s v="C068"/>
    <x v="20"/>
    <s v="Chandigarh"/>
    <x v="3"/>
    <s v="P024"/>
    <x v="11"/>
    <x v="3"/>
    <n v="2"/>
    <x v="9"/>
    <n v="6000"/>
    <m/>
    <m/>
    <m/>
    <m/>
  </r>
  <r>
    <x v="756"/>
    <x v="179"/>
    <s v="C036"/>
    <x v="15"/>
    <s v="Chandigarh"/>
    <x v="3"/>
    <s v="P017"/>
    <x v="2"/>
    <x v="0"/>
    <n v="1"/>
    <x v="2"/>
    <n v="15000"/>
    <m/>
    <m/>
    <m/>
    <m/>
  </r>
  <r>
    <x v="757"/>
    <x v="79"/>
    <s v="C042"/>
    <x v="27"/>
    <s v="Pune"/>
    <x v="2"/>
    <s v="P012"/>
    <x v="16"/>
    <x v="0"/>
    <n v="4"/>
    <x v="14"/>
    <n v="20000"/>
    <m/>
    <m/>
    <m/>
    <m/>
  </r>
  <r>
    <x v="758"/>
    <x v="147"/>
    <s v="C008"/>
    <x v="0"/>
    <s v="Patna"/>
    <x v="0"/>
    <s v="P001"/>
    <x v="23"/>
    <x v="2"/>
    <n v="4"/>
    <x v="20"/>
    <n v="260000"/>
    <m/>
    <m/>
    <m/>
    <m/>
  </r>
  <r>
    <x v="759"/>
    <x v="85"/>
    <s v="C009"/>
    <x v="30"/>
    <s v="Mumbai"/>
    <x v="2"/>
    <s v="P024"/>
    <x v="11"/>
    <x v="3"/>
    <n v="1"/>
    <x v="9"/>
    <n v="3000"/>
    <m/>
    <m/>
    <m/>
    <m/>
  </r>
  <r>
    <x v="760"/>
    <x v="98"/>
    <s v="C026"/>
    <x v="19"/>
    <s v="Pune"/>
    <x v="2"/>
    <s v="P020"/>
    <x v="5"/>
    <x v="3"/>
    <n v="1"/>
    <x v="5"/>
    <n v="1600"/>
    <m/>
    <m/>
    <m/>
    <m/>
  </r>
  <r>
    <x v="761"/>
    <x v="309"/>
    <s v="C062"/>
    <x v="64"/>
    <s v="Chennai"/>
    <x v="1"/>
    <s v="P016"/>
    <x v="8"/>
    <x v="0"/>
    <n v="4"/>
    <x v="8"/>
    <n v="8800"/>
    <m/>
    <m/>
    <m/>
    <m/>
  </r>
  <r>
    <x v="762"/>
    <x v="115"/>
    <s v="C022"/>
    <x v="18"/>
    <s v="Guwahati"/>
    <x v="0"/>
    <s v="P007"/>
    <x v="13"/>
    <x v="2"/>
    <n v="1"/>
    <x v="11"/>
    <n v="18000"/>
    <m/>
    <m/>
    <m/>
    <m/>
  </r>
  <r>
    <x v="763"/>
    <x v="82"/>
    <s v="C046"/>
    <x v="54"/>
    <s v="Chennai"/>
    <x v="1"/>
    <s v="P029"/>
    <x v="14"/>
    <x v="1"/>
    <n v="1"/>
    <x v="12"/>
    <n v="2000"/>
    <m/>
    <m/>
    <m/>
    <m/>
  </r>
  <r>
    <x v="764"/>
    <x v="78"/>
    <s v="C035"/>
    <x v="16"/>
    <s v="Lucknow"/>
    <x v="3"/>
    <s v="P005"/>
    <x v="15"/>
    <x v="2"/>
    <n v="1"/>
    <x v="13"/>
    <n v="28000"/>
    <m/>
    <m/>
    <m/>
    <m/>
  </r>
  <r>
    <x v="765"/>
    <x v="125"/>
    <s v="C059"/>
    <x v="38"/>
    <s v="Ahmedabad"/>
    <x v="2"/>
    <s v="P010"/>
    <x v="10"/>
    <x v="2"/>
    <n v="2"/>
    <x v="8"/>
    <n v="4400"/>
    <m/>
    <m/>
    <m/>
    <m/>
  </r>
  <r>
    <x v="766"/>
    <x v="217"/>
    <s v="C037"/>
    <x v="17"/>
    <s v="Kolkata"/>
    <x v="0"/>
    <s v="P009"/>
    <x v="27"/>
    <x v="2"/>
    <n v="1"/>
    <x v="23"/>
    <n v="2500"/>
    <m/>
    <m/>
    <m/>
    <m/>
  </r>
  <r>
    <x v="767"/>
    <x v="93"/>
    <s v="C052"/>
    <x v="5"/>
    <s v="Chandigarh"/>
    <x v="3"/>
    <s v="P002"/>
    <x v="17"/>
    <x v="2"/>
    <n v="2"/>
    <x v="15"/>
    <n v="104000"/>
    <m/>
    <m/>
    <m/>
    <m/>
  </r>
  <r>
    <x v="768"/>
    <x v="155"/>
    <s v="C073"/>
    <x v="12"/>
    <s v="Mumbai"/>
    <x v="2"/>
    <s v="P001"/>
    <x v="23"/>
    <x v="2"/>
    <n v="1"/>
    <x v="20"/>
    <n v="65000"/>
    <m/>
    <m/>
    <m/>
    <m/>
  </r>
  <r>
    <x v="769"/>
    <x v="43"/>
    <s v="C011"/>
    <x v="28"/>
    <s v="Ahmedabad"/>
    <x v="2"/>
    <s v="P026"/>
    <x v="1"/>
    <x v="1"/>
    <n v="1"/>
    <x v="1"/>
    <n v="2400"/>
    <m/>
    <m/>
    <m/>
    <m/>
  </r>
  <r>
    <x v="770"/>
    <x v="107"/>
    <s v="C053"/>
    <x v="57"/>
    <s v="Kolkata"/>
    <x v="0"/>
    <s v="P029"/>
    <x v="14"/>
    <x v="1"/>
    <n v="2"/>
    <x v="12"/>
    <n v="4000"/>
    <m/>
    <m/>
    <m/>
    <m/>
  </r>
  <r>
    <x v="771"/>
    <x v="73"/>
    <s v="C047"/>
    <x v="25"/>
    <s v="Hyderabad"/>
    <x v="1"/>
    <s v="P002"/>
    <x v="17"/>
    <x v="2"/>
    <n v="3"/>
    <x v="15"/>
    <n v="156000"/>
    <m/>
    <m/>
    <m/>
    <m/>
  </r>
  <r>
    <x v="772"/>
    <x v="107"/>
    <s v="C021"/>
    <x v="4"/>
    <s v="Kolkata"/>
    <x v="0"/>
    <s v="P010"/>
    <x v="10"/>
    <x v="2"/>
    <n v="3"/>
    <x v="8"/>
    <n v="6600"/>
    <m/>
    <m/>
    <m/>
    <m/>
  </r>
  <r>
    <x v="773"/>
    <x v="262"/>
    <s v="C050"/>
    <x v="14"/>
    <s v="Jaipur"/>
    <x v="3"/>
    <s v="P014"/>
    <x v="0"/>
    <x v="0"/>
    <n v="2"/>
    <x v="0"/>
    <n v="22000"/>
    <m/>
    <m/>
    <m/>
    <m/>
  </r>
  <r>
    <x v="774"/>
    <x v="56"/>
    <s v="C049"/>
    <x v="29"/>
    <s v="Delhi"/>
    <x v="3"/>
    <s v="P013"/>
    <x v="12"/>
    <x v="0"/>
    <n v="1"/>
    <x v="10"/>
    <n v="4200"/>
    <m/>
    <m/>
    <m/>
    <m/>
  </r>
  <r>
    <x v="775"/>
    <x v="43"/>
    <s v="C027"/>
    <x v="23"/>
    <s v="Ahmedabad"/>
    <x v="2"/>
    <s v="P012"/>
    <x v="16"/>
    <x v="0"/>
    <n v="2"/>
    <x v="14"/>
    <n v="10000"/>
    <m/>
    <m/>
    <m/>
    <m/>
  </r>
  <r>
    <x v="776"/>
    <x v="243"/>
    <s v="C029"/>
    <x v="11"/>
    <s v="Bengaluru"/>
    <x v="1"/>
    <s v="P010"/>
    <x v="10"/>
    <x v="2"/>
    <n v="1"/>
    <x v="8"/>
    <n v="2200"/>
    <m/>
    <m/>
    <m/>
    <m/>
  </r>
  <r>
    <x v="777"/>
    <x v="172"/>
    <s v="C052"/>
    <x v="5"/>
    <s v="Chandigarh"/>
    <x v="3"/>
    <s v="P011"/>
    <x v="28"/>
    <x v="0"/>
    <n v="2"/>
    <x v="24"/>
    <n v="13000"/>
    <m/>
    <m/>
    <m/>
    <m/>
  </r>
  <r>
    <x v="778"/>
    <x v="111"/>
    <s v="C003"/>
    <x v="32"/>
    <s v="Lucknow"/>
    <x v="3"/>
    <s v="P006"/>
    <x v="3"/>
    <x v="2"/>
    <n v="1"/>
    <x v="3"/>
    <n v="12000"/>
    <m/>
    <m/>
    <m/>
    <m/>
  </r>
  <r>
    <x v="779"/>
    <x v="6"/>
    <s v="C050"/>
    <x v="14"/>
    <s v="Jaipur"/>
    <x v="3"/>
    <s v="P019"/>
    <x v="24"/>
    <x v="3"/>
    <n v="1"/>
    <x v="21"/>
    <n v="3200"/>
    <m/>
    <m/>
    <m/>
    <m/>
  </r>
  <r>
    <x v="780"/>
    <x v="167"/>
    <s v="C029"/>
    <x v="11"/>
    <s v="Bengaluru"/>
    <x v="1"/>
    <s v="P016"/>
    <x v="8"/>
    <x v="0"/>
    <n v="1"/>
    <x v="8"/>
    <n v="2200"/>
    <m/>
    <m/>
    <m/>
    <m/>
  </r>
  <r>
    <x v="781"/>
    <x v="310"/>
    <s v="C031"/>
    <x v="2"/>
    <s v="Hyderabad"/>
    <x v="1"/>
    <s v="P009"/>
    <x v="27"/>
    <x v="2"/>
    <n v="2"/>
    <x v="23"/>
    <n v="5000"/>
    <m/>
    <m/>
    <m/>
    <m/>
  </r>
  <r>
    <x v="782"/>
    <x v="255"/>
    <s v="C015"/>
    <x v="48"/>
    <s v="Hyderabad"/>
    <x v="1"/>
    <s v="P025"/>
    <x v="26"/>
    <x v="3"/>
    <n v="1"/>
    <x v="22"/>
    <n v="3800"/>
    <m/>
    <m/>
    <m/>
    <m/>
  </r>
  <r>
    <x v="783"/>
    <x v="67"/>
    <s v="C063"/>
    <x v="45"/>
    <s v="Hyderabad"/>
    <x v="1"/>
    <s v="P011"/>
    <x v="28"/>
    <x v="0"/>
    <n v="1"/>
    <x v="24"/>
    <n v="6500"/>
    <m/>
    <m/>
    <m/>
    <m/>
  </r>
  <r>
    <x v="784"/>
    <x v="213"/>
    <s v="C064"/>
    <x v="10"/>
    <s v="Kochi"/>
    <x v="1"/>
    <s v="P017"/>
    <x v="2"/>
    <x v="0"/>
    <n v="1"/>
    <x v="2"/>
    <n v="15000"/>
    <m/>
    <m/>
    <m/>
    <m/>
  </r>
  <r>
    <x v="785"/>
    <x v="80"/>
    <s v="C070"/>
    <x v="24"/>
    <s v="Guwahati"/>
    <x v="0"/>
    <s v="P006"/>
    <x v="3"/>
    <x v="2"/>
    <n v="2"/>
    <x v="3"/>
    <n v="24000"/>
    <m/>
    <m/>
    <m/>
    <m/>
  </r>
  <r>
    <x v="786"/>
    <x v="42"/>
    <s v="C052"/>
    <x v="5"/>
    <s v="Chandigarh"/>
    <x v="3"/>
    <s v="P010"/>
    <x v="10"/>
    <x v="2"/>
    <n v="1"/>
    <x v="8"/>
    <n v="2200"/>
    <m/>
    <m/>
    <m/>
    <m/>
  </r>
  <r>
    <x v="787"/>
    <x v="111"/>
    <s v="C007"/>
    <x v="8"/>
    <s v="Bhubaneswar"/>
    <x v="0"/>
    <s v="P016"/>
    <x v="8"/>
    <x v="0"/>
    <n v="1"/>
    <x v="8"/>
    <n v="2200"/>
    <m/>
    <m/>
    <m/>
    <m/>
  </r>
  <r>
    <x v="788"/>
    <x v="287"/>
    <s v="C068"/>
    <x v="20"/>
    <s v="Chandigarh"/>
    <x v="3"/>
    <s v="P026"/>
    <x v="1"/>
    <x v="1"/>
    <n v="1"/>
    <x v="1"/>
    <n v="2400"/>
    <m/>
    <m/>
    <m/>
    <m/>
  </r>
  <r>
    <x v="789"/>
    <x v="158"/>
    <s v="C008"/>
    <x v="0"/>
    <s v="Patna"/>
    <x v="0"/>
    <s v="P015"/>
    <x v="7"/>
    <x v="0"/>
    <n v="2"/>
    <x v="7"/>
    <n v="18000"/>
    <m/>
    <m/>
    <m/>
    <m/>
  </r>
  <r>
    <x v="790"/>
    <x v="311"/>
    <s v="C024"/>
    <x v="6"/>
    <s v="Patna"/>
    <x v="0"/>
    <s v="P004"/>
    <x v="19"/>
    <x v="2"/>
    <n v="2"/>
    <x v="17"/>
    <n v="44000"/>
    <m/>
    <m/>
    <m/>
    <m/>
  </r>
  <r>
    <x v="791"/>
    <x v="93"/>
    <s v="C057"/>
    <x v="13"/>
    <s v="Mumbai"/>
    <x v="2"/>
    <s v="P009"/>
    <x v="27"/>
    <x v="2"/>
    <n v="2"/>
    <x v="23"/>
    <n v="5000"/>
    <m/>
    <m/>
    <m/>
    <m/>
  </r>
  <r>
    <x v="792"/>
    <x v="197"/>
    <s v="C043"/>
    <x v="3"/>
    <s v="Ahmedabad"/>
    <x v="2"/>
    <s v="P015"/>
    <x v="7"/>
    <x v="0"/>
    <n v="1"/>
    <x v="7"/>
    <n v="9000"/>
    <m/>
    <m/>
    <m/>
    <m/>
  </r>
  <r>
    <x v="793"/>
    <x v="73"/>
    <s v="C053"/>
    <x v="57"/>
    <s v="Kolkata"/>
    <x v="0"/>
    <s v="P004"/>
    <x v="19"/>
    <x v="2"/>
    <n v="2"/>
    <x v="17"/>
    <n v="44000"/>
    <m/>
    <m/>
    <m/>
    <m/>
  </r>
  <r>
    <x v="794"/>
    <x v="278"/>
    <s v="C015"/>
    <x v="48"/>
    <s v="Hyderabad"/>
    <x v="1"/>
    <s v="P002"/>
    <x v="17"/>
    <x v="2"/>
    <n v="1"/>
    <x v="15"/>
    <n v="52000"/>
    <m/>
    <m/>
    <m/>
    <m/>
  </r>
  <r>
    <x v="795"/>
    <x v="4"/>
    <s v="C004"/>
    <x v="41"/>
    <s v="Chandigarh"/>
    <x v="3"/>
    <s v="P017"/>
    <x v="2"/>
    <x v="0"/>
    <n v="2"/>
    <x v="2"/>
    <n v="30000"/>
    <m/>
    <m/>
    <m/>
    <m/>
  </r>
  <r>
    <x v="796"/>
    <x v="312"/>
    <s v="C034"/>
    <x v="43"/>
    <s v="Jaipur"/>
    <x v="3"/>
    <s v="P025"/>
    <x v="26"/>
    <x v="3"/>
    <n v="1"/>
    <x v="22"/>
    <n v="3800"/>
    <m/>
    <m/>
    <m/>
    <m/>
  </r>
  <r>
    <x v="797"/>
    <x v="129"/>
    <s v="C030"/>
    <x v="52"/>
    <s v="Chennai"/>
    <x v="1"/>
    <s v="P004"/>
    <x v="19"/>
    <x v="2"/>
    <n v="3"/>
    <x v="17"/>
    <n v="66000"/>
    <m/>
    <m/>
    <m/>
    <m/>
  </r>
  <r>
    <x v="798"/>
    <x v="281"/>
    <s v="C053"/>
    <x v="57"/>
    <s v="Kolkata"/>
    <x v="0"/>
    <s v="P003"/>
    <x v="4"/>
    <x v="2"/>
    <n v="3"/>
    <x v="4"/>
    <n v="90000"/>
    <m/>
    <m/>
    <m/>
    <m/>
  </r>
  <r>
    <x v="799"/>
    <x v="313"/>
    <s v="C015"/>
    <x v="48"/>
    <s v="Hyderabad"/>
    <x v="1"/>
    <s v="P024"/>
    <x v="11"/>
    <x v="3"/>
    <n v="3"/>
    <x v="9"/>
    <n v="9000"/>
    <m/>
    <m/>
    <m/>
    <m/>
  </r>
  <r>
    <x v="800"/>
    <x v="311"/>
    <s v="C046"/>
    <x v="54"/>
    <s v="Chennai"/>
    <x v="1"/>
    <s v="P017"/>
    <x v="2"/>
    <x v="0"/>
    <n v="3"/>
    <x v="2"/>
    <n v="45000"/>
    <m/>
    <m/>
    <m/>
    <m/>
  </r>
  <r>
    <x v="801"/>
    <x v="243"/>
    <s v="C024"/>
    <x v="6"/>
    <s v="Patna"/>
    <x v="0"/>
    <s v="P017"/>
    <x v="2"/>
    <x v="0"/>
    <n v="4"/>
    <x v="2"/>
    <n v="60000"/>
    <m/>
    <m/>
    <m/>
    <m/>
  </r>
  <r>
    <x v="802"/>
    <x v="20"/>
    <s v="C057"/>
    <x v="13"/>
    <s v="Mumbai"/>
    <x v="2"/>
    <s v="P012"/>
    <x v="16"/>
    <x v="0"/>
    <n v="1"/>
    <x v="14"/>
    <n v="5000"/>
    <m/>
    <m/>
    <m/>
    <m/>
  </r>
  <r>
    <x v="803"/>
    <x v="264"/>
    <s v="C068"/>
    <x v="20"/>
    <s v="Chandigarh"/>
    <x v="3"/>
    <s v="P016"/>
    <x v="8"/>
    <x v="0"/>
    <n v="3"/>
    <x v="8"/>
    <n v="6600"/>
    <m/>
    <m/>
    <m/>
    <m/>
  </r>
  <r>
    <x v="804"/>
    <x v="314"/>
    <s v="C037"/>
    <x v="17"/>
    <s v="Kolkata"/>
    <x v="0"/>
    <s v="P007"/>
    <x v="13"/>
    <x v="2"/>
    <n v="1"/>
    <x v="11"/>
    <n v="18000"/>
    <m/>
    <m/>
    <m/>
    <m/>
  </r>
  <r>
    <x v="805"/>
    <x v="87"/>
    <s v="C048"/>
    <x v="26"/>
    <s v="Kochi"/>
    <x v="1"/>
    <s v="P016"/>
    <x v="8"/>
    <x v="0"/>
    <n v="1"/>
    <x v="8"/>
    <n v="2200"/>
    <m/>
    <m/>
    <m/>
    <m/>
  </r>
  <r>
    <x v="806"/>
    <x v="221"/>
    <s v="C061"/>
    <x v="21"/>
    <s v="Bengaluru"/>
    <x v="1"/>
    <s v="P009"/>
    <x v="27"/>
    <x v="2"/>
    <n v="1"/>
    <x v="23"/>
    <n v="2500"/>
    <m/>
    <m/>
    <m/>
    <m/>
  </r>
  <r>
    <x v="807"/>
    <x v="78"/>
    <s v="C028"/>
    <x v="55"/>
    <s v="Surat"/>
    <x v="2"/>
    <s v="P008"/>
    <x v="21"/>
    <x v="2"/>
    <n v="2"/>
    <x v="19"/>
    <n v="9000"/>
    <m/>
    <m/>
    <m/>
    <m/>
  </r>
  <r>
    <x v="808"/>
    <x v="7"/>
    <s v="C057"/>
    <x v="13"/>
    <s v="Mumbai"/>
    <x v="2"/>
    <s v="P028"/>
    <x v="20"/>
    <x v="1"/>
    <n v="1"/>
    <x v="18"/>
    <n v="1400"/>
    <m/>
    <m/>
    <m/>
    <m/>
  </r>
  <r>
    <x v="809"/>
    <x v="150"/>
    <s v="C017"/>
    <x v="71"/>
    <s v="Delhi"/>
    <x v="3"/>
    <s v="P030"/>
    <x v="6"/>
    <x v="1"/>
    <n v="2"/>
    <x v="6"/>
    <n v="7000"/>
    <m/>
    <m/>
    <m/>
    <m/>
  </r>
  <r>
    <x v="810"/>
    <x v="288"/>
    <s v="C028"/>
    <x v="55"/>
    <s v="Surat"/>
    <x v="2"/>
    <s v="P016"/>
    <x v="8"/>
    <x v="0"/>
    <n v="1"/>
    <x v="8"/>
    <n v="2200"/>
    <m/>
    <m/>
    <m/>
    <m/>
  </r>
  <r>
    <x v="811"/>
    <x v="310"/>
    <s v="C055"/>
    <x v="63"/>
    <s v="Bhubaneswar"/>
    <x v="0"/>
    <s v="P021"/>
    <x v="9"/>
    <x v="3"/>
    <n v="3"/>
    <x v="1"/>
    <n v="7200"/>
    <m/>
    <m/>
    <m/>
    <m/>
  </r>
  <r>
    <x v="812"/>
    <x v="105"/>
    <s v="C003"/>
    <x v="32"/>
    <s v="Lucknow"/>
    <x v="3"/>
    <s v="P008"/>
    <x v="21"/>
    <x v="2"/>
    <n v="1"/>
    <x v="19"/>
    <n v="4500"/>
    <m/>
    <m/>
    <m/>
    <m/>
  </r>
  <r>
    <x v="813"/>
    <x v="102"/>
    <s v="C070"/>
    <x v="24"/>
    <s v="Guwahati"/>
    <x v="0"/>
    <s v="P017"/>
    <x v="2"/>
    <x v="0"/>
    <n v="1"/>
    <x v="2"/>
    <n v="15000"/>
    <m/>
    <m/>
    <m/>
    <m/>
  </r>
  <r>
    <x v="814"/>
    <x v="127"/>
    <s v="C011"/>
    <x v="28"/>
    <s v="Ahmedabad"/>
    <x v="2"/>
    <s v="P025"/>
    <x v="26"/>
    <x v="3"/>
    <n v="1"/>
    <x v="22"/>
    <n v="3800"/>
    <m/>
    <m/>
    <m/>
    <m/>
  </r>
  <r>
    <x v="815"/>
    <x v="277"/>
    <s v="C037"/>
    <x v="17"/>
    <s v="Kolkata"/>
    <x v="0"/>
    <s v="P022"/>
    <x v="18"/>
    <x v="3"/>
    <n v="1"/>
    <x v="16"/>
    <n v="4800"/>
    <m/>
    <m/>
    <m/>
    <m/>
  </r>
  <r>
    <x v="816"/>
    <x v="214"/>
    <s v="C032"/>
    <x v="58"/>
    <s v="Kochi"/>
    <x v="1"/>
    <s v="P007"/>
    <x v="13"/>
    <x v="2"/>
    <n v="1"/>
    <x v="11"/>
    <n v="18000"/>
    <m/>
    <m/>
    <m/>
    <m/>
  </r>
  <r>
    <x v="817"/>
    <x v="248"/>
    <s v="C057"/>
    <x v="13"/>
    <s v="Mumbai"/>
    <x v="2"/>
    <s v="P003"/>
    <x v="4"/>
    <x v="2"/>
    <n v="1"/>
    <x v="4"/>
    <n v="30000"/>
    <m/>
    <m/>
    <m/>
    <m/>
  </r>
  <r>
    <x v="818"/>
    <x v="315"/>
    <s v="C011"/>
    <x v="28"/>
    <s v="Ahmedabad"/>
    <x v="2"/>
    <s v="P024"/>
    <x v="11"/>
    <x v="3"/>
    <n v="1"/>
    <x v="9"/>
    <n v="3000"/>
    <m/>
    <m/>
    <m/>
    <m/>
  </r>
  <r>
    <x v="819"/>
    <x v="62"/>
    <s v="C035"/>
    <x v="16"/>
    <s v="Lucknow"/>
    <x v="3"/>
    <s v="P023"/>
    <x v="25"/>
    <x v="3"/>
    <n v="2"/>
    <x v="10"/>
    <n v="8400"/>
    <m/>
    <m/>
    <m/>
    <m/>
  </r>
  <r>
    <x v="820"/>
    <x v="308"/>
    <s v="C011"/>
    <x v="28"/>
    <s v="Ahmedabad"/>
    <x v="2"/>
    <s v="P007"/>
    <x v="13"/>
    <x v="2"/>
    <n v="2"/>
    <x v="11"/>
    <n v="36000"/>
    <m/>
    <m/>
    <m/>
    <m/>
  </r>
  <r>
    <x v="821"/>
    <x v="166"/>
    <s v="C068"/>
    <x v="20"/>
    <s v="Chandigarh"/>
    <x v="3"/>
    <s v="P003"/>
    <x v="4"/>
    <x v="2"/>
    <n v="1"/>
    <x v="4"/>
    <n v="30000"/>
    <m/>
    <m/>
    <m/>
    <m/>
  </r>
  <r>
    <x v="822"/>
    <x v="250"/>
    <s v="C003"/>
    <x v="32"/>
    <s v="Lucknow"/>
    <x v="3"/>
    <s v="P014"/>
    <x v="0"/>
    <x v="0"/>
    <n v="1"/>
    <x v="0"/>
    <n v="11000"/>
    <m/>
    <m/>
    <m/>
    <m/>
  </r>
  <r>
    <x v="823"/>
    <x v="180"/>
    <s v="C070"/>
    <x v="24"/>
    <s v="Guwahati"/>
    <x v="0"/>
    <s v="P030"/>
    <x v="6"/>
    <x v="1"/>
    <n v="1"/>
    <x v="6"/>
    <n v="3500"/>
    <m/>
    <m/>
    <m/>
    <m/>
  </r>
  <r>
    <x v="824"/>
    <x v="267"/>
    <s v="C070"/>
    <x v="24"/>
    <s v="Guwahati"/>
    <x v="0"/>
    <s v="P002"/>
    <x v="17"/>
    <x v="2"/>
    <n v="1"/>
    <x v="15"/>
    <n v="52000"/>
    <m/>
    <m/>
    <m/>
    <m/>
  </r>
  <r>
    <x v="825"/>
    <x v="246"/>
    <s v="C029"/>
    <x v="11"/>
    <s v="Bengaluru"/>
    <x v="1"/>
    <s v="P024"/>
    <x v="11"/>
    <x v="3"/>
    <n v="2"/>
    <x v="9"/>
    <n v="6000"/>
    <m/>
    <m/>
    <m/>
    <m/>
  </r>
  <r>
    <x v="826"/>
    <x v="81"/>
    <s v="C008"/>
    <x v="0"/>
    <s v="Patna"/>
    <x v="0"/>
    <s v="P026"/>
    <x v="1"/>
    <x v="1"/>
    <n v="1"/>
    <x v="1"/>
    <n v="2400"/>
    <m/>
    <m/>
    <m/>
    <m/>
  </r>
  <r>
    <x v="827"/>
    <x v="129"/>
    <s v="C052"/>
    <x v="5"/>
    <s v="Chandigarh"/>
    <x v="3"/>
    <s v="P021"/>
    <x v="9"/>
    <x v="3"/>
    <n v="1"/>
    <x v="1"/>
    <n v="2400"/>
    <m/>
    <m/>
    <m/>
    <m/>
  </r>
  <r>
    <x v="828"/>
    <x v="316"/>
    <s v="C070"/>
    <x v="24"/>
    <s v="Guwahati"/>
    <x v="0"/>
    <s v="P004"/>
    <x v="19"/>
    <x v="2"/>
    <n v="1"/>
    <x v="17"/>
    <n v="22000"/>
    <m/>
    <m/>
    <m/>
    <m/>
  </r>
  <r>
    <x v="829"/>
    <x v="317"/>
    <s v="C047"/>
    <x v="25"/>
    <s v="Hyderabad"/>
    <x v="1"/>
    <s v="P002"/>
    <x v="17"/>
    <x v="2"/>
    <n v="1"/>
    <x v="15"/>
    <n v="52000"/>
    <m/>
    <m/>
    <m/>
    <m/>
  </r>
  <r>
    <x v="830"/>
    <x v="152"/>
    <s v="C056"/>
    <x v="33"/>
    <s v="Patna"/>
    <x v="0"/>
    <s v="P001"/>
    <x v="23"/>
    <x v="2"/>
    <n v="1"/>
    <x v="20"/>
    <n v="65000"/>
    <m/>
    <m/>
    <m/>
    <m/>
  </r>
  <r>
    <x v="831"/>
    <x v="144"/>
    <s v="C038"/>
    <x v="56"/>
    <s v="Guwahati"/>
    <x v="0"/>
    <s v="P004"/>
    <x v="19"/>
    <x v="2"/>
    <n v="1"/>
    <x v="17"/>
    <n v="22000"/>
    <m/>
    <m/>
    <m/>
    <m/>
  </r>
  <r>
    <x v="832"/>
    <x v="153"/>
    <s v="C051"/>
    <x v="53"/>
    <s v="Lucknow"/>
    <x v="3"/>
    <s v="P007"/>
    <x v="13"/>
    <x v="2"/>
    <n v="1"/>
    <x v="11"/>
    <n v="18000"/>
    <m/>
    <m/>
    <m/>
    <m/>
  </r>
  <r>
    <x v="833"/>
    <x v="16"/>
    <s v="C044"/>
    <x v="61"/>
    <s v="Surat"/>
    <x v="2"/>
    <s v="P001"/>
    <x v="23"/>
    <x v="2"/>
    <n v="1"/>
    <x v="20"/>
    <n v="65000"/>
    <m/>
    <m/>
    <m/>
    <m/>
  </r>
  <r>
    <x v="834"/>
    <x v="318"/>
    <s v="C008"/>
    <x v="0"/>
    <s v="Patna"/>
    <x v="0"/>
    <s v="P024"/>
    <x v="11"/>
    <x v="3"/>
    <n v="4"/>
    <x v="9"/>
    <n v="12000"/>
    <m/>
    <m/>
    <m/>
    <m/>
  </r>
  <r>
    <x v="835"/>
    <x v="231"/>
    <s v="C038"/>
    <x v="56"/>
    <s v="Guwahati"/>
    <x v="0"/>
    <s v="P013"/>
    <x v="12"/>
    <x v="0"/>
    <n v="3"/>
    <x v="10"/>
    <n v="12600"/>
    <m/>
    <m/>
    <m/>
    <m/>
  </r>
  <r>
    <x v="836"/>
    <x v="319"/>
    <s v="C051"/>
    <x v="53"/>
    <s v="Lucknow"/>
    <x v="3"/>
    <s v="P014"/>
    <x v="0"/>
    <x v="0"/>
    <n v="1"/>
    <x v="0"/>
    <n v="11000"/>
    <m/>
    <m/>
    <m/>
    <m/>
  </r>
  <r>
    <x v="837"/>
    <x v="219"/>
    <s v="C060"/>
    <x v="47"/>
    <s v="Surat"/>
    <x v="2"/>
    <s v="P013"/>
    <x v="12"/>
    <x v="0"/>
    <n v="2"/>
    <x v="10"/>
    <n v="8400"/>
    <m/>
    <m/>
    <m/>
    <m/>
  </r>
  <r>
    <x v="838"/>
    <x v="319"/>
    <s v="C068"/>
    <x v="20"/>
    <s v="Chandigarh"/>
    <x v="3"/>
    <s v="P030"/>
    <x v="6"/>
    <x v="1"/>
    <n v="4"/>
    <x v="6"/>
    <n v="14000"/>
    <m/>
    <m/>
    <m/>
    <m/>
  </r>
  <r>
    <x v="839"/>
    <x v="97"/>
    <s v="C048"/>
    <x v="26"/>
    <s v="Kochi"/>
    <x v="1"/>
    <s v="P026"/>
    <x v="1"/>
    <x v="1"/>
    <n v="2"/>
    <x v="1"/>
    <n v="4800"/>
    <m/>
    <m/>
    <m/>
    <m/>
  </r>
  <r>
    <x v="840"/>
    <x v="320"/>
    <s v="C043"/>
    <x v="3"/>
    <s v="Ahmedabad"/>
    <x v="2"/>
    <s v="P021"/>
    <x v="9"/>
    <x v="3"/>
    <n v="1"/>
    <x v="1"/>
    <n v="2400"/>
    <m/>
    <m/>
    <m/>
    <m/>
  </r>
  <r>
    <x v="841"/>
    <x v="214"/>
    <s v="C035"/>
    <x v="16"/>
    <s v="Lucknow"/>
    <x v="3"/>
    <s v="P015"/>
    <x v="7"/>
    <x v="0"/>
    <n v="1"/>
    <x v="7"/>
    <n v="9000"/>
    <m/>
    <m/>
    <m/>
    <m/>
  </r>
  <r>
    <x v="842"/>
    <x v="321"/>
    <s v="C036"/>
    <x v="15"/>
    <s v="Chandigarh"/>
    <x v="3"/>
    <s v="P009"/>
    <x v="27"/>
    <x v="2"/>
    <n v="1"/>
    <x v="23"/>
    <n v="2500"/>
    <m/>
    <m/>
    <m/>
    <m/>
  </r>
  <r>
    <x v="843"/>
    <x v="1"/>
    <s v="C026"/>
    <x v="19"/>
    <s v="Pune"/>
    <x v="2"/>
    <s v="P011"/>
    <x v="28"/>
    <x v="0"/>
    <n v="3"/>
    <x v="24"/>
    <n v="19500"/>
    <m/>
    <m/>
    <m/>
    <m/>
  </r>
  <r>
    <x v="844"/>
    <x v="17"/>
    <s v="C061"/>
    <x v="21"/>
    <s v="Bengaluru"/>
    <x v="1"/>
    <s v="P028"/>
    <x v="20"/>
    <x v="1"/>
    <n v="1"/>
    <x v="18"/>
    <n v="1400"/>
    <m/>
    <m/>
    <m/>
    <m/>
  </r>
  <r>
    <x v="845"/>
    <x v="150"/>
    <s v="C050"/>
    <x v="14"/>
    <s v="Jaipur"/>
    <x v="3"/>
    <s v="P011"/>
    <x v="28"/>
    <x v="0"/>
    <n v="1"/>
    <x v="24"/>
    <n v="6500"/>
    <m/>
    <m/>
    <m/>
    <m/>
  </r>
  <r>
    <x v="846"/>
    <x v="163"/>
    <s v="C014"/>
    <x v="70"/>
    <s v="Chennai"/>
    <x v="1"/>
    <s v="P007"/>
    <x v="13"/>
    <x v="2"/>
    <n v="1"/>
    <x v="11"/>
    <n v="18000"/>
    <m/>
    <m/>
    <m/>
    <m/>
  </r>
  <r>
    <x v="847"/>
    <x v="276"/>
    <s v="C035"/>
    <x v="16"/>
    <s v="Lucknow"/>
    <x v="3"/>
    <s v="P030"/>
    <x v="6"/>
    <x v="1"/>
    <n v="2"/>
    <x v="6"/>
    <n v="7000"/>
    <m/>
    <m/>
    <m/>
    <m/>
  </r>
  <r>
    <x v="848"/>
    <x v="322"/>
    <s v="C063"/>
    <x v="45"/>
    <s v="Hyderabad"/>
    <x v="1"/>
    <s v="P018"/>
    <x v="22"/>
    <x v="0"/>
    <n v="1"/>
    <x v="9"/>
    <n v="3000"/>
    <m/>
    <m/>
    <m/>
    <m/>
  </r>
  <r>
    <x v="849"/>
    <x v="180"/>
    <s v="C029"/>
    <x v="11"/>
    <s v="Bengaluru"/>
    <x v="1"/>
    <s v="P019"/>
    <x v="24"/>
    <x v="3"/>
    <n v="1"/>
    <x v="21"/>
    <n v="3200"/>
    <m/>
    <m/>
    <m/>
    <m/>
  </r>
  <r>
    <x v="850"/>
    <x v="188"/>
    <s v="C003"/>
    <x v="32"/>
    <s v="Lucknow"/>
    <x v="3"/>
    <s v="P020"/>
    <x v="5"/>
    <x v="3"/>
    <n v="3"/>
    <x v="5"/>
    <n v="4800"/>
    <m/>
    <m/>
    <m/>
    <m/>
  </r>
  <r>
    <x v="851"/>
    <x v="0"/>
    <s v="C061"/>
    <x v="21"/>
    <s v="Bengaluru"/>
    <x v="1"/>
    <s v="P027"/>
    <x v="29"/>
    <x v="1"/>
    <n v="1"/>
    <x v="25"/>
    <n v="5500"/>
    <m/>
    <m/>
    <m/>
    <m/>
  </r>
  <r>
    <x v="852"/>
    <x v="268"/>
    <s v="C006"/>
    <x v="36"/>
    <s v="Guwahati"/>
    <x v="0"/>
    <s v="P020"/>
    <x v="5"/>
    <x v="3"/>
    <n v="2"/>
    <x v="5"/>
    <n v="3200"/>
    <m/>
    <m/>
    <m/>
    <m/>
  </r>
  <r>
    <x v="853"/>
    <x v="293"/>
    <s v="C056"/>
    <x v="33"/>
    <s v="Patna"/>
    <x v="0"/>
    <s v="P010"/>
    <x v="10"/>
    <x v="2"/>
    <n v="1"/>
    <x v="8"/>
    <n v="2200"/>
    <m/>
    <m/>
    <m/>
    <m/>
  </r>
  <r>
    <x v="854"/>
    <x v="205"/>
    <s v="C061"/>
    <x v="21"/>
    <s v="Bengaluru"/>
    <x v="1"/>
    <s v="P029"/>
    <x v="14"/>
    <x v="1"/>
    <n v="2"/>
    <x v="12"/>
    <n v="4000"/>
    <m/>
    <m/>
    <m/>
    <m/>
  </r>
  <r>
    <x v="855"/>
    <x v="323"/>
    <s v="C003"/>
    <x v="32"/>
    <s v="Lucknow"/>
    <x v="3"/>
    <s v="P005"/>
    <x v="15"/>
    <x v="2"/>
    <n v="1"/>
    <x v="13"/>
    <n v="28000"/>
    <m/>
    <m/>
    <m/>
    <m/>
  </r>
  <r>
    <x v="856"/>
    <x v="159"/>
    <s v="C046"/>
    <x v="54"/>
    <s v="Chennai"/>
    <x v="1"/>
    <s v="P006"/>
    <x v="3"/>
    <x v="2"/>
    <n v="2"/>
    <x v="3"/>
    <n v="24000"/>
    <m/>
    <m/>
    <m/>
    <m/>
  </r>
  <r>
    <x v="857"/>
    <x v="257"/>
    <s v="C017"/>
    <x v="71"/>
    <s v="Delhi"/>
    <x v="3"/>
    <s v="P026"/>
    <x v="1"/>
    <x v="1"/>
    <n v="1"/>
    <x v="1"/>
    <n v="2400"/>
    <m/>
    <m/>
    <m/>
    <m/>
  </r>
  <r>
    <x v="858"/>
    <x v="324"/>
    <s v="C006"/>
    <x v="36"/>
    <s v="Guwahati"/>
    <x v="0"/>
    <s v="P004"/>
    <x v="19"/>
    <x v="2"/>
    <n v="3"/>
    <x v="17"/>
    <n v="66000"/>
    <m/>
    <m/>
    <m/>
    <m/>
  </r>
  <r>
    <x v="859"/>
    <x v="325"/>
    <s v="C019"/>
    <x v="40"/>
    <s v="Lucknow"/>
    <x v="3"/>
    <s v="P006"/>
    <x v="3"/>
    <x v="2"/>
    <n v="1"/>
    <x v="3"/>
    <n v="12000"/>
    <m/>
    <m/>
    <m/>
    <m/>
  </r>
  <r>
    <x v="860"/>
    <x v="225"/>
    <s v="C074"/>
    <x v="49"/>
    <s v="Pune"/>
    <x v="2"/>
    <s v="P018"/>
    <x v="22"/>
    <x v="0"/>
    <n v="2"/>
    <x v="9"/>
    <n v="6000"/>
    <m/>
    <m/>
    <m/>
    <m/>
  </r>
  <r>
    <x v="861"/>
    <x v="239"/>
    <s v="C029"/>
    <x v="11"/>
    <s v="Bengaluru"/>
    <x v="1"/>
    <s v="P030"/>
    <x v="6"/>
    <x v="1"/>
    <n v="2"/>
    <x v="6"/>
    <n v="7000"/>
    <m/>
    <m/>
    <m/>
    <m/>
  </r>
  <r>
    <x v="862"/>
    <x v="249"/>
    <s v="C035"/>
    <x v="16"/>
    <s v="Lucknow"/>
    <x v="3"/>
    <s v="P006"/>
    <x v="3"/>
    <x v="2"/>
    <n v="1"/>
    <x v="3"/>
    <n v="12000"/>
    <m/>
    <m/>
    <m/>
    <m/>
  </r>
  <r>
    <x v="863"/>
    <x v="158"/>
    <s v="C053"/>
    <x v="57"/>
    <s v="Kolkata"/>
    <x v="0"/>
    <s v="P001"/>
    <x v="23"/>
    <x v="2"/>
    <n v="3"/>
    <x v="20"/>
    <n v="195000"/>
    <m/>
    <m/>
    <m/>
    <m/>
  </r>
  <r>
    <x v="864"/>
    <x v="171"/>
    <s v="C024"/>
    <x v="6"/>
    <s v="Patna"/>
    <x v="0"/>
    <s v="P001"/>
    <x v="23"/>
    <x v="2"/>
    <n v="4"/>
    <x v="20"/>
    <n v="260000"/>
    <m/>
    <m/>
    <m/>
    <m/>
  </r>
  <r>
    <x v="865"/>
    <x v="326"/>
    <s v="C046"/>
    <x v="54"/>
    <s v="Chennai"/>
    <x v="1"/>
    <s v="P029"/>
    <x v="14"/>
    <x v="1"/>
    <n v="1"/>
    <x v="12"/>
    <n v="2000"/>
    <m/>
    <m/>
    <m/>
    <m/>
  </r>
  <r>
    <x v="866"/>
    <x v="314"/>
    <s v="C046"/>
    <x v="54"/>
    <s v="Chennai"/>
    <x v="1"/>
    <s v="P005"/>
    <x v="15"/>
    <x v="2"/>
    <n v="1"/>
    <x v="13"/>
    <n v="28000"/>
    <m/>
    <m/>
    <m/>
    <m/>
  </r>
  <r>
    <x v="867"/>
    <x v="154"/>
    <s v="C009"/>
    <x v="30"/>
    <s v="Mumbai"/>
    <x v="2"/>
    <s v="P005"/>
    <x v="15"/>
    <x v="2"/>
    <n v="1"/>
    <x v="13"/>
    <n v="28000"/>
    <m/>
    <m/>
    <m/>
    <m/>
  </r>
  <r>
    <x v="868"/>
    <x v="44"/>
    <s v="C003"/>
    <x v="32"/>
    <s v="Lucknow"/>
    <x v="3"/>
    <s v="P027"/>
    <x v="29"/>
    <x v="1"/>
    <n v="3"/>
    <x v="25"/>
    <n v="16500"/>
    <m/>
    <m/>
    <m/>
    <m/>
  </r>
  <r>
    <x v="869"/>
    <x v="99"/>
    <s v="C026"/>
    <x v="19"/>
    <s v="Pune"/>
    <x v="2"/>
    <s v="P025"/>
    <x v="26"/>
    <x v="3"/>
    <n v="3"/>
    <x v="22"/>
    <n v="11400"/>
    <m/>
    <m/>
    <m/>
    <m/>
  </r>
  <r>
    <x v="870"/>
    <x v="12"/>
    <s v="C036"/>
    <x v="15"/>
    <s v="Chandigarh"/>
    <x v="3"/>
    <s v="P003"/>
    <x v="4"/>
    <x v="2"/>
    <n v="2"/>
    <x v="4"/>
    <n v="60000"/>
    <m/>
    <m/>
    <m/>
    <m/>
  </r>
  <r>
    <x v="871"/>
    <x v="303"/>
    <s v="C040"/>
    <x v="31"/>
    <s v="Patna"/>
    <x v="0"/>
    <s v="P003"/>
    <x v="4"/>
    <x v="2"/>
    <n v="2"/>
    <x v="4"/>
    <n v="60000"/>
    <m/>
    <m/>
    <m/>
    <m/>
  </r>
  <r>
    <x v="872"/>
    <x v="5"/>
    <s v="C040"/>
    <x v="31"/>
    <s v="Patna"/>
    <x v="0"/>
    <s v="P001"/>
    <x v="23"/>
    <x v="2"/>
    <n v="1"/>
    <x v="20"/>
    <n v="65000"/>
    <m/>
    <m/>
    <m/>
    <m/>
  </r>
  <r>
    <x v="873"/>
    <x v="327"/>
    <s v="C012"/>
    <x v="37"/>
    <s v="Surat"/>
    <x v="2"/>
    <s v="P006"/>
    <x v="3"/>
    <x v="2"/>
    <n v="1"/>
    <x v="3"/>
    <n v="12000"/>
    <m/>
    <m/>
    <m/>
    <m/>
  </r>
  <r>
    <x v="874"/>
    <x v="29"/>
    <s v="C024"/>
    <x v="6"/>
    <s v="Patna"/>
    <x v="0"/>
    <s v="P002"/>
    <x v="17"/>
    <x v="2"/>
    <n v="2"/>
    <x v="15"/>
    <n v="104000"/>
    <m/>
    <m/>
    <m/>
    <m/>
  </r>
  <r>
    <x v="875"/>
    <x v="94"/>
    <s v="C016"/>
    <x v="39"/>
    <s v="Kochi"/>
    <x v="1"/>
    <s v="P019"/>
    <x v="24"/>
    <x v="3"/>
    <n v="4"/>
    <x v="21"/>
    <n v="12800"/>
    <m/>
    <m/>
    <m/>
    <m/>
  </r>
  <r>
    <x v="876"/>
    <x v="287"/>
    <s v="C022"/>
    <x v="18"/>
    <s v="Guwahati"/>
    <x v="0"/>
    <s v="P006"/>
    <x v="3"/>
    <x v="2"/>
    <n v="1"/>
    <x v="3"/>
    <n v="12000"/>
    <m/>
    <m/>
    <m/>
    <m/>
  </r>
  <r>
    <x v="877"/>
    <x v="294"/>
    <s v="C011"/>
    <x v="28"/>
    <s v="Ahmedabad"/>
    <x v="2"/>
    <s v="P020"/>
    <x v="5"/>
    <x v="3"/>
    <n v="2"/>
    <x v="5"/>
    <n v="3200"/>
    <m/>
    <m/>
    <m/>
    <m/>
  </r>
  <r>
    <x v="878"/>
    <x v="328"/>
    <s v="C031"/>
    <x v="2"/>
    <s v="Hyderabad"/>
    <x v="1"/>
    <s v="P014"/>
    <x v="0"/>
    <x v="0"/>
    <n v="1"/>
    <x v="0"/>
    <n v="11000"/>
    <m/>
    <m/>
    <m/>
    <m/>
  </r>
  <r>
    <x v="879"/>
    <x v="117"/>
    <s v="C036"/>
    <x v="15"/>
    <s v="Chandigarh"/>
    <x v="3"/>
    <s v="P020"/>
    <x v="5"/>
    <x v="3"/>
    <n v="1"/>
    <x v="5"/>
    <n v="1600"/>
    <m/>
    <m/>
    <m/>
    <m/>
  </r>
  <r>
    <x v="880"/>
    <x v="304"/>
    <s v="C057"/>
    <x v="13"/>
    <s v="Mumbai"/>
    <x v="2"/>
    <s v="P003"/>
    <x v="4"/>
    <x v="2"/>
    <n v="1"/>
    <x v="4"/>
    <n v="30000"/>
    <m/>
    <m/>
    <m/>
    <m/>
  </r>
  <r>
    <x v="881"/>
    <x v="305"/>
    <s v="C011"/>
    <x v="28"/>
    <s v="Ahmedabad"/>
    <x v="2"/>
    <s v="P021"/>
    <x v="9"/>
    <x v="3"/>
    <n v="1"/>
    <x v="1"/>
    <n v="2400"/>
    <m/>
    <m/>
    <m/>
    <m/>
  </r>
  <r>
    <x v="882"/>
    <x v="249"/>
    <s v="C006"/>
    <x v="36"/>
    <s v="Guwahati"/>
    <x v="0"/>
    <s v="P006"/>
    <x v="3"/>
    <x v="2"/>
    <n v="1"/>
    <x v="3"/>
    <n v="12000"/>
    <m/>
    <m/>
    <m/>
    <m/>
  </r>
  <r>
    <x v="883"/>
    <x v="278"/>
    <s v="C037"/>
    <x v="17"/>
    <s v="Kolkata"/>
    <x v="0"/>
    <s v="P025"/>
    <x v="26"/>
    <x v="3"/>
    <n v="3"/>
    <x v="22"/>
    <n v="11400"/>
    <m/>
    <m/>
    <m/>
    <m/>
  </r>
  <r>
    <x v="884"/>
    <x v="15"/>
    <s v="C024"/>
    <x v="6"/>
    <s v="Patna"/>
    <x v="0"/>
    <s v="P015"/>
    <x v="7"/>
    <x v="0"/>
    <n v="1"/>
    <x v="7"/>
    <n v="9000"/>
    <m/>
    <m/>
    <m/>
    <m/>
  </r>
  <r>
    <x v="885"/>
    <x v="96"/>
    <s v="C039"/>
    <x v="60"/>
    <s v="Bhubaneswar"/>
    <x v="0"/>
    <s v="P019"/>
    <x v="24"/>
    <x v="3"/>
    <n v="3"/>
    <x v="21"/>
    <n v="9600"/>
    <m/>
    <m/>
    <m/>
    <m/>
  </r>
  <r>
    <x v="886"/>
    <x v="124"/>
    <s v="C054"/>
    <x v="51"/>
    <s v="Guwahati"/>
    <x v="0"/>
    <s v="P023"/>
    <x v="25"/>
    <x v="3"/>
    <n v="1"/>
    <x v="10"/>
    <n v="4200"/>
    <m/>
    <m/>
    <m/>
    <m/>
  </r>
  <r>
    <x v="887"/>
    <x v="32"/>
    <s v="C013"/>
    <x v="35"/>
    <s v="Bengaluru"/>
    <x v="1"/>
    <s v="P021"/>
    <x v="9"/>
    <x v="3"/>
    <n v="3"/>
    <x v="1"/>
    <n v="7200"/>
    <m/>
    <m/>
    <m/>
    <m/>
  </r>
  <r>
    <x v="888"/>
    <x v="319"/>
    <s v="C024"/>
    <x v="6"/>
    <s v="Patna"/>
    <x v="0"/>
    <s v="P001"/>
    <x v="23"/>
    <x v="2"/>
    <n v="1"/>
    <x v="20"/>
    <n v="65000"/>
    <m/>
    <m/>
    <m/>
    <m/>
  </r>
  <r>
    <x v="889"/>
    <x v="253"/>
    <s v="C019"/>
    <x v="40"/>
    <s v="Lucknow"/>
    <x v="3"/>
    <s v="P004"/>
    <x v="19"/>
    <x v="2"/>
    <n v="1"/>
    <x v="17"/>
    <n v="22000"/>
    <m/>
    <m/>
    <m/>
    <m/>
  </r>
  <r>
    <x v="890"/>
    <x v="213"/>
    <s v="C072"/>
    <x v="46"/>
    <s v="Patna"/>
    <x v="0"/>
    <s v="P001"/>
    <x v="23"/>
    <x v="2"/>
    <n v="1"/>
    <x v="20"/>
    <n v="65000"/>
    <m/>
    <m/>
    <m/>
    <m/>
  </r>
  <r>
    <x v="891"/>
    <x v="268"/>
    <s v="C072"/>
    <x v="46"/>
    <s v="Patna"/>
    <x v="0"/>
    <s v="P004"/>
    <x v="19"/>
    <x v="2"/>
    <n v="1"/>
    <x v="17"/>
    <n v="22000"/>
    <m/>
    <m/>
    <m/>
    <m/>
  </r>
  <r>
    <x v="892"/>
    <x v="174"/>
    <s v="C052"/>
    <x v="5"/>
    <s v="Chandigarh"/>
    <x v="3"/>
    <s v="P023"/>
    <x v="25"/>
    <x v="3"/>
    <n v="1"/>
    <x v="10"/>
    <n v="4200"/>
    <m/>
    <m/>
    <m/>
    <m/>
  </r>
  <r>
    <x v="893"/>
    <x v="308"/>
    <s v="C029"/>
    <x v="11"/>
    <s v="Bengaluru"/>
    <x v="1"/>
    <s v="P005"/>
    <x v="15"/>
    <x v="2"/>
    <n v="1"/>
    <x v="13"/>
    <n v="28000"/>
    <m/>
    <m/>
    <m/>
    <m/>
  </r>
  <r>
    <x v="894"/>
    <x v="41"/>
    <s v="C052"/>
    <x v="5"/>
    <s v="Chandigarh"/>
    <x v="3"/>
    <s v="P028"/>
    <x v="20"/>
    <x v="1"/>
    <n v="2"/>
    <x v="18"/>
    <n v="2800"/>
    <m/>
    <m/>
    <m/>
    <m/>
  </r>
  <r>
    <x v="895"/>
    <x v="115"/>
    <s v="C055"/>
    <x v="63"/>
    <s v="Bhubaneswar"/>
    <x v="0"/>
    <s v="P015"/>
    <x v="7"/>
    <x v="0"/>
    <n v="1"/>
    <x v="7"/>
    <n v="9000"/>
    <m/>
    <m/>
    <m/>
    <m/>
  </r>
  <r>
    <x v="896"/>
    <x v="97"/>
    <s v="C022"/>
    <x v="18"/>
    <s v="Guwahati"/>
    <x v="0"/>
    <s v="P029"/>
    <x v="14"/>
    <x v="1"/>
    <n v="1"/>
    <x v="12"/>
    <n v="2000"/>
    <m/>
    <m/>
    <m/>
    <m/>
  </r>
  <r>
    <x v="897"/>
    <x v="271"/>
    <s v="C006"/>
    <x v="36"/>
    <s v="Guwahati"/>
    <x v="0"/>
    <s v="P005"/>
    <x v="15"/>
    <x v="2"/>
    <n v="1"/>
    <x v="13"/>
    <n v="28000"/>
    <m/>
    <m/>
    <m/>
    <m/>
  </r>
  <r>
    <x v="898"/>
    <x v="192"/>
    <s v="C065"/>
    <x v="69"/>
    <s v="Delhi"/>
    <x v="3"/>
    <s v="P008"/>
    <x v="21"/>
    <x v="2"/>
    <n v="1"/>
    <x v="19"/>
    <n v="4500"/>
    <m/>
    <m/>
    <m/>
    <m/>
  </r>
  <r>
    <x v="899"/>
    <x v="216"/>
    <s v="C059"/>
    <x v="38"/>
    <s v="Ahmedabad"/>
    <x v="2"/>
    <s v="P006"/>
    <x v="3"/>
    <x v="2"/>
    <n v="3"/>
    <x v="3"/>
    <n v="36000"/>
    <m/>
    <m/>
    <m/>
    <m/>
  </r>
  <r>
    <x v="900"/>
    <x v="320"/>
    <s v="C057"/>
    <x v="13"/>
    <s v="Mumbai"/>
    <x v="2"/>
    <s v="P009"/>
    <x v="27"/>
    <x v="2"/>
    <n v="2"/>
    <x v="23"/>
    <n v="5000"/>
    <m/>
    <m/>
    <m/>
    <m/>
  </r>
  <r>
    <x v="901"/>
    <x v="248"/>
    <s v="C056"/>
    <x v="33"/>
    <s v="Patna"/>
    <x v="0"/>
    <s v="P009"/>
    <x v="27"/>
    <x v="2"/>
    <n v="2"/>
    <x v="23"/>
    <n v="5000"/>
    <m/>
    <m/>
    <m/>
    <m/>
  </r>
  <r>
    <x v="902"/>
    <x v="200"/>
    <s v="C024"/>
    <x v="6"/>
    <s v="Patna"/>
    <x v="0"/>
    <s v="P020"/>
    <x v="5"/>
    <x v="3"/>
    <n v="2"/>
    <x v="5"/>
    <n v="3200"/>
    <m/>
    <m/>
    <m/>
    <m/>
  </r>
  <r>
    <x v="903"/>
    <x v="68"/>
    <s v="C058"/>
    <x v="62"/>
    <s v="Pune"/>
    <x v="2"/>
    <s v="P008"/>
    <x v="21"/>
    <x v="2"/>
    <n v="1"/>
    <x v="19"/>
    <n v="4500"/>
    <m/>
    <m/>
    <m/>
    <m/>
  </r>
  <r>
    <x v="904"/>
    <x v="329"/>
    <s v="C039"/>
    <x v="60"/>
    <s v="Bhubaneswar"/>
    <x v="0"/>
    <s v="P006"/>
    <x v="3"/>
    <x v="2"/>
    <n v="2"/>
    <x v="3"/>
    <n v="24000"/>
    <m/>
    <m/>
    <m/>
    <m/>
  </r>
  <r>
    <x v="905"/>
    <x v="23"/>
    <s v="C037"/>
    <x v="17"/>
    <s v="Kolkata"/>
    <x v="0"/>
    <s v="P008"/>
    <x v="21"/>
    <x v="2"/>
    <n v="1"/>
    <x v="19"/>
    <n v="4500"/>
    <m/>
    <m/>
    <m/>
    <m/>
  </r>
  <r>
    <x v="906"/>
    <x v="154"/>
    <s v="C061"/>
    <x v="21"/>
    <s v="Bengaluru"/>
    <x v="1"/>
    <s v="P026"/>
    <x v="1"/>
    <x v="1"/>
    <n v="2"/>
    <x v="1"/>
    <n v="4800"/>
    <m/>
    <m/>
    <m/>
    <m/>
  </r>
  <r>
    <x v="907"/>
    <x v="15"/>
    <s v="C070"/>
    <x v="24"/>
    <s v="Guwahati"/>
    <x v="0"/>
    <s v="P001"/>
    <x v="23"/>
    <x v="2"/>
    <n v="1"/>
    <x v="20"/>
    <n v="65000"/>
    <m/>
    <m/>
    <m/>
    <m/>
  </r>
  <r>
    <x v="908"/>
    <x v="330"/>
    <s v="C018"/>
    <x v="66"/>
    <s v="Jaipur"/>
    <x v="3"/>
    <s v="P007"/>
    <x v="13"/>
    <x v="2"/>
    <n v="1"/>
    <x v="11"/>
    <n v="18000"/>
    <m/>
    <m/>
    <m/>
    <m/>
  </r>
  <r>
    <x v="909"/>
    <x v="137"/>
    <s v="C037"/>
    <x v="17"/>
    <s v="Kolkata"/>
    <x v="0"/>
    <s v="P021"/>
    <x v="9"/>
    <x v="3"/>
    <n v="1"/>
    <x v="1"/>
    <n v="2400"/>
    <m/>
    <m/>
    <m/>
    <m/>
  </r>
  <r>
    <x v="910"/>
    <x v="27"/>
    <s v="C041"/>
    <x v="65"/>
    <s v="Mumbai"/>
    <x v="2"/>
    <s v="P001"/>
    <x v="23"/>
    <x v="2"/>
    <n v="3"/>
    <x v="20"/>
    <n v="195000"/>
    <m/>
    <m/>
    <m/>
    <m/>
  </r>
  <r>
    <x v="911"/>
    <x v="37"/>
    <s v="C046"/>
    <x v="54"/>
    <s v="Chennai"/>
    <x v="1"/>
    <s v="P007"/>
    <x v="13"/>
    <x v="2"/>
    <n v="4"/>
    <x v="11"/>
    <n v="72000"/>
    <m/>
    <m/>
    <m/>
    <m/>
  </r>
  <r>
    <x v="912"/>
    <x v="331"/>
    <s v="C027"/>
    <x v="23"/>
    <s v="Ahmedabad"/>
    <x v="2"/>
    <s v="P004"/>
    <x v="19"/>
    <x v="2"/>
    <n v="1"/>
    <x v="17"/>
    <n v="22000"/>
    <m/>
    <m/>
    <m/>
    <m/>
  </r>
  <r>
    <x v="913"/>
    <x v="163"/>
    <s v="C037"/>
    <x v="17"/>
    <s v="Kolkata"/>
    <x v="0"/>
    <s v="P009"/>
    <x v="27"/>
    <x v="2"/>
    <n v="2"/>
    <x v="23"/>
    <n v="5000"/>
    <m/>
    <m/>
    <m/>
    <m/>
  </r>
  <r>
    <x v="914"/>
    <x v="264"/>
    <s v="C056"/>
    <x v="33"/>
    <s v="Patna"/>
    <x v="0"/>
    <s v="P022"/>
    <x v="18"/>
    <x v="3"/>
    <n v="2"/>
    <x v="16"/>
    <n v="9600"/>
    <m/>
    <m/>
    <m/>
    <m/>
  </r>
  <r>
    <x v="915"/>
    <x v="262"/>
    <s v="C008"/>
    <x v="0"/>
    <s v="Patna"/>
    <x v="0"/>
    <s v="P022"/>
    <x v="18"/>
    <x v="3"/>
    <n v="1"/>
    <x v="16"/>
    <n v="4800"/>
    <m/>
    <m/>
    <m/>
    <m/>
  </r>
  <r>
    <x v="916"/>
    <x v="86"/>
    <s v="C057"/>
    <x v="13"/>
    <s v="Mumbai"/>
    <x v="2"/>
    <s v="P001"/>
    <x v="23"/>
    <x v="2"/>
    <n v="3"/>
    <x v="20"/>
    <n v="195000"/>
    <m/>
    <m/>
    <m/>
    <m/>
  </r>
  <r>
    <x v="917"/>
    <x v="62"/>
    <s v="C015"/>
    <x v="48"/>
    <s v="Hyderabad"/>
    <x v="1"/>
    <s v="P002"/>
    <x v="17"/>
    <x v="2"/>
    <n v="1"/>
    <x v="15"/>
    <n v="52000"/>
    <m/>
    <m/>
    <m/>
    <m/>
  </r>
  <r>
    <x v="918"/>
    <x v="135"/>
    <s v="C047"/>
    <x v="25"/>
    <s v="Hyderabad"/>
    <x v="1"/>
    <s v="P008"/>
    <x v="21"/>
    <x v="2"/>
    <n v="2"/>
    <x v="19"/>
    <n v="9000"/>
    <m/>
    <m/>
    <m/>
    <m/>
  </r>
  <r>
    <x v="919"/>
    <x v="193"/>
    <s v="C056"/>
    <x v="33"/>
    <s v="Patna"/>
    <x v="0"/>
    <s v="P020"/>
    <x v="5"/>
    <x v="3"/>
    <n v="2"/>
    <x v="5"/>
    <n v="3200"/>
    <m/>
    <m/>
    <m/>
    <m/>
  </r>
  <r>
    <x v="920"/>
    <x v="41"/>
    <s v="C032"/>
    <x v="58"/>
    <s v="Kochi"/>
    <x v="1"/>
    <s v="P012"/>
    <x v="16"/>
    <x v="0"/>
    <n v="1"/>
    <x v="14"/>
    <n v="5000"/>
    <m/>
    <m/>
    <m/>
    <m/>
  </r>
  <r>
    <x v="921"/>
    <x v="113"/>
    <s v="C060"/>
    <x v="47"/>
    <s v="Surat"/>
    <x v="2"/>
    <s v="P011"/>
    <x v="28"/>
    <x v="0"/>
    <n v="1"/>
    <x v="24"/>
    <n v="6500"/>
    <m/>
    <m/>
    <m/>
    <m/>
  </r>
  <r>
    <x v="922"/>
    <x v="319"/>
    <s v="C043"/>
    <x v="3"/>
    <s v="Ahmedabad"/>
    <x v="2"/>
    <s v="P015"/>
    <x v="7"/>
    <x v="0"/>
    <n v="1"/>
    <x v="7"/>
    <n v="9000"/>
    <m/>
    <m/>
    <m/>
    <m/>
  </r>
  <r>
    <x v="923"/>
    <x v="85"/>
    <s v="C024"/>
    <x v="6"/>
    <s v="Patna"/>
    <x v="0"/>
    <s v="P030"/>
    <x v="6"/>
    <x v="1"/>
    <n v="1"/>
    <x v="6"/>
    <n v="3500"/>
    <m/>
    <m/>
    <m/>
    <m/>
  </r>
  <r>
    <x v="924"/>
    <x v="235"/>
    <s v="C001"/>
    <x v="42"/>
    <s v="Delhi"/>
    <x v="3"/>
    <s v="P024"/>
    <x v="11"/>
    <x v="3"/>
    <n v="1"/>
    <x v="9"/>
    <n v="3000"/>
    <m/>
    <m/>
    <m/>
    <m/>
  </r>
  <r>
    <x v="925"/>
    <x v="41"/>
    <s v="C070"/>
    <x v="24"/>
    <s v="Guwahati"/>
    <x v="0"/>
    <s v="P030"/>
    <x v="6"/>
    <x v="1"/>
    <n v="2"/>
    <x v="6"/>
    <n v="7000"/>
    <m/>
    <m/>
    <m/>
    <m/>
  </r>
  <r>
    <x v="926"/>
    <x v="58"/>
    <s v="C063"/>
    <x v="45"/>
    <s v="Hyderabad"/>
    <x v="1"/>
    <s v="P008"/>
    <x v="21"/>
    <x v="2"/>
    <n v="3"/>
    <x v="19"/>
    <n v="13500"/>
    <m/>
    <m/>
    <m/>
    <m/>
  </r>
  <r>
    <x v="927"/>
    <x v="136"/>
    <s v="C011"/>
    <x v="28"/>
    <s v="Ahmedabad"/>
    <x v="2"/>
    <s v="P009"/>
    <x v="27"/>
    <x v="2"/>
    <n v="1"/>
    <x v="23"/>
    <n v="2500"/>
    <m/>
    <m/>
    <m/>
    <m/>
  </r>
  <r>
    <x v="928"/>
    <x v="225"/>
    <s v="C069"/>
    <x v="22"/>
    <s v="Kolkata"/>
    <x v="0"/>
    <s v="P030"/>
    <x v="6"/>
    <x v="1"/>
    <n v="1"/>
    <x v="6"/>
    <n v="3500"/>
    <m/>
    <m/>
    <m/>
    <m/>
  </r>
  <r>
    <x v="929"/>
    <x v="301"/>
    <s v="C011"/>
    <x v="28"/>
    <s v="Ahmedabad"/>
    <x v="2"/>
    <s v="P029"/>
    <x v="14"/>
    <x v="1"/>
    <n v="2"/>
    <x v="12"/>
    <n v="4000"/>
    <m/>
    <m/>
    <m/>
    <m/>
  </r>
  <r>
    <x v="930"/>
    <x v="283"/>
    <s v="C071"/>
    <x v="1"/>
    <s v="Bhubaneswar"/>
    <x v="0"/>
    <s v="P030"/>
    <x v="6"/>
    <x v="1"/>
    <n v="2"/>
    <x v="6"/>
    <n v="7000"/>
    <m/>
    <m/>
    <m/>
    <m/>
  </r>
  <r>
    <x v="931"/>
    <x v="102"/>
    <s v="C034"/>
    <x v="43"/>
    <s v="Jaipur"/>
    <x v="3"/>
    <s v="P019"/>
    <x v="24"/>
    <x v="3"/>
    <n v="3"/>
    <x v="21"/>
    <n v="9600"/>
    <m/>
    <m/>
    <m/>
    <m/>
  </r>
  <r>
    <x v="932"/>
    <x v="177"/>
    <s v="C058"/>
    <x v="62"/>
    <s v="Pune"/>
    <x v="2"/>
    <s v="P025"/>
    <x v="26"/>
    <x v="3"/>
    <n v="2"/>
    <x v="22"/>
    <n v="7600"/>
    <m/>
    <m/>
    <m/>
    <m/>
  </r>
  <r>
    <x v="933"/>
    <x v="332"/>
    <s v="C053"/>
    <x v="57"/>
    <s v="Kolkata"/>
    <x v="0"/>
    <s v="P021"/>
    <x v="9"/>
    <x v="3"/>
    <n v="3"/>
    <x v="1"/>
    <n v="7200"/>
    <m/>
    <m/>
    <m/>
    <m/>
  </r>
  <r>
    <x v="934"/>
    <x v="256"/>
    <s v="C011"/>
    <x v="28"/>
    <s v="Ahmedabad"/>
    <x v="2"/>
    <s v="P014"/>
    <x v="0"/>
    <x v="0"/>
    <n v="4"/>
    <x v="0"/>
    <n v="44000"/>
    <m/>
    <m/>
    <m/>
    <m/>
  </r>
  <r>
    <x v="935"/>
    <x v="99"/>
    <s v="C075"/>
    <x v="7"/>
    <s v="Ahmedabad"/>
    <x v="2"/>
    <s v="P030"/>
    <x v="6"/>
    <x v="1"/>
    <n v="1"/>
    <x v="6"/>
    <n v="3500"/>
    <m/>
    <m/>
    <m/>
    <m/>
  </r>
  <r>
    <x v="936"/>
    <x v="247"/>
    <s v="C028"/>
    <x v="55"/>
    <s v="Surat"/>
    <x v="2"/>
    <s v="P009"/>
    <x v="27"/>
    <x v="2"/>
    <n v="1"/>
    <x v="23"/>
    <n v="2500"/>
    <m/>
    <m/>
    <m/>
    <m/>
  </r>
  <r>
    <x v="937"/>
    <x v="42"/>
    <s v="C074"/>
    <x v="49"/>
    <s v="Pune"/>
    <x v="2"/>
    <s v="P014"/>
    <x v="0"/>
    <x v="0"/>
    <n v="1"/>
    <x v="0"/>
    <n v="11000"/>
    <m/>
    <m/>
    <m/>
    <m/>
  </r>
  <r>
    <x v="938"/>
    <x v="288"/>
    <s v="C037"/>
    <x v="17"/>
    <s v="Kolkata"/>
    <x v="0"/>
    <s v="P010"/>
    <x v="10"/>
    <x v="2"/>
    <n v="1"/>
    <x v="8"/>
    <n v="2200"/>
    <m/>
    <m/>
    <m/>
    <m/>
  </r>
  <r>
    <x v="939"/>
    <x v="16"/>
    <s v="C068"/>
    <x v="20"/>
    <s v="Chandigarh"/>
    <x v="3"/>
    <s v="P015"/>
    <x v="7"/>
    <x v="0"/>
    <n v="1"/>
    <x v="7"/>
    <n v="9000"/>
    <m/>
    <m/>
    <m/>
    <m/>
  </r>
  <r>
    <x v="940"/>
    <x v="115"/>
    <s v="C056"/>
    <x v="33"/>
    <s v="Patna"/>
    <x v="0"/>
    <s v="P017"/>
    <x v="2"/>
    <x v="0"/>
    <n v="1"/>
    <x v="2"/>
    <n v="15000"/>
    <m/>
    <m/>
    <m/>
    <m/>
  </r>
  <r>
    <x v="941"/>
    <x v="95"/>
    <s v="C050"/>
    <x v="14"/>
    <s v="Jaipur"/>
    <x v="3"/>
    <s v="P002"/>
    <x v="17"/>
    <x v="2"/>
    <n v="2"/>
    <x v="15"/>
    <n v="104000"/>
    <m/>
    <m/>
    <m/>
    <m/>
  </r>
  <r>
    <x v="942"/>
    <x v="316"/>
    <s v="C031"/>
    <x v="2"/>
    <s v="Hyderabad"/>
    <x v="1"/>
    <s v="P024"/>
    <x v="11"/>
    <x v="3"/>
    <n v="1"/>
    <x v="9"/>
    <n v="3000"/>
    <m/>
    <m/>
    <m/>
    <m/>
  </r>
  <r>
    <x v="943"/>
    <x v="141"/>
    <s v="C018"/>
    <x v="66"/>
    <s v="Jaipur"/>
    <x v="3"/>
    <s v="P025"/>
    <x v="26"/>
    <x v="3"/>
    <n v="1"/>
    <x v="22"/>
    <n v="3800"/>
    <m/>
    <m/>
    <m/>
    <m/>
  </r>
  <r>
    <x v="944"/>
    <x v="240"/>
    <s v="C012"/>
    <x v="37"/>
    <s v="Surat"/>
    <x v="2"/>
    <s v="P008"/>
    <x v="21"/>
    <x v="2"/>
    <n v="2"/>
    <x v="19"/>
    <n v="9000"/>
    <m/>
    <m/>
    <m/>
    <m/>
  </r>
  <r>
    <x v="945"/>
    <x v="211"/>
    <s v="C018"/>
    <x v="66"/>
    <s v="Jaipur"/>
    <x v="3"/>
    <s v="P007"/>
    <x v="13"/>
    <x v="2"/>
    <n v="3"/>
    <x v="11"/>
    <n v="54000"/>
    <m/>
    <m/>
    <m/>
    <m/>
  </r>
  <r>
    <x v="946"/>
    <x v="145"/>
    <s v="C063"/>
    <x v="45"/>
    <s v="Hyderabad"/>
    <x v="1"/>
    <s v="P014"/>
    <x v="0"/>
    <x v="0"/>
    <n v="4"/>
    <x v="0"/>
    <n v="44000"/>
    <m/>
    <m/>
    <m/>
    <m/>
  </r>
  <r>
    <x v="947"/>
    <x v="302"/>
    <s v="C063"/>
    <x v="45"/>
    <s v="Hyderabad"/>
    <x v="1"/>
    <s v="P020"/>
    <x v="5"/>
    <x v="3"/>
    <n v="4"/>
    <x v="5"/>
    <n v="6400"/>
    <m/>
    <m/>
    <m/>
    <m/>
  </r>
  <r>
    <x v="948"/>
    <x v="266"/>
    <s v="C009"/>
    <x v="30"/>
    <s v="Mumbai"/>
    <x v="2"/>
    <s v="P002"/>
    <x v="17"/>
    <x v="2"/>
    <n v="1"/>
    <x v="15"/>
    <n v="52000"/>
    <m/>
    <m/>
    <m/>
    <m/>
  </r>
  <r>
    <x v="949"/>
    <x v="276"/>
    <s v="C068"/>
    <x v="20"/>
    <s v="Chandigarh"/>
    <x v="3"/>
    <s v="P014"/>
    <x v="0"/>
    <x v="0"/>
    <n v="2"/>
    <x v="0"/>
    <n v="22000"/>
    <m/>
    <m/>
    <m/>
    <m/>
  </r>
  <r>
    <x v="950"/>
    <x v="242"/>
    <s v="C052"/>
    <x v="5"/>
    <s v="Chandigarh"/>
    <x v="3"/>
    <s v="P008"/>
    <x v="21"/>
    <x v="2"/>
    <n v="2"/>
    <x v="19"/>
    <n v="9000"/>
    <m/>
    <m/>
    <m/>
    <m/>
  </r>
  <r>
    <x v="951"/>
    <x v="77"/>
    <s v="C058"/>
    <x v="62"/>
    <s v="Pune"/>
    <x v="2"/>
    <s v="P015"/>
    <x v="7"/>
    <x v="0"/>
    <n v="2"/>
    <x v="7"/>
    <n v="18000"/>
    <m/>
    <m/>
    <m/>
    <m/>
  </r>
  <r>
    <x v="952"/>
    <x v="30"/>
    <s v="C006"/>
    <x v="36"/>
    <s v="Guwahati"/>
    <x v="0"/>
    <s v="P009"/>
    <x v="27"/>
    <x v="2"/>
    <n v="2"/>
    <x v="23"/>
    <n v="5000"/>
    <m/>
    <m/>
    <m/>
    <m/>
  </r>
  <r>
    <x v="953"/>
    <x v="276"/>
    <s v="C057"/>
    <x v="13"/>
    <s v="Mumbai"/>
    <x v="2"/>
    <s v="P023"/>
    <x v="25"/>
    <x v="3"/>
    <n v="1"/>
    <x v="10"/>
    <n v="4200"/>
    <m/>
    <m/>
    <m/>
    <m/>
  </r>
  <r>
    <x v="954"/>
    <x v="121"/>
    <s v="C043"/>
    <x v="3"/>
    <s v="Ahmedabad"/>
    <x v="2"/>
    <s v="P012"/>
    <x v="16"/>
    <x v="0"/>
    <n v="2"/>
    <x v="14"/>
    <n v="10000"/>
    <m/>
    <m/>
    <m/>
    <m/>
  </r>
  <r>
    <x v="955"/>
    <x v="163"/>
    <s v="C069"/>
    <x v="22"/>
    <s v="Kolkata"/>
    <x v="0"/>
    <s v="P004"/>
    <x v="19"/>
    <x v="2"/>
    <n v="2"/>
    <x v="17"/>
    <n v="44000"/>
    <m/>
    <m/>
    <m/>
    <m/>
  </r>
  <r>
    <x v="956"/>
    <x v="114"/>
    <s v="C023"/>
    <x v="44"/>
    <s v="Bhubaneswar"/>
    <x v="0"/>
    <s v="P008"/>
    <x v="21"/>
    <x v="2"/>
    <n v="2"/>
    <x v="19"/>
    <n v="9000"/>
    <m/>
    <m/>
    <m/>
    <m/>
  </r>
  <r>
    <x v="957"/>
    <x v="323"/>
    <s v="C065"/>
    <x v="69"/>
    <s v="Delhi"/>
    <x v="3"/>
    <s v="P004"/>
    <x v="19"/>
    <x v="2"/>
    <n v="2"/>
    <x v="17"/>
    <n v="44000"/>
    <m/>
    <m/>
    <m/>
    <m/>
  </r>
  <r>
    <x v="958"/>
    <x v="80"/>
    <s v="C022"/>
    <x v="18"/>
    <s v="Guwahati"/>
    <x v="0"/>
    <s v="P029"/>
    <x v="14"/>
    <x v="1"/>
    <n v="1"/>
    <x v="12"/>
    <n v="2000"/>
    <m/>
    <m/>
    <m/>
    <m/>
  </r>
  <r>
    <x v="959"/>
    <x v="133"/>
    <s v="C008"/>
    <x v="0"/>
    <s v="Patna"/>
    <x v="0"/>
    <s v="P004"/>
    <x v="19"/>
    <x v="2"/>
    <n v="2"/>
    <x v="17"/>
    <n v="44000"/>
    <m/>
    <m/>
    <m/>
    <m/>
  </r>
  <r>
    <x v="960"/>
    <x v="94"/>
    <s v="C058"/>
    <x v="62"/>
    <s v="Pune"/>
    <x v="2"/>
    <s v="P025"/>
    <x v="26"/>
    <x v="3"/>
    <n v="4"/>
    <x v="22"/>
    <n v="15200"/>
    <m/>
    <m/>
    <m/>
    <m/>
  </r>
  <r>
    <x v="961"/>
    <x v="171"/>
    <s v="C038"/>
    <x v="56"/>
    <s v="Guwahati"/>
    <x v="0"/>
    <s v="P025"/>
    <x v="26"/>
    <x v="3"/>
    <n v="1"/>
    <x v="22"/>
    <n v="3800"/>
    <m/>
    <m/>
    <m/>
    <m/>
  </r>
  <r>
    <x v="962"/>
    <x v="261"/>
    <s v="C039"/>
    <x v="60"/>
    <s v="Bhubaneswar"/>
    <x v="0"/>
    <s v="P016"/>
    <x v="8"/>
    <x v="0"/>
    <n v="4"/>
    <x v="8"/>
    <n v="8800"/>
    <m/>
    <m/>
    <m/>
    <m/>
  </r>
  <r>
    <x v="963"/>
    <x v="42"/>
    <s v="C058"/>
    <x v="62"/>
    <s v="Pune"/>
    <x v="2"/>
    <s v="P029"/>
    <x v="14"/>
    <x v="1"/>
    <n v="2"/>
    <x v="12"/>
    <n v="4000"/>
    <m/>
    <m/>
    <m/>
    <m/>
  </r>
  <r>
    <x v="964"/>
    <x v="32"/>
    <s v="C017"/>
    <x v="71"/>
    <s v="Delhi"/>
    <x v="3"/>
    <s v="P028"/>
    <x v="20"/>
    <x v="1"/>
    <n v="1"/>
    <x v="18"/>
    <n v="1400"/>
    <m/>
    <m/>
    <m/>
    <m/>
  </r>
  <r>
    <x v="965"/>
    <x v="97"/>
    <s v="C008"/>
    <x v="0"/>
    <s v="Patna"/>
    <x v="0"/>
    <s v="P011"/>
    <x v="28"/>
    <x v="0"/>
    <n v="1"/>
    <x v="24"/>
    <n v="6500"/>
    <m/>
    <m/>
    <m/>
    <m/>
  </r>
  <r>
    <x v="966"/>
    <x v="68"/>
    <s v="C071"/>
    <x v="1"/>
    <s v="Bhubaneswar"/>
    <x v="0"/>
    <s v="P005"/>
    <x v="15"/>
    <x v="2"/>
    <n v="2"/>
    <x v="13"/>
    <n v="56000"/>
    <m/>
    <m/>
    <m/>
    <m/>
  </r>
  <r>
    <x v="967"/>
    <x v="219"/>
    <s v="C063"/>
    <x v="45"/>
    <s v="Hyderabad"/>
    <x v="1"/>
    <s v="P006"/>
    <x v="3"/>
    <x v="2"/>
    <n v="2"/>
    <x v="3"/>
    <n v="24000"/>
    <m/>
    <m/>
    <m/>
    <m/>
  </r>
  <r>
    <x v="968"/>
    <x v="235"/>
    <s v="C023"/>
    <x v="44"/>
    <s v="Bhubaneswar"/>
    <x v="0"/>
    <s v="P021"/>
    <x v="9"/>
    <x v="3"/>
    <n v="2"/>
    <x v="1"/>
    <n v="4800"/>
    <m/>
    <m/>
    <m/>
    <m/>
  </r>
  <r>
    <x v="969"/>
    <x v="281"/>
    <s v="C047"/>
    <x v="25"/>
    <s v="Hyderabad"/>
    <x v="1"/>
    <s v="P007"/>
    <x v="13"/>
    <x v="2"/>
    <n v="2"/>
    <x v="11"/>
    <n v="36000"/>
    <m/>
    <m/>
    <m/>
    <m/>
  </r>
  <r>
    <x v="970"/>
    <x v="21"/>
    <s v="C024"/>
    <x v="6"/>
    <s v="Patna"/>
    <x v="0"/>
    <s v="P015"/>
    <x v="7"/>
    <x v="0"/>
    <n v="2"/>
    <x v="7"/>
    <n v="18000"/>
    <m/>
    <m/>
    <m/>
    <m/>
  </r>
  <r>
    <x v="971"/>
    <x v="197"/>
    <s v="C053"/>
    <x v="57"/>
    <s v="Kolkata"/>
    <x v="0"/>
    <s v="P002"/>
    <x v="17"/>
    <x v="2"/>
    <n v="4"/>
    <x v="15"/>
    <n v="208000"/>
    <m/>
    <m/>
    <m/>
    <m/>
  </r>
  <r>
    <x v="972"/>
    <x v="42"/>
    <s v="C072"/>
    <x v="46"/>
    <s v="Patna"/>
    <x v="0"/>
    <s v="P011"/>
    <x v="28"/>
    <x v="0"/>
    <n v="1"/>
    <x v="24"/>
    <n v="6500"/>
    <m/>
    <m/>
    <m/>
    <m/>
  </r>
  <r>
    <x v="973"/>
    <x v="105"/>
    <s v="C050"/>
    <x v="14"/>
    <s v="Jaipur"/>
    <x v="3"/>
    <s v="P003"/>
    <x v="4"/>
    <x v="2"/>
    <n v="1"/>
    <x v="4"/>
    <n v="30000"/>
    <m/>
    <m/>
    <m/>
    <m/>
  </r>
  <r>
    <x v="974"/>
    <x v="271"/>
    <s v="C052"/>
    <x v="5"/>
    <s v="Chandigarh"/>
    <x v="3"/>
    <s v="P024"/>
    <x v="11"/>
    <x v="3"/>
    <n v="1"/>
    <x v="9"/>
    <n v="3000"/>
    <m/>
    <m/>
    <m/>
    <m/>
  </r>
  <r>
    <x v="975"/>
    <x v="210"/>
    <s v="C062"/>
    <x v="64"/>
    <s v="Chennai"/>
    <x v="1"/>
    <s v="P027"/>
    <x v="29"/>
    <x v="1"/>
    <n v="1"/>
    <x v="25"/>
    <n v="5500"/>
    <m/>
    <m/>
    <m/>
    <m/>
  </r>
  <r>
    <x v="976"/>
    <x v="301"/>
    <s v="C074"/>
    <x v="49"/>
    <s v="Pune"/>
    <x v="2"/>
    <s v="P009"/>
    <x v="27"/>
    <x v="2"/>
    <n v="3"/>
    <x v="23"/>
    <n v="7500"/>
    <m/>
    <m/>
    <m/>
    <m/>
  </r>
  <r>
    <x v="977"/>
    <x v="10"/>
    <s v="C013"/>
    <x v="35"/>
    <s v="Bengaluru"/>
    <x v="1"/>
    <s v="P023"/>
    <x v="25"/>
    <x v="3"/>
    <n v="4"/>
    <x v="10"/>
    <n v="16800"/>
    <m/>
    <m/>
    <m/>
    <m/>
  </r>
  <r>
    <x v="978"/>
    <x v="200"/>
    <s v="C064"/>
    <x v="10"/>
    <s v="Kochi"/>
    <x v="1"/>
    <s v="P030"/>
    <x v="6"/>
    <x v="1"/>
    <n v="1"/>
    <x v="6"/>
    <n v="3500"/>
    <m/>
    <m/>
    <m/>
    <m/>
  </r>
  <r>
    <x v="979"/>
    <x v="26"/>
    <s v="C061"/>
    <x v="21"/>
    <s v="Bengaluru"/>
    <x v="1"/>
    <s v="P004"/>
    <x v="19"/>
    <x v="2"/>
    <n v="1"/>
    <x v="17"/>
    <n v="22000"/>
    <m/>
    <m/>
    <m/>
    <m/>
  </r>
  <r>
    <x v="980"/>
    <x v="272"/>
    <s v="C046"/>
    <x v="54"/>
    <s v="Chennai"/>
    <x v="1"/>
    <s v="P006"/>
    <x v="3"/>
    <x v="2"/>
    <n v="5"/>
    <x v="3"/>
    <n v="60000"/>
    <m/>
    <m/>
    <m/>
    <m/>
  </r>
  <r>
    <x v="981"/>
    <x v="254"/>
    <s v="C041"/>
    <x v="65"/>
    <s v="Mumbai"/>
    <x v="2"/>
    <s v="P016"/>
    <x v="8"/>
    <x v="0"/>
    <n v="1"/>
    <x v="8"/>
    <n v="2200"/>
    <m/>
    <m/>
    <m/>
    <m/>
  </r>
  <r>
    <x v="982"/>
    <x v="153"/>
    <s v="C064"/>
    <x v="10"/>
    <s v="Kochi"/>
    <x v="1"/>
    <s v="P006"/>
    <x v="3"/>
    <x v="2"/>
    <n v="2"/>
    <x v="3"/>
    <n v="24000"/>
    <m/>
    <m/>
    <m/>
    <m/>
  </r>
  <r>
    <x v="983"/>
    <x v="89"/>
    <s v="C037"/>
    <x v="17"/>
    <s v="Kolkata"/>
    <x v="0"/>
    <s v="P007"/>
    <x v="13"/>
    <x v="2"/>
    <n v="1"/>
    <x v="11"/>
    <n v="18000"/>
    <m/>
    <m/>
    <m/>
    <m/>
  </r>
  <r>
    <x v="984"/>
    <x v="333"/>
    <s v="C070"/>
    <x v="24"/>
    <s v="Guwahati"/>
    <x v="0"/>
    <s v="P027"/>
    <x v="29"/>
    <x v="1"/>
    <n v="2"/>
    <x v="25"/>
    <n v="11000"/>
    <m/>
    <m/>
    <m/>
    <m/>
  </r>
  <r>
    <x v="985"/>
    <x v="208"/>
    <s v="C023"/>
    <x v="44"/>
    <s v="Bhubaneswar"/>
    <x v="0"/>
    <s v="P017"/>
    <x v="2"/>
    <x v="0"/>
    <n v="3"/>
    <x v="2"/>
    <n v="45000"/>
    <m/>
    <m/>
    <m/>
    <m/>
  </r>
  <r>
    <x v="986"/>
    <x v="332"/>
    <s v="C052"/>
    <x v="5"/>
    <s v="Chandigarh"/>
    <x v="3"/>
    <s v="P014"/>
    <x v="0"/>
    <x v="0"/>
    <n v="2"/>
    <x v="0"/>
    <n v="22000"/>
    <m/>
    <m/>
    <m/>
    <m/>
  </r>
  <r>
    <x v="987"/>
    <x v="308"/>
    <s v="C032"/>
    <x v="58"/>
    <s v="Kochi"/>
    <x v="1"/>
    <s v="P004"/>
    <x v="19"/>
    <x v="2"/>
    <n v="4"/>
    <x v="17"/>
    <n v="88000"/>
    <m/>
    <m/>
    <m/>
    <m/>
  </r>
  <r>
    <x v="988"/>
    <x v="203"/>
    <s v="C001"/>
    <x v="42"/>
    <s v="Delhi"/>
    <x v="3"/>
    <s v="P004"/>
    <x v="19"/>
    <x v="2"/>
    <n v="1"/>
    <x v="17"/>
    <n v="22000"/>
    <m/>
    <m/>
    <m/>
    <m/>
  </r>
  <r>
    <x v="989"/>
    <x v="334"/>
    <s v="C054"/>
    <x v="51"/>
    <s v="Guwahati"/>
    <x v="0"/>
    <s v="P001"/>
    <x v="23"/>
    <x v="2"/>
    <n v="2"/>
    <x v="20"/>
    <n v="130000"/>
    <m/>
    <m/>
    <m/>
    <m/>
  </r>
  <r>
    <x v="990"/>
    <x v="156"/>
    <s v="C036"/>
    <x v="15"/>
    <s v="Chandigarh"/>
    <x v="3"/>
    <s v="P028"/>
    <x v="20"/>
    <x v="1"/>
    <n v="1"/>
    <x v="18"/>
    <n v="1400"/>
    <m/>
    <m/>
    <m/>
    <m/>
  </r>
  <r>
    <x v="991"/>
    <x v="109"/>
    <s v="C038"/>
    <x v="56"/>
    <s v="Guwahati"/>
    <x v="0"/>
    <s v="P002"/>
    <x v="17"/>
    <x v="2"/>
    <n v="1"/>
    <x v="15"/>
    <n v="52000"/>
    <m/>
    <m/>
    <m/>
    <m/>
  </r>
  <r>
    <x v="992"/>
    <x v="167"/>
    <s v="C063"/>
    <x v="45"/>
    <s v="Hyderabad"/>
    <x v="1"/>
    <s v="P024"/>
    <x v="11"/>
    <x v="3"/>
    <n v="1"/>
    <x v="9"/>
    <n v="3000"/>
    <m/>
    <m/>
    <m/>
    <m/>
  </r>
  <r>
    <x v="993"/>
    <x v="33"/>
    <s v="C037"/>
    <x v="17"/>
    <s v="Kolkata"/>
    <x v="0"/>
    <s v="P017"/>
    <x v="2"/>
    <x v="0"/>
    <n v="1"/>
    <x v="2"/>
    <n v="15000"/>
    <m/>
    <m/>
    <m/>
    <m/>
  </r>
  <r>
    <x v="994"/>
    <x v="105"/>
    <s v="C052"/>
    <x v="5"/>
    <s v="Chandigarh"/>
    <x v="3"/>
    <s v="P022"/>
    <x v="18"/>
    <x v="3"/>
    <n v="1"/>
    <x v="16"/>
    <n v="4800"/>
    <m/>
    <m/>
    <m/>
    <m/>
  </r>
  <r>
    <x v="995"/>
    <x v="335"/>
    <s v="C002"/>
    <x v="34"/>
    <s v="Jaipur"/>
    <x v="3"/>
    <s v="P028"/>
    <x v="20"/>
    <x v="1"/>
    <n v="2"/>
    <x v="18"/>
    <n v="2800"/>
    <m/>
    <m/>
    <m/>
    <m/>
  </r>
  <r>
    <x v="996"/>
    <x v="155"/>
    <s v="C049"/>
    <x v="29"/>
    <s v="Delhi"/>
    <x v="3"/>
    <s v="P003"/>
    <x v="4"/>
    <x v="2"/>
    <n v="3"/>
    <x v="4"/>
    <n v="90000"/>
    <m/>
    <m/>
    <m/>
    <m/>
  </r>
  <r>
    <x v="997"/>
    <x v="336"/>
    <s v="C022"/>
    <x v="18"/>
    <s v="Guwahati"/>
    <x v="0"/>
    <s v="P025"/>
    <x v="26"/>
    <x v="3"/>
    <n v="1"/>
    <x v="22"/>
    <n v="3800"/>
    <m/>
    <m/>
    <m/>
    <m/>
  </r>
  <r>
    <x v="998"/>
    <x v="263"/>
    <s v="C014"/>
    <x v="70"/>
    <s v="Chennai"/>
    <x v="1"/>
    <s v="P010"/>
    <x v="10"/>
    <x v="2"/>
    <n v="1"/>
    <x v="8"/>
    <n v="2200"/>
    <m/>
    <m/>
    <m/>
    <m/>
  </r>
  <r>
    <x v="999"/>
    <x v="148"/>
    <s v="C050"/>
    <x v="14"/>
    <s v="Jaipur"/>
    <x v="3"/>
    <s v="P002"/>
    <x v="17"/>
    <x v="2"/>
    <n v="1"/>
    <x v="15"/>
    <n v="52000"/>
    <m/>
    <m/>
    <m/>
    <m/>
  </r>
  <r>
    <x v="1000"/>
    <x v="295"/>
    <s v="C024"/>
    <x v="6"/>
    <s v="Patna"/>
    <x v="0"/>
    <s v="P007"/>
    <x v="13"/>
    <x v="2"/>
    <n v="2"/>
    <x v="11"/>
    <n v="36000"/>
    <m/>
    <m/>
    <m/>
    <m/>
  </r>
  <r>
    <x v="1001"/>
    <x v="269"/>
    <s v="C031"/>
    <x v="2"/>
    <s v="Hyderabad"/>
    <x v="1"/>
    <s v="P021"/>
    <x v="9"/>
    <x v="3"/>
    <n v="1"/>
    <x v="1"/>
    <n v="2400"/>
    <m/>
    <m/>
    <m/>
    <m/>
  </r>
  <r>
    <x v="1002"/>
    <x v="57"/>
    <s v="C053"/>
    <x v="57"/>
    <s v="Kolkata"/>
    <x v="0"/>
    <s v="P007"/>
    <x v="13"/>
    <x v="2"/>
    <n v="2"/>
    <x v="11"/>
    <n v="36000"/>
    <m/>
    <m/>
    <m/>
    <m/>
  </r>
  <r>
    <x v="1003"/>
    <x v="149"/>
    <s v="C001"/>
    <x v="42"/>
    <s v="Delhi"/>
    <x v="3"/>
    <s v="P017"/>
    <x v="2"/>
    <x v="0"/>
    <n v="1"/>
    <x v="2"/>
    <n v="15000"/>
    <m/>
    <m/>
    <m/>
    <m/>
  </r>
  <r>
    <x v="1004"/>
    <x v="190"/>
    <s v="C006"/>
    <x v="36"/>
    <s v="Guwahati"/>
    <x v="0"/>
    <s v="P002"/>
    <x v="17"/>
    <x v="2"/>
    <n v="1"/>
    <x v="15"/>
    <n v="52000"/>
    <m/>
    <m/>
    <m/>
    <m/>
  </r>
  <r>
    <x v="1005"/>
    <x v="131"/>
    <s v="C064"/>
    <x v="10"/>
    <s v="Kochi"/>
    <x v="1"/>
    <s v="P004"/>
    <x v="19"/>
    <x v="2"/>
    <n v="3"/>
    <x v="17"/>
    <n v="66000"/>
    <m/>
    <m/>
    <m/>
    <m/>
  </r>
  <r>
    <x v="1006"/>
    <x v="249"/>
    <s v="C016"/>
    <x v="39"/>
    <s v="Kochi"/>
    <x v="1"/>
    <s v="P014"/>
    <x v="0"/>
    <x v="0"/>
    <n v="2"/>
    <x v="0"/>
    <n v="22000"/>
    <m/>
    <m/>
    <m/>
    <m/>
  </r>
  <r>
    <x v="1007"/>
    <x v="55"/>
    <s v="C013"/>
    <x v="35"/>
    <s v="Bengaluru"/>
    <x v="1"/>
    <s v="P016"/>
    <x v="8"/>
    <x v="0"/>
    <n v="1"/>
    <x v="8"/>
    <n v="2200"/>
    <m/>
    <m/>
    <m/>
    <m/>
  </r>
  <r>
    <x v="1008"/>
    <x v="240"/>
    <s v="C061"/>
    <x v="21"/>
    <s v="Bengaluru"/>
    <x v="1"/>
    <s v="P023"/>
    <x v="25"/>
    <x v="3"/>
    <n v="1"/>
    <x v="10"/>
    <n v="4200"/>
    <m/>
    <m/>
    <m/>
    <m/>
  </r>
  <r>
    <x v="1009"/>
    <x v="11"/>
    <s v="C035"/>
    <x v="16"/>
    <s v="Lucknow"/>
    <x v="3"/>
    <s v="P030"/>
    <x v="6"/>
    <x v="1"/>
    <n v="2"/>
    <x v="6"/>
    <n v="7000"/>
    <m/>
    <m/>
    <m/>
    <m/>
  </r>
  <r>
    <x v="1010"/>
    <x v="310"/>
    <s v="C043"/>
    <x v="3"/>
    <s v="Ahmedabad"/>
    <x v="2"/>
    <s v="P001"/>
    <x v="23"/>
    <x v="2"/>
    <n v="1"/>
    <x v="20"/>
    <n v="65000"/>
    <m/>
    <m/>
    <m/>
    <m/>
  </r>
  <r>
    <x v="1011"/>
    <x v="171"/>
    <s v="C048"/>
    <x v="26"/>
    <s v="Kochi"/>
    <x v="1"/>
    <s v="P007"/>
    <x v="13"/>
    <x v="2"/>
    <n v="1"/>
    <x v="11"/>
    <n v="18000"/>
    <m/>
    <m/>
    <m/>
    <m/>
  </r>
  <r>
    <x v="1012"/>
    <x v="266"/>
    <s v="C056"/>
    <x v="33"/>
    <s v="Patna"/>
    <x v="0"/>
    <s v="P007"/>
    <x v="13"/>
    <x v="2"/>
    <n v="3"/>
    <x v="11"/>
    <n v="54000"/>
    <m/>
    <m/>
    <m/>
    <m/>
  </r>
  <r>
    <x v="1013"/>
    <x v="37"/>
    <s v="C062"/>
    <x v="64"/>
    <s v="Chennai"/>
    <x v="1"/>
    <s v="P008"/>
    <x v="21"/>
    <x v="2"/>
    <n v="2"/>
    <x v="19"/>
    <n v="9000"/>
    <m/>
    <m/>
    <m/>
    <m/>
  </r>
  <r>
    <x v="1014"/>
    <x v="58"/>
    <s v="C037"/>
    <x v="17"/>
    <s v="Kolkata"/>
    <x v="0"/>
    <s v="P005"/>
    <x v="15"/>
    <x v="2"/>
    <n v="1"/>
    <x v="13"/>
    <n v="28000"/>
    <m/>
    <m/>
    <m/>
    <m/>
  </r>
  <r>
    <x v="1015"/>
    <x v="0"/>
    <s v="C024"/>
    <x v="6"/>
    <s v="Patna"/>
    <x v="0"/>
    <s v="P007"/>
    <x v="13"/>
    <x v="2"/>
    <n v="3"/>
    <x v="11"/>
    <n v="54000"/>
    <m/>
    <m/>
    <m/>
    <m/>
  </r>
  <r>
    <x v="1016"/>
    <x v="220"/>
    <s v="C033"/>
    <x v="59"/>
    <s v="Delhi"/>
    <x v="3"/>
    <s v="P020"/>
    <x v="5"/>
    <x v="3"/>
    <n v="1"/>
    <x v="5"/>
    <n v="1600"/>
    <m/>
    <m/>
    <m/>
    <m/>
  </r>
  <r>
    <x v="1017"/>
    <x v="41"/>
    <s v="C003"/>
    <x v="32"/>
    <s v="Lucknow"/>
    <x v="3"/>
    <s v="P006"/>
    <x v="3"/>
    <x v="2"/>
    <n v="1"/>
    <x v="3"/>
    <n v="12000"/>
    <m/>
    <m/>
    <m/>
    <m/>
  </r>
  <r>
    <x v="1018"/>
    <x v="70"/>
    <s v="C074"/>
    <x v="49"/>
    <s v="Pune"/>
    <x v="2"/>
    <s v="P023"/>
    <x v="25"/>
    <x v="3"/>
    <n v="2"/>
    <x v="10"/>
    <n v="8400"/>
    <m/>
    <m/>
    <m/>
    <m/>
  </r>
  <r>
    <x v="1019"/>
    <x v="1"/>
    <s v="C011"/>
    <x v="28"/>
    <s v="Ahmedabad"/>
    <x v="2"/>
    <s v="P001"/>
    <x v="23"/>
    <x v="2"/>
    <n v="3"/>
    <x v="20"/>
    <n v="195000"/>
    <m/>
    <m/>
    <m/>
    <m/>
  </r>
  <r>
    <x v="1020"/>
    <x v="8"/>
    <s v="C057"/>
    <x v="13"/>
    <s v="Mumbai"/>
    <x v="2"/>
    <s v="P008"/>
    <x v="21"/>
    <x v="2"/>
    <n v="3"/>
    <x v="19"/>
    <n v="13500"/>
    <m/>
    <m/>
    <m/>
    <m/>
  </r>
  <r>
    <x v="1021"/>
    <x v="281"/>
    <s v="C052"/>
    <x v="5"/>
    <s v="Chandigarh"/>
    <x v="3"/>
    <s v="P019"/>
    <x v="24"/>
    <x v="3"/>
    <n v="1"/>
    <x v="21"/>
    <n v="3200"/>
    <m/>
    <m/>
    <m/>
    <m/>
  </r>
  <r>
    <x v="1022"/>
    <x v="168"/>
    <s v="C014"/>
    <x v="70"/>
    <s v="Chennai"/>
    <x v="1"/>
    <s v="P014"/>
    <x v="0"/>
    <x v="0"/>
    <n v="1"/>
    <x v="0"/>
    <n v="11000"/>
    <m/>
    <m/>
    <m/>
    <m/>
  </r>
  <r>
    <x v="1023"/>
    <x v="337"/>
    <s v="C058"/>
    <x v="62"/>
    <s v="Pune"/>
    <x v="2"/>
    <s v="P029"/>
    <x v="14"/>
    <x v="1"/>
    <n v="3"/>
    <x v="12"/>
    <n v="6000"/>
    <m/>
    <m/>
    <m/>
    <m/>
  </r>
  <r>
    <x v="1024"/>
    <x v="102"/>
    <s v="C009"/>
    <x v="30"/>
    <s v="Mumbai"/>
    <x v="2"/>
    <s v="P019"/>
    <x v="24"/>
    <x v="3"/>
    <n v="1"/>
    <x v="21"/>
    <n v="3200"/>
    <m/>
    <m/>
    <m/>
    <m/>
  </r>
  <r>
    <x v="1025"/>
    <x v="14"/>
    <s v="C034"/>
    <x v="43"/>
    <s v="Jaipur"/>
    <x v="3"/>
    <s v="P009"/>
    <x v="27"/>
    <x v="2"/>
    <n v="2"/>
    <x v="23"/>
    <n v="5000"/>
    <m/>
    <m/>
    <m/>
    <m/>
  </r>
  <r>
    <x v="1026"/>
    <x v="328"/>
    <s v="C059"/>
    <x v="38"/>
    <s v="Ahmedabad"/>
    <x v="2"/>
    <s v="P001"/>
    <x v="23"/>
    <x v="2"/>
    <n v="1"/>
    <x v="20"/>
    <n v="65000"/>
    <m/>
    <m/>
    <m/>
    <m/>
  </r>
  <r>
    <x v="1027"/>
    <x v="6"/>
    <s v="C042"/>
    <x v="27"/>
    <s v="Pune"/>
    <x v="2"/>
    <s v="P004"/>
    <x v="19"/>
    <x v="2"/>
    <n v="1"/>
    <x v="17"/>
    <n v="22000"/>
    <m/>
    <m/>
    <m/>
    <m/>
  </r>
  <r>
    <x v="1028"/>
    <x v="3"/>
    <s v="C068"/>
    <x v="20"/>
    <s v="Chandigarh"/>
    <x v="3"/>
    <s v="P023"/>
    <x v="25"/>
    <x v="3"/>
    <n v="2"/>
    <x v="10"/>
    <n v="8400"/>
    <m/>
    <m/>
    <m/>
    <m/>
  </r>
  <r>
    <x v="1029"/>
    <x v="266"/>
    <s v="C008"/>
    <x v="0"/>
    <s v="Patna"/>
    <x v="0"/>
    <s v="P016"/>
    <x v="8"/>
    <x v="0"/>
    <n v="2"/>
    <x v="8"/>
    <n v="4400"/>
    <m/>
    <m/>
    <m/>
    <m/>
  </r>
  <r>
    <x v="1030"/>
    <x v="79"/>
    <s v="C003"/>
    <x v="32"/>
    <s v="Lucknow"/>
    <x v="3"/>
    <s v="P022"/>
    <x v="18"/>
    <x v="3"/>
    <n v="2"/>
    <x v="16"/>
    <n v="9600"/>
    <m/>
    <m/>
    <m/>
    <m/>
  </r>
  <r>
    <x v="1031"/>
    <x v="192"/>
    <s v="C074"/>
    <x v="49"/>
    <s v="Pune"/>
    <x v="2"/>
    <s v="P012"/>
    <x v="16"/>
    <x v="0"/>
    <n v="2"/>
    <x v="14"/>
    <n v="10000"/>
    <m/>
    <m/>
    <m/>
    <m/>
  </r>
  <r>
    <x v="1032"/>
    <x v="314"/>
    <s v="C056"/>
    <x v="33"/>
    <s v="Patna"/>
    <x v="0"/>
    <s v="P028"/>
    <x v="20"/>
    <x v="1"/>
    <n v="2"/>
    <x v="18"/>
    <n v="2800"/>
    <m/>
    <m/>
    <m/>
    <m/>
  </r>
  <r>
    <x v="1033"/>
    <x v="338"/>
    <s v="C067"/>
    <x v="9"/>
    <s v="Lucknow"/>
    <x v="3"/>
    <s v="P028"/>
    <x v="20"/>
    <x v="1"/>
    <n v="4"/>
    <x v="18"/>
    <n v="5600"/>
    <m/>
    <m/>
    <m/>
    <m/>
  </r>
  <r>
    <x v="1034"/>
    <x v="148"/>
    <s v="C047"/>
    <x v="25"/>
    <s v="Hyderabad"/>
    <x v="1"/>
    <s v="P017"/>
    <x v="2"/>
    <x v="0"/>
    <n v="1"/>
    <x v="2"/>
    <n v="15000"/>
    <m/>
    <m/>
    <m/>
    <m/>
  </r>
  <r>
    <x v="1035"/>
    <x v="226"/>
    <s v="C068"/>
    <x v="20"/>
    <s v="Chandigarh"/>
    <x v="3"/>
    <s v="P014"/>
    <x v="0"/>
    <x v="0"/>
    <n v="2"/>
    <x v="0"/>
    <n v="22000"/>
    <m/>
    <m/>
    <m/>
    <m/>
  </r>
  <r>
    <x v="1036"/>
    <x v="316"/>
    <s v="C070"/>
    <x v="24"/>
    <s v="Guwahati"/>
    <x v="0"/>
    <s v="P012"/>
    <x v="16"/>
    <x v="0"/>
    <n v="1"/>
    <x v="14"/>
    <n v="5000"/>
    <m/>
    <m/>
    <m/>
    <m/>
  </r>
  <r>
    <x v="1037"/>
    <x v="87"/>
    <s v="C010"/>
    <x v="50"/>
    <s v="Pune"/>
    <x v="2"/>
    <s v="P009"/>
    <x v="27"/>
    <x v="2"/>
    <n v="1"/>
    <x v="23"/>
    <n v="2500"/>
    <m/>
    <m/>
    <m/>
    <m/>
  </r>
  <r>
    <x v="1038"/>
    <x v="281"/>
    <s v="C037"/>
    <x v="17"/>
    <s v="Kolkata"/>
    <x v="0"/>
    <s v="P010"/>
    <x v="10"/>
    <x v="2"/>
    <n v="3"/>
    <x v="8"/>
    <n v="6600"/>
    <m/>
    <m/>
    <m/>
    <m/>
  </r>
  <r>
    <x v="1039"/>
    <x v="132"/>
    <s v="C044"/>
    <x v="61"/>
    <s v="Surat"/>
    <x v="2"/>
    <s v="P007"/>
    <x v="13"/>
    <x v="2"/>
    <n v="2"/>
    <x v="11"/>
    <n v="36000"/>
    <m/>
    <m/>
    <m/>
    <m/>
  </r>
  <r>
    <x v="1040"/>
    <x v="14"/>
    <s v="C070"/>
    <x v="24"/>
    <s v="Guwahati"/>
    <x v="0"/>
    <s v="P030"/>
    <x v="6"/>
    <x v="1"/>
    <n v="1"/>
    <x v="6"/>
    <n v="3500"/>
    <m/>
    <m/>
    <m/>
    <m/>
  </r>
  <r>
    <x v="1041"/>
    <x v="100"/>
    <s v="C025"/>
    <x v="68"/>
    <s v="Mumbai"/>
    <x v="2"/>
    <s v="P017"/>
    <x v="2"/>
    <x v="0"/>
    <n v="1"/>
    <x v="2"/>
    <n v="15000"/>
    <m/>
    <m/>
    <m/>
    <m/>
  </r>
  <r>
    <x v="1042"/>
    <x v="177"/>
    <s v="C020"/>
    <x v="74"/>
    <s v="Chandigarh"/>
    <x v="3"/>
    <s v="P030"/>
    <x v="6"/>
    <x v="1"/>
    <n v="1"/>
    <x v="6"/>
    <n v="3500"/>
    <m/>
    <m/>
    <m/>
    <m/>
  </r>
  <r>
    <x v="1043"/>
    <x v="315"/>
    <s v="C024"/>
    <x v="6"/>
    <s v="Patna"/>
    <x v="0"/>
    <s v="P024"/>
    <x v="11"/>
    <x v="3"/>
    <n v="4"/>
    <x v="9"/>
    <n v="12000"/>
    <m/>
    <m/>
    <m/>
    <m/>
  </r>
  <r>
    <x v="1044"/>
    <x v="295"/>
    <s v="C015"/>
    <x v="48"/>
    <s v="Hyderabad"/>
    <x v="1"/>
    <s v="P004"/>
    <x v="19"/>
    <x v="2"/>
    <n v="2"/>
    <x v="17"/>
    <n v="44000"/>
    <m/>
    <m/>
    <m/>
    <m/>
  </r>
  <r>
    <x v="1045"/>
    <x v="95"/>
    <s v="C025"/>
    <x v="68"/>
    <s v="Mumbai"/>
    <x v="2"/>
    <s v="P020"/>
    <x v="5"/>
    <x v="3"/>
    <n v="2"/>
    <x v="5"/>
    <n v="3200"/>
    <m/>
    <m/>
    <m/>
    <m/>
  </r>
  <r>
    <x v="1046"/>
    <x v="177"/>
    <s v="C024"/>
    <x v="6"/>
    <s v="Patna"/>
    <x v="0"/>
    <s v="P015"/>
    <x v="7"/>
    <x v="0"/>
    <n v="2"/>
    <x v="7"/>
    <n v="18000"/>
    <m/>
    <m/>
    <m/>
    <m/>
  </r>
  <r>
    <x v="1047"/>
    <x v="83"/>
    <s v="C011"/>
    <x v="28"/>
    <s v="Ahmedabad"/>
    <x v="2"/>
    <s v="P006"/>
    <x v="3"/>
    <x v="2"/>
    <n v="1"/>
    <x v="3"/>
    <n v="12000"/>
    <m/>
    <m/>
    <m/>
    <m/>
  </r>
  <r>
    <x v="1048"/>
    <x v="258"/>
    <s v="C052"/>
    <x v="5"/>
    <s v="Chandigarh"/>
    <x v="3"/>
    <s v="P005"/>
    <x v="15"/>
    <x v="2"/>
    <n v="3"/>
    <x v="13"/>
    <n v="84000"/>
    <m/>
    <m/>
    <m/>
    <m/>
  </r>
  <r>
    <x v="1049"/>
    <x v="46"/>
    <s v="C025"/>
    <x v="68"/>
    <s v="Mumbai"/>
    <x v="2"/>
    <s v="P006"/>
    <x v="3"/>
    <x v="2"/>
    <n v="1"/>
    <x v="3"/>
    <n v="12000"/>
    <m/>
    <m/>
    <m/>
    <m/>
  </r>
  <r>
    <x v="1050"/>
    <x v="313"/>
    <s v="C052"/>
    <x v="5"/>
    <s v="Chandigarh"/>
    <x v="3"/>
    <s v="P010"/>
    <x v="10"/>
    <x v="2"/>
    <n v="3"/>
    <x v="8"/>
    <n v="6600"/>
    <m/>
    <m/>
    <m/>
    <m/>
  </r>
  <r>
    <x v="1051"/>
    <x v="58"/>
    <s v="C068"/>
    <x v="20"/>
    <s v="Chandigarh"/>
    <x v="3"/>
    <s v="P005"/>
    <x v="15"/>
    <x v="2"/>
    <n v="1"/>
    <x v="13"/>
    <n v="28000"/>
    <m/>
    <m/>
    <m/>
    <m/>
  </r>
  <r>
    <x v="1052"/>
    <x v="51"/>
    <s v="C074"/>
    <x v="49"/>
    <s v="Pune"/>
    <x v="2"/>
    <s v="P014"/>
    <x v="0"/>
    <x v="0"/>
    <n v="2"/>
    <x v="0"/>
    <n v="22000"/>
    <m/>
    <m/>
    <m/>
    <m/>
  </r>
  <r>
    <x v="1053"/>
    <x v="207"/>
    <s v="C028"/>
    <x v="55"/>
    <s v="Surat"/>
    <x v="2"/>
    <s v="P011"/>
    <x v="28"/>
    <x v="0"/>
    <n v="2"/>
    <x v="24"/>
    <n v="13000"/>
    <m/>
    <m/>
    <m/>
    <m/>
  </r>
  <r>
    <x v="1054"/>
    <x v="324"/>
    <s v="C022"/>
    <x v="18"/>
    <s v="Guwahati"/>
    <x v="0"/>
    <s v="P021"/>
    <x v="9"/>
    <x v="3"/>
    <n v="2"/>
    <x v="1"/>
    <n v="4800"/>
    <m/>
    <m/>
    <m/>
    <m/>
  </r>
  <r>
    <x v="1055"/>
    <x v="233"/>
    <s v="C025"/>
    <x v="68"/>
    <s v="Mumbai"/>
    <x v="2"/>
    <s v="P021"/>
    <x v="9"/>
    <x v="3"/>
    <n v="1"/>
    <x v="1"/>
    <n v="2400"/>
    <m/>
    <m/>
    <m/>
    <m/>
  </r>
  <r>
    <x v="1056"/>
    <x v="11"/>
    <s v="C033"/>
    <x v="59"/>
    <s v="Delhi"/>
    <x v="3"/>
    <s v="P019"/>
    <x v="24"/>
    <x v="3"/>
    <n v="3"/>
    <x v="21"/>
    <n v="9600"/>
    <m/>
    <m/>
    <m/>
    <m/>
  </r>
  <r>
    <x v="1057"/>
    <x v="138"/>
    <s v="C004"/>
    <x v="41"/>
    <s v="Chandigarh"/>
    <x v="3"/>
    <s v="P003"/>
    <x v="4"/>
    <x v="2"/>
    <n v="2"/>
    <x v="4"/>
    <n v="60000"/>
    <m/>
    <m/>
    <m/>
    <m/>
  </r>
  <r>
    <x v="1058"/>
    <x v="61"/>
    <s v="C070"/>
    <x v="24"/>
    <s v="Guwahati"/>
    <x v="0"/>
    <s v="P025"/>
    <x v="26"/>
    <x v="3"/>
    <n v="1"/>
    <x v="22"/>
    <n v="3800"/>
    <m/>
    <m/>
    <m/>
    <m/>
  </r>
  <r>
    <x v="1059"/>
    <x v="152"/>
    <s v="C055"/>
    <x v="63"/>
    <s v="Bhubaneswar"/>
    <x v="0"/>
    <s v="P005"/>
    <x v="15"/>
    <x v="2"/>
    <n v="1"/>
    <x v="13"/>
    <n v="28000"/>
    <m/>
    <m/>
    <m/>
    <m/>
  </r>
  <r>
    <x v="1060"/>
    <x v="327"/>
    <s v="C036"/>
    <x v="15"/>
    <s v="Chandigarh"/>
    <x v="3"/>
    <s v="P016"/>
    <x v="8"/>
    <x v="0"/>
    <n v="1"/>
    <x v="8"/>
    <n v="2200"/>
    <m/>
    <m/>
    <m/>
    <m/>
  </r>
  <r>
    <x v="1061"/>
    <x v="169"/>
    <s v="C063"/>
    <x v="45"/>
    <s v="Hyderabad"/>
    <x v="1"/>
    <s v="P009"/>
    <x v="27"/>
    <x v="2"/>
    <n v="2"/>
    <x v="23"/>
    <n v="5000"/>
    <m/>
    <m/>
    <m/>
    <m/>
  </r>
  <r>
    <x v="1062"/>
    <x v="237"/>
    <s v="C003"/>
    <x v="32"/>
    <s v="Lucknow"/>
    <x v="3"/>
    <s v="P015"/>
    <x v="7"/>
    <x v="0"/>
    <n v="2"/>
    <x v="7"/>
    <n v="18000"/>
    <m/>
    <m/>
    <m/>
    <m/>
  </r>
  <r>
    <x v="1063"/>
    <x v="339"/>
    <s v="C027"/>
    <x v="23"/>
    <s v="Ahmedabad"/>
    <x v="2"/>
    <s v="P022"/>
    <x v="18"/>
    <x v="3"/>
    <n v="1"/>
    <x v="16"/>
    <n v="4800"/>
    <m/>
    <m/>
    <m/>
    <m/>
  </r>
  <r>
    <x v="1064"/>
    <x v="340"/>
    <s v="C054"/>
    <x v="51"/>
    <s v="Guwahati"/>
    <x v="0"/>
    <s v="P017"/>
    <x v="2"/>
    <x v="0"/>
    <n v="5"/>
    <x v="2"/>
    <n v="75000"/>
    <m/>
    <m/>
    <m/>
    <m/>
  </r>
  <r>
    <x v="1065"/>
    <x v="61"/>
    <s v="C052"/>
    <x v="5"/>
    <s v="Chandigarh"/>
    <x v="3"/>
    <s v="P013"/>
    <x v="12"/>
    <x v="0"/>
    <n v="1"/>
    <x v="10"/>
    <n v="4200"/>
    <m/>
    <m/>
    <m/>
    <m/>
  </r>
  <r>
    <x v="1066"/>
    <x v="307"/>
    <s v="C047"/>
    <x v="25"/>
    <s v="Hyderabad"/>
    <x v="1"/>
    <s v="P006"/>
    <x v="3"/>
    <x v="2"/>
    <n v="1"/>
    <x v="3"/>
    <n v="12000"/>
    <m/>
    <m/>
    <m/>
    <m/>
  </r>
  <r>
    <x v="1067"/>
    <x v="177"/>
    <s v="C027"/>
    <x v="23"/>
    <s v="Ahmedabad"/>
    <x v="2"/>
    <s v="P013"/>
    <x v="12"/>
    <x v="0"/>
    <n v="2"/>
    <x v="10"/>
    <n v="8400"/>
    <m/>
    <m/>
    <m/>
    <m/>
  </r>
  <r>
    <x v="1068"/>
    <x v="285"/>
    <s v="C027"/>
    <x v="23"/>
    <s v="Ahmedabad"/>
    <x v="2"/>
    <s v="P022"/>
    <x v="18"/>
    <x v="3"/>
    <n v="1"/>
    <x v="16"/>
    <n v="4800"/>
    <m/>
    <m/>
    <m/>
    <m/>
  </r>
  <r>
    <x v="1069"/>
    <x v="60"/>
    <s v="C003"/>
    <x v="32"/>
    <s v="Lucknow"/>
    <x v="3"/>
    <s v="P010"/>
    <x v="10"/>
    <x v="2"/>
    <n v="3"/>
    <x v="8"/>
    <n v="6600"/>
    <m/>
    <m/>
    <m/>
    <m/>
  </r>
  <r>
    <x v="1070"/>
    <x v="32"/>
    <s v="C014"/>
    <x v="70"/>
    <s v="Chennai"/>
    <x v="1"/>
    <s v="P025"/>
    <x v="26"/>
    <x v="3"/>
    <n v="1"/>
    <x v="22"/>
    <n v="3800"/>
    <m/>
    <m/>
    <m/>
    <m/>
  </r>
  <r>
    <x v="1071"/>
    <x v="272"/>
    <s v="C062"/>
    <x v="64"/>
    <s v="Chennai"/>
    <x v="1"/>
    <s v="P020"/>
    <x v="5"/>
    <x v="3"/>
    <n v="1"/>
    <x v="5"/>
    <n v="1600"/>
    <m/>
    <m/>
    <m/>
    <m/>
  </r>
  <r>
    <x v="1072"/>
    <x v="35"/>
    <s v="C002"/>
    <x v="34"/>
    <s v="Jaipur"/>
    <x v="3"/>
    <s v="P004"/>
    <x v="19"/>
    <x v="2"/>
    <n v="1"/>
    <x v="17"/>
    <n v="22000"/>
    <m/>
    <m/>
    <m/>
    <m/>
  </r>
  <r>
    <x v="1073"/>
    <x v="39"/>
    <s v="C036"/>
    <x v="15"/>
    <s v="Chandigarh"/>
    <x v="3"/>
    <s v="P015"/>
    <x v="7"/>
    <x v="0"/>
    <n v="3"/>
    <x v="7"/>
    <n v="27000"/>
    <m/>
    <m/>
    <m/>
    <m/>
  </r>
  <r>
    <x v="1074"/>
    <x v="51"/>
    <s v="C001"/>
    <x v="42"/>
    <s v="Delhi"/>
    <x v="3"/>
    <s v="P007"/>
    <x v="13"/>
    <x v="2"/>
    <n v="2"/>
    <x v="11"/>
    <n v="36000"/>
    <m/>
    <m/>
    <m/>
    <m/>
  </r>
  <r>
    <x v="1075"/>
    <x v="74"/>
    <s v="C072"/>
    <x v="46"/>
    <s v="Patna"/>
    <x v="0"/>
    <s v="P005"/>
    <x v="15"/>
    <x v="2"/>
    <n v="3"/>
    <x v="13"/>
    <n v="84000"/>
    <m/>
    <m/>
    <m/>
    <m/>
  </r>
  <r>
    <x v="1076"/>
    <x v="314"/>
    <s v="C061"/>
    <x v="21"/>
    <s v="Bengaluru"/>
    <x v="1"/>
    <s v="P025"/>
    <x v="26"/>
    <x v="3"/>
    <n v="1"/>
    <x v="22"/>
    <n v="3800"/>
    <m/>
    <m/>
    <m/>
    <m/>
  </r>
  <r>
    <x v="1077"/>
    <x v="261"/>
    <s v="C037"/>
    <x v="17"/>
    <s v="Kolkata"/>
    <x v="0"/>
    <s v="P006"/>
    <x v="3"/>
    <x v="2"/>
    <n v="1"/>
    <x v="3"/>
    <n v="12000"/>
    <m/>
    <m/>
    <m/>
    <m/>
  </r>
  <r>
    <x v="1078"/>
    <x v="237"/>
    <s v="C029"/>
    <x v="11"/>
    <s v="Bengaluru"/>
    <x v="1"/>
    <s v="P001"/>
    <x v="23"/>
    <x v="2"/>
    <n v="1"/>
    <x v="20"/>
    <n v="65000"/>
    <m/>
    <m/>
    <m/>
    <m/>
  </r>
  <r>
    <x v="1079"/>
    <x v="158"/>
    <s v="C021"/>
    <x v="4"/>
    <s v="Kolkata"/>
    <x v="0"/>
    <s v="P029"/>
    <x v="14"/>
    <x v="1"/>
    <n v="1"/>
    <x v="12"/>
    <n v="2000"/>
    <m/>
    <m/>
    <m/>
    <m/>
  </r>
  <r>
    <x v="1080"/>
    <x v="286"/>
    <s v="C032"/>
    <x v="58"/>
    <s v="Kochi"/>
    <x v="1"/>
    <s v="P015"/>
    <x v="7"/>
    <x v="0"/>
    <n v="1"/>
    <x v="7"/>
    <n v="9000"/>
    <m/>
    <m/>
    <m/>
    <m/>
  </r>
  <r>
    <x v="1081"/>
    <x v="292"/>
    <s v="C037"/>
    <x v="17"/>
    <s v="Kolkata"/>
    <x v="0"/>
    <s v="P019"/>
    <x v="24"/>
    <x v="3"/>
    <n v="1"/>
    <x v="21"/>
    <n v="3200"/>
    <m/>
    <m/>
    <m/>
    <m/>
  </r>
  <r>
    <x v="1082"/>
    <x v="68"/>
    <s v="C003"/>
    <x v="32"/>
    <s v="Lucknow"/>
    <x v="3"/>
    <s v="P013"/>
    <x v="12"/>
    <x v="0"/>
    <n v="1"/>
    <x v="10"/>
    <n v="4200"/>
    <m/>
    <m/>
    <m/>
    <m/>
  </r>
  <r>
    <x v="1083"/>
    <x v="140"/>
    <s v="C003"/>
    <x v="32"/>
    <s v="Lucknow"/>
    <x v="3"/>
    <s v="P002"/>
    <x v="17"/>
    <x v="2"/>
    <n v="2"/>
    <x v="15"/>
    <n v="104000"/>
    <m/>
    <m/>
    <m/>
    <m/>
  </r>
  <r>
    <x v="1084"/>
    <x v="119"/>
    <s v="C042"/>
    <x v="27"/>
    <s v="Pune"/>
    <x v="2"/>
    <s v="P027"/>
    <x v="29"/>
    <x v="1"/>
    <n v="1"/>
    <x v="25"/>
    <n v="5500"/>
    <m/>
    <m/>
    <m/>
    <m/>
  </r>
  <r>
    <x v="1085"/>
    <x v="188"/>
    <s v="C026"/>
    <x v="19"/>
    <s v="Pune"/>
    <x v="2"/>
    <s v="P019"/>
    <x v="24"/>
    <x v="3"/>
    <n v="3"/>
    <x v="21"/>
    <n v="9600"/>
    <m/>
    <m/>
    <m/>
    <m/>
  </r>
  <r>
    <x v="1086"/>
    <x v="38"/>
    <s v="C007"/>
    <x v="8"/>
    <s v="Bhubaneswar"/>
    <x v="0"/>
    <s v="P028"/>
    <x v="20"/>
    <x v="1"/>
    <n v="2"/>
    <x v="18"/>
    <n v="2800"/>
    <m/>
    <m/>
    <m/>
    <m/>
  </r>
  <r>
    <x v="1087"/>
    <x v="16"/>
    <s v="C074"/>
    <x v="49"/>
    <s v="Pune"/>
    <x v="2"/>
    <s v="P012"/>
    <x v="16"/>
    <x v="0"/>
    <n v="1"/>
    <x v="14"/>
    <n v="5000"/>
    <m/>
    <m/>
    <m/>
    <m/>
  </r>
  <r>
    <x v="1088"/>
    <x v="191"/>
    <s v="C011"/>
    <x v="28"/>
    <s v="Ahmedabad"/>
    <x v="2"/>
    <s v="P008"/>
    <x v="21"/>
    <x v="2"/>
    <n v="4"/>
    <x v="19"/>
    <n v="18000"/>
    <m/>
    <m/>
    <m/>
    <m/>
  </r>
  <r>
    <x v="1089"/>
    <x v="229"/>
    <s v="C029"/>
    <x v="11"/>
    <s v="Bengaluru"/>
    <x v="1"/>
    <s v="P007"/>
    <x v="13"/>
    <x v="2"/>
    <n v="1"/>
    <x v="11"/>
    <n v="18000"/>
    <m/>
    <m/>
    <m/>
    <m/>
  </r>
  <r>
    <x v="1090"/>
    <x v="257"/>
    <s v="C050"/>
    <x v="14"/>
    <s v="Jaipur"/>
    <x v="3"/>
    <s v="P012"/>
    <x v="16"/>
    <x v="0"/>
    <n v="2"/>
    <x v="14"/>
    <n v="10000"/>
    <m/>
    <m/>
    <m/>
    <m/>
  </r>
  <r>
    <x v="1091"/>
    <x v="341"/>
    <s v="C003"/>
    <x v="32"/>
    <s v="Lucknow"/>
    <x v="3"/>
    <s v="P014"/>
    <x v="0"/>
    <x v="0"/>
    <n v="1"/>
    <x v="0"/>
    <n v="11000"/>
    <m/>
    <m/>
    <m/>
    <m/>
  </r>
  <r>
    <x v="1092"/>
    <x v="57"/>
    <s v="C037"/>
    <x v="17"/>
    <s v="Kolkata"/>
    <x v="0"/>
    <s v="P021"/>
    <x v="9"/>
    <x v="3"/>
    <n v="2"/>
    <x v="1"/>
    <n v="4800"/>
    <m/>
    <m/>
    <m/>
    <m/>
  </r>
  <r>
    <x v="1093"/>
    <x v="2"/>
    <s v="C057"/>
    <x v="13"/>
    <s v="Mumbai"/>
    <x v="2"/>
    <s v="P020"/>
    <x v="5"/>
    <x v="3"/>
    <n v="1"/>
    <x v="5"/>
    <n v="1600"/>
    <m/>
    <m/>
    <m/>
    <m/>
  </r>
  <r>
    <x v="1094"/>
    <x v="151"/>
    <s v="C048"/>
    <x v="26"/>
    <s v="Kochi"/>
    <x v="1"/>
    <s v="P010"/>
    <x v="10"/>
    <x v="2"/>
    <n v="3"/>
    <x v="8"/>
    <n v="6600"/>
    <m/>
    <m/>
    <m/>
    <m/>
  </r>
  <r>
    <x v="1095"/>
    <x v="258"/>
    <s v="C071"/>
    <x v="1"/>
    <s v="Bhubaneswar"/>
    <x v="0"/>
    <s v="P006"/>
    <x v="3"/>
    <x v="2"/>
    <n v="4"/>
    <x v="3"/>
    <n v="48000"/>
    <m/>
    <m/>
    <m/>
    <m/>
  </r>
  <r>
    <x v="1096"/>
    <x v="266"/>
    <s v="C048"/>
    <x v="26"/>
    <s v="Kochi"/>
    <x v="1"/>
    <s v="P026"/>
    <x v="1"/>
    <x v="1"/>
    <n v="1"/>
    <x v="1"/>
    <n v="2400"/>
    <m/>
    <m/>
    <m/>
    <m/>
  </r>
  <r>
    <x v="1097"/>
    <x v="312"/>
    <s v="C071"/>
    <x v="1"/>
    <s v="Bhubaneswar"/>
    <x v="0"/>
    <s v="P014"/>
    <x v="0"/>
    <x v="0"/>
    <n v="1"/>
    <x v="0"/>
    <n v="11000"/>
    <m/>
    <m/>
    <m/>
    <m/>
  </r>
  <r>
    <x v="1098"/>
    <x v="35"/>
    <s v="C048"/>
    <x v="26"/>
    <s v="Kochi"/>
    <x v="1"/>
    <s v="P030"/>
    <x v="6"/>
    <x v="1"/>
    <n v="3"/>
    <x v="6"/>
    <n v="10500"/>
    <m/>
    <m/>
    <m/>
    <m/>
  </r>
  <r>
    <x v="1099"/>
    <x v="144"/>
    <s v="C054"/>
    <x v="51"/>
    <s v="Guwahati"/>
    <x v="0"/>
    <s v="P003"/>
    <x v="4"/>
    <x v="2"/>
    <n v="1"/>
    <x v="4"/>
    <n v="30000"/>
    <m/>
    <m/>
    <m/>
    <m/>
  </r>
  <r>
    <x v="1100"/>
    <x v="37"/>
    <s v="C024"/>
    <x v="6"/>
    <s v="Patna"/>
    <x v="0"/>
    <s v="P014"/>
    <x v="0"/>
    <x v="0"/>
    <n v="1"/>
    <x v="0"/>
    <n v="11000"/>
    <m/>
    <m/>
    <m/>
    <m/>
  </r>
  <r>
    <x v="1101"/>
    <x v="189"/>
    <s v="C025"/>
    <x v="68"/>
    <s v="Mumbai"/>
    <x v="2"/>
    <s v="P010"/>
    <x v="10"/>
    <x v="2"/>
    <n v="1"/>
    <x v="8"/>
    <n v="2200"/>
    <m/>
    <m/>
    <m/>
    <m/>
  </r>
  <r>
    <x v="1102"/>
    <x v="248"/>
    <s v="C068"/>
    <x v="20"/>
    <s v="Chandigarh"/>
    <x v="3"/>
    <s v="P001"/>
    <x v="23"/>
    <x v="2"/>
    <n v="1"/>
    <x v="20"/>
    <n v="65000"/>
    <m/>
    <m/>
    <m/>
    <m/>
  </r>
  <r>
    <x v="1103"/>
    <x v="90"/>
    <s v="C062"/>
    <x v="64"/>
    <s v="Chennai"/>
    <x v="1"/>
    <s v="P021"/>
    <x v="9"/>
    <x v="3"/>
    <n v="1"/>
    <x v="1"/>
    <n v="2400"/>
    <m/>
    <m/>
    <m/>
    <m/>
  </r>
  <r>
    <x v="1104"/>
    <x v="342"/>
    <s v="C071"/>
    <x v="1"/>
    <s v="Bhubaneswar"/>
    <x v="0"/>
    <s v="P001"/>
    <x v="23"/>
    <x v="2"/>
    <n v="1"/>
    <x v="20"/>
    <n v="65000"/>
    <m/>
    <m/>
    <m/>
    <m/>
  </r>
  <r>
    <x v="1105"/>
    <x v="166"/>
    <s v="C026"/>
    <x v="19"/>
    <s v="Pune"/>
    <x v="2"/>
    <s v="P020"/>
    <x v="5"/>
    <x v="3"/>
    <n v="1"/>
    <x v="5"/>
    <n v="1600"/>
    <m/>
    <m/>
    <m/>
    <m/>
  </r>
  <r>
    <x v="1106"/>
    <x v="92"/>
    <s v="C001"/>
    <x v="42"/>
    <s v="Delhi"/>
    <x v="3"/>
    <s v="P014"/>
    <x v="0"/>
    <x v="0"/>
    <n v="1"/>
    <x v="0"/>
    <n v="11000"/>
    <m/>
    <m/>
    <m/>
    <m/>
  </r>
  <r>
    <x v="1107"/>
    <x v="112"/>
    <s v="C007"/>
    <x v="8"/>
    <s v="Bhubaneswar"/>
    <x v="0"/>
    <s v="P010"/>
    <x v="10"/>
    <x v="2"/>
    <n v="4"/>
    <x v="8"/>
    <n v="8800"/>
    <m/>
    <m/>
    <m/>
    <m/>
  </r>
  <r>
    <x v="1108"/>
    <x v="32"/>
    <s v="C061"/>
    <x v="21"/>
    <s v="Bengaluru"/>
    <x v="1"/>
    <s v="P021"/>
    <x v="9"/>
    <x v="3"/>
    <n v="3"/>
    <x v="1"/>
    <n v="7200"/>
    <m/>
    <m/>
    <m/>
    <m/>
  </r>
  <r>
    <x v="1109"/>
    <x v="192"/>
    <s v="C054"/>
    <x v="51"/>
    <s v="Guwahati"/>
    <x v="0"/>
    <s v="P006"/>
    <x v="3"/>
    <x v="2"/>
    <n v="1"/>
    <x v="3"/>
    <n v="12000"/>
    <m/>
    <m/>
    <m/>
    <m/>
  </r>
  <r>
    <x v="1110"/>
    <x v="136"/>
    <s v="C043"/>
    <x v="3"/>
    <s v="Ahmedabad"/>
    <x v="2"/>
    <s v="P016"/>
    <x v="8"/>
    <x v="0"/>
    <n v="1"/>
    <x v="8"/>
    <n v="2200"/>
    <m/>
    <m/>
    <m/>
    <m/>
  </r>
  <r>
    <x v="1111"/>
    <x v="285"/>
    <s v="C037"/>
    <x v="17"/>
    <s v="Kolkata"/>
    <x v="0"/>
    <s v="P004"/>
    <x v="19"/>
    <x v="2"/>
    <n v="1"/>
    <x v="17"/>
    <n v="22000"/>
    <m/>
    <m/>
    <m/>
    <m/>
  </r>
  <r>
    <x v="1112"/>
    <x v="138"/>
    <s v="C031"/>
    <x v="2"/>
    <s v="Hyderabad"/>
    <x v="1"/>
    <s v="P013"/>
    <x v="12"/>
    <x v="0"/>
    <n v="1"/>
    <x v="10"/>
    <n v="4200"/>
    <m/>
    <m/>
    <m/>
    <m/>
  </r>
  <r>
    <x v="1113"/>
    <x v="121"/>
    <s v="C056"/>
    <x v="33"/>
    <s v="Patna"/>
    <x v="0"/>
    <s v="P010"/>
    <x v="10"/>
    <x v="2"/>
    <n v="1"/>
    <x v="8"/>
    <n v="2200"/>
    <m/>
    <m/>
    <m/>
    <m/>
  </r>
  <r>
    <x v="1114"/>
    <x v="154"/>
    <s v="C037"/>
    <x v="17"/>
    <s v="Kolkata"/>
    <x v="0"/>
    <s v="P011"/>
    <x v="28"/>
    <x v="0"/>
    <n v="1"/>
    <x v="24"/>
    <n v="6500"/>
    <m/>
    <m/>
    <m/>
    <m/>
  </r>
  <r>
    <x v="1115"/>
    <x v="36"/>
    <s v="C024"/>
    <x v="6"/>
    <s v="Patna"/>
    <x v="0"/>
    <s v="P014"/>
    <x v="0"/>
    <x v="0"/>
    <n v="3"/>
    <x v="0"/>
    <n v="33000"/>
    <m/>
    <m/>
    <m/>
    <m/>
  </r>
  <r>
    <x v="1116"/>
    <x v="71"/>
    <s v="C052"/>
    <x v="5"/>
    <s v="Chandigarh"/>
    <x v="3"/>
    <s v="P003"/>
    <x v="4"/>
    <x v="2"/>
    <n v="2"/>
    <x v="4"/>
    <n v="60000"/>
    <m/>
    <m/>
    <m/>
    <m/>
  </r>
  <r>
    <x v="1117"/>
    <x v="73"/>
    <s v="C025"/>
    <x v="68"/>
    <s v="Mumbai"/>
    <x v="2"/>
    <s v="P003"/>
    <x v="4"/>
    <x v="2"/>
    <n v="1"/>
    <x v="4"/>
    <n v="30000"/>
    <m/>
    <m/>
    <m/>
    <m/>
  </r>
  <r>
    <x v="1118"/>
    <x v="118"/>
    <s v="C053"/>
    <x v="57"/>
    <s v="Kolkata"/>
    <x v="0"/>
    <s v="P007"/>
    <x v="13"/>
    <x v="2"/>
    <n v="2"/>
    <x v="11"/>
    <n v="36000"/>
    <m/>
    <m/>
    <m/>
    <m/>
  </r>
  <r>
    <x v="1119"/>
    <x v="228"/>
    <s v="C015"/>
    <x v="48"/>
    <s v="Hyderabad"/>
    <x v="1"/>
    <s v="P019"/>
    <x v="24"/>
    <x v="3"/>
    <n v="3"/>
    <x v="21"/>
    <n v="9600"/>
    <m/>
    <m/>
    <m/>
    <m/>
  </r>
  <r>
    <x v="1120"/>
    <x v="248"/>
    <s v="C010"/>
    <x v="50"/>
    <s v="Pune"/>
    <x v="2"/>
    <s v="P017"/>
    <x v="2"/>
    <x v="0"/>
    <n v="3"/>
    <x v="2"/>
    <n v="45000"/>
    <m/>
    <m/>
    <m/>
    <m/>
  </r>
  <r>
    <x v="1121"/>
    <x v="177"/>
    <s v="C035"/>
    <x v="16"/>
    <s v="Lucknow"/>
    <x v="3"/>
    <s v="P014"/>
    <x v="0"/>
    <x v="0"/>
    <n v="3"/>
    <x v="0"/>
    <n v="33000"/>
    <m/>
    <m/>
    <m/>
    <m/>
  </r>
  <r>
    <x v="1122"/>
    <x v="136"/>
    <s v="C041"/>
    <x v="65"/>
    <s v="Mumbai"/>
    <x v="2"/>
    <s v="P007"/>
    <x v="13"/>
    <x v="2"/>
    <n v="1"/>
    <x v="11"/>
    <n v="18000"/>
    <m/>
    <m/>
    <m/>
    <m/>
  </r>
  <r>
    <x v="1123"/>
    <x v="262"/>
    <s v="C003"/>
    <x v="32"/>
    <s v="Lucknow"/>
    <x v="3"/>
    <s v="P007"/>
    <x v="13"/>
    <x v="2"/>
    <n v="3"/>
    <x v="11"/>
    <n v="54000"/>
    <m/>
    <m/>
    <m/>
    <m/>
  </r>
  <r>
    <x v="1124"/>
    <x v="16"/>
    <s v="C034"/>
    <x v="43"/>
    <s v="Jaipur"/>
    <x v="3"/>
    <s v="P020"/>
    <x v="5"/>
    <x v="3"/>
    <n v="2"/>
    <x v="5"/>
    <n v="3200"/>
    <m/>
    <m/>
    <m/>
    <m/>
  </r>
  <r>
    <x v="1125"/>
    <x v="157"/>
    <s v="C011"/>
    <x v="28"/>
    <s v="Ahmedabad"/>
    <x v="2"/>
    <s v="P022"/>
    <x v="18"/>
    <x v="3"/>
    <n v="3"/>
    <x v="16"/>
    <n v="14400"/>
    <m/>
    <m/>
    <m/>
    <m/>
  </r>
  <r>
    <x v="1126"/>
    <x v="343"/>
    <s v="C001"/>
    <x v="42"/>
    <s v="Delhi"/>
    <x v="3"/>
    <s v="P021"/>
    <x v="9"/>
    <x v="3"/>
    <n v="5"/>
    <x v="1"/>
    <n v="12000"/>
    <m/>
    <m/>
    <m/>
    <m/>
  </r>
  <r>
    <x v="1127"/>
    <x v="144"/>
    <s v="C063"/>
    <x v="45"/>
    <s v="Hyderabad"/>
    <x v="1"/>
    <s v="P003"/>
    <x v="4"/>
    <x v="2"/>
    <n v="2"/>
    <x v="4"/>
    <n v="60000"/>
    <m/>
    <m/>
    <m/>
    <m/>
  </r>
  <r>
    <x v="1128"/>
    <x v="181"/>
    <s v="C052"/>
    <x v="5"/>
    <s v="Chandigarh"/>
    <x v="3"/>
    <s v="P016"/>
    <x v="8"/>
    <x v="0"/>
    <n v="2"/>
    <x v="8"/>
    <n v="4400"/>
    <m/>
    <m/>
    <m/>
    <m/>
  </r>
  <r>
    <x v="1129"/>
    <x v="305"/>
    <s v="C071"/>
    <x v="1"/>
    <s v="Bhubaneswar"/>
    <x v="0"/>
    <s v="P006"/>
    <x v="3"/>
    <x v="2"/>
    <n v="2"/>
    <x v="3"/>
    <n v="24000"/>
    <m/>
    <m/>
    <m/>
    <m/>
  </r>
  <r>
    <x v="1130"/>
    <x v="43"/>
    <s v="C057"/>
    <x v="13"/>
    <s v="Mumbai"/>
    <x v="2"/>
    <s v="P001"/>
    <x v="23"/>
    <x v="2"/>
    <n v="1"/>
    <x v="20"/>
    <n v="65000"/>
    <m/>
    <m/>
    <m/>
    <m/>
  </r>
  <r>
    <x v="1131"/>
    <x v="52"/>
    <s v="C064"/>
    <x v="10"/>
    <s v="Kochi"/>
    <x v="1"/>
    <s v="P023"/>
    <x v="25"/>
    <x v="3"/>
    <n v="2"/>
    <x v="10"/>
    <n v="8400"/>
    <m/>
    <m/>
    <m/>
    <m/>
  </r>
  <r>
    <x v="1132"/>
    <x v="323"/>
    <s v="C039"/>
    <x v="60"/>
    <s v="Bhubaneswar"/>
    <x v="0"/>
    <s v="P008"/>
    <x v="21"/>
    <x v="2"/>
    <n v="1"/>
    <x v="19"/>
    <n v="4500"/>
    <m/>
    <m/>
    <m/>
    <m/>
  </r>
  <r>
    <x v="1133"/>
    <x v="90"/>
    <s v="C011"/>
    <x v="28"/>
    <s v="Ahmedabad"/>
    <x v="2"/>
    <s v="P021"/>
    <x v="9"/>
    <x v="3"/>
    <n v="2"/>
    <x v="1"/>
    <n v="4800"/>
    <m/>
    <m/>
    <m/>
    <m/>
  </r>
  <r>
    <x v="1134"/>
    <x v="168"/>
    <s v="C003"/>
    <x v="32"/>
    <s v="Lucknow"/>
    <x v="3"/>
    <s v="P019"/>
    <x v="24"/>
    <x v="3"/>
    <n v="4"/>
    <x v="21"/>
    <n v="12800"/>
    <m/>
    <m/>
    <m/>
    <m/>
  </r>
  <r>
    <x v="1135"/>
    <x v="320"/>
    <s v="C056"/>
    <x v="33"/>
    <s v="Patna"/>
    <x v="0"/>
    <s v="P005"/>
    <x v="15"/>
    <x v="2"/>
    <n v="2"/>
    <x v="13"/>
    <n v="56000"/>
    <m/>
    <m/>
    <m/>
    <m/>
  </r>
  <r>
    <x v="1136"/>
    <x v="246"/>
    <s v="C053"/>
    <x v="57"/>
    <s v="Kolkata"/>
    <x v="0"/>
    <s v="P019"/>
    <x v="24"/>
    <x v="3"/>
    <n v="2"/>
    <x v="21"/>
    <n v="6400"/>
    <m/>
    <m/>
    <m/>
    <m/>
  </r>
  <r>
    <x v="1137"/>
    <x v="107"/>
    <s v="C071"/>
    <x v="1"/>
    <s v="Bhubaneswar"/>
    <x v="0"/>
    <s v="P012"/>
    <x v="16"/>
    <x v="0"/>
    <n v="1"/>
    <x v="14"/>
    <n v="5000"/>
    <m/>
    <m/>
    <m/>
    <m/>
  </r>
  <r>
    <x v="1138"/>
    <x v="101"/>
    <s v="C003"/>
    <x v="32"/>
    <s v="Lucknow"/>
    <x v="3"/>
    <s v="P001"/>
    <x v="23"/>
    <x v="2"/>
    <n v="1"/>
    <x v="20"/>
    <n v="65000"/>
    <m/>
    <m/>
    <m/>
    <m/>
  </r>
  <r>
    <x v="1139"/>
    <x v="279"/>
    <s v="C040"/>
    <x v="31"/>
    <s v="Patna"/>
    <x v="0"/>
    <s v="P013"/>
    <x v="12"/>
    <x v="0"/>
    <n v="1"/>
    <x v="10"/>
    <n v="4200"/>
    <m/>
    <m/>
    <m/>
    <m/>
  </r>
  <r>
    <x v="1140"/>
    <x v="330"/>
    <s v="C068"/>
    <x v="20"/>
    <s v="Chandigarh"/>
    <x v="3"/>
    <s v="P019"/>
    <x v="24"/>
    <x v="3"/>
    <n v="1"/>
    <x v="21"/>
    <n v="3200"/>
    <m/>
    <m/>
    <m/>
    <m/>
  </r>
  <r>
    <x v="1141"/>
    <x v="243"/>
    <s v="C011"/>
    <x v="28"/>
    <s v="Ahmedabad"/>
    <x v="2"/>
    <s v="P009"/>
    <x v="27"/>
    <x v="2"/>
    <n v="1"/>
    <x v="23"/>
    <n v="2500"/>
    <m/>
    <m/>
    <m/>
    <m/>
  </r>
  <r>
    <x v="1142"/>
    <x v="118"/>
    <s v="C037"/>
    <x v="17"/>
    <s v="Kolkata"/>
    <x v="0"/>
    <s v="P004"/>
    <x v="19"/>
    <x v="2"/>
    <n v="3"/>
    <x v="17"/>
    <n v="66000"/>
    <m/>
    <m/>
    <m/>
    <m/>
  </r>
  <r>
    <x v="1143"/>
    <x v="258"/>
    <s v="C022"/>
    <x v="18"/>
    <s v="Guwahati"/>
    <x v="0"/>
    <s v="P022"/>
    <x v="18"/>
    <x v="3"/>
    <n v="3"/>
    <x v="16"/>
    <n v="14400"/>
    <m/>
    <m/>
    <m/>
    <m/>
  </r>
  <r>
    <x v="1144"/>
    <x v="43"/>
    <s v="C062"/>
    <x v="64"/>
    <s v="Chennai"/>
    <x v="1"/>
    <s v="P006"/>
    <x v="3"/>
    <x v="2"/>
    <n v="1"/>
    <x v="3"/>
    <n v="12000"/>
    <m/>
    <m/>
    <m/>
    <m/>
  </r>
  <r>
    <x v="1145"/>
    <x v="104"/>
    <s v="C004"/>
    <x v="41"/>
    <s v="Chandigarh"/>
    <x v="3"/>
    <s v="P016"/>
    <x v="8"/>
    <x v="0"/>
    <n v="3"/>
    <x v="8"/>
    <n v="6600"/>
    <m/>
    <m/>
    <m/>
    <m/>
  </r>
  <r>
    <x v="1146"/>
    <x v="344"/>
    <s v="C036"/>
    <x v="15"/>
    <s v="Chandigarh"/>
    <x v="3"/>
    <s v="P029"/>
    <x v="14"/>
    <x v="1"/>
    <n v="1"/>
    <x v="12"/>
    <n v="2000"/>
    <m/>
    <m/>
    <m/>
    <m/>
  </r>
  <r>
    <x v="1147"/>
    <x v="13"/>
    <s v="C056"/>
    <x v="33"/>
    <s v="Patna"/>
    <x v="0"/>
    <s v="P006"/>
    <x v="3"/>
    <x v="2"/>
    <n v="3"/>
    <x v="3"/>
    <n v="36000"/>
    <m/>
    <m/>
    <m/>
    <m/>
  </r>
  <r>
    <x v="1148"/>
    <x v="103"/>
    <s v="C009"/>
    <x v="30"/>
    <s v="Mumbai"/>
    <x v="2"/>
    <s v="P003"/>
    <x v="4"/>
    <x v="2"/>
    <n v="1"/>
    <x v="4"/>
    <n v="30000"/>
    <m/>
    <m/>
    <m/>
    <m/>
  </r>
  <r>
    <x v="1149"/>
    <x v="15"/>
    <s v="C048"/>
    <x v="26"/>
    <s v="Kochi"/>
    <x v="1"/>
    <s v="P013"/>
    <x v="12"/>
    <x v="0"/>
    <n v="1"/>
    <x v="10"/>
    <n v="4200"/>
    <m/>
    <m/>
    <m/>
    <m/>
  </r>
  <r>
    <x v="1150"/>
    <x v="72"/>
    <s v="C070"/>
    <x v="24"/>
    <s v="Guwahati"/>
    <x v="0"/>
    <s v="P018"/>
    <x v="22"/>
    <x v="0"/>
    <n v="1"/>
    <x v="9"/>
    <n v="3000"/>
    <m/>
    <m/>
    <m/>
    <m/>
  </r>
  <r>
    <x v="1151"/>
    <x v="209"/>
    <s v="C039"/>
    <x v="60"/>
    <s v="Bhubaneswar"/>
    <x v="0"/>
    <s v="P001"/>
    <x v="23"/>
    <x v="2"/>
    <n v="2"/>
    <x v="20"/>
    <n v="130000"/>
    <m/>
    <m/>
    <m/>
    <m/>
  </r>
  <r>
    <x v="1152"/>
    <x v="320"/>
    <s v="C068"/>
    <x v="20"/>
    <s v="Chandigarh"/>
    <x v="3"/>
    <s v="P017"/>
    <x v="2"/>
    <x v="0"/>
    <n v="1"/>
    <x v="2"/>
    <n v="15000"/>
    <m/>
    <m/>
    <m/>
    <m/>
  </r>
  <r>
    <x v="1153"/>
    <x v="255"/>
    <s v="C055"/>
    <x v="63"/>
    <s v="Bhubaneswar"/>
    <x v="0"/>
    <s v="P015"/>
    <x v="7"/>
    <x v="0"/>
    <n v="3"/>
    <x v="7"/>
    <n v="27000"/>
    <m/>
    <m/>
    <m/>
    <m/>
  </r>
  <r>
    <x v="1154"/>
    <x v="113"/>
    <s v="C056"/>
    <x v="33"/>
    <s v="Patna"/>
    <x v="0"/>
    <s v="P003"/>
    <x v="4"/>
    <x v="2"/>
    <n v="1"/>
    <x v="4"/>
    <n v="30000"/>
    <m/>
    <m/>
    <m/>
    <m/>
  </r>
  <r>
    <x v="1155"/>
    <x v="142"/>
    <s v="C066"/>
    <x v="67"/>
    <s v="Jaipur"/>
    <x v="3"/>
    <s v="P006"/>
    <x v="3"/>
    <x v="2"/>
    <n v="1"/>
    <x v="3"/>
    <n v="12000"/>
    <m/>
    <m/>
    <m/>
    <m/>
  </r>
  <r>
    <x v="1156"/>
    <x v="89"/>
    <s v="C057"/>
    <x v="13"/>
    <s v="Mumbai"/>
    <x v="2"/>
    <s v="P025"/>
    <x v="26"/>
    <x v="3"/>
    <n v="1"/>
    <x v="22"/>
    <n v="3800"/>
    <m/>
    <m/>
    <m/>
    <m/>
  </r>
  <r>
    <x v="1157"/>
    <x v="3"/>
    <s v="C033"/>
    <x v="59"/>
    <s v="Delhi"/>
    <x v="3"/>
    <s v="P017"/>
    <x v="2"/>
    <x v="0"/>
    <n v="1"/>
    <x v="2"/>
    <n v="15000"/>
    <m/>
    <m/>
    <m/>
    <m/>
  </r>
  <r>
    <x v="1158"/>
    <x v="263"/>
    <s v="C059"/>
    <x v="38"/>
    <s v="Ahmedabad"/>
    <x v="2"/>
    <s v="P028"/>
    <x v="20"/>
    <x v="1"/>
    <n v="2"/>
    <x v="18"/>
    <n v="2800"/>
    <m/>
    <m/>
    <m/>
    <m/>
  </r>
  <r>
    <x v="1159"/>
    <x v="217"/>
    <s v="C015"/>
    <x v="48"/>
    <s v="Hyderabad"/>
    <x v="1"/>
    <s v="P021"/>
    <x v="9"/>
    <x v="3"/>
    <n v="2"/>
    <x v="1"/>
    <n v="4800"/>
    <m/>
    <m/>
    <m/>
    <m/>
  </r>
  <r>
    <x v="1160"/>
    <x v="13"/>
    <s v="C051"/>
    <x v="53"/>
    <s v="Lucknow"/>
    <x v="3"/>
    <s v="P020"/>
    <x v="5"/>
    <x v="3"/>
    <n v="2"/>
    <x v="5"/>
    <n v="3200"/>
    <m/>
    <m/>
    <m/>
    <m/>
  </r>
  <r>
    <x v="1161"/>
    <x v="329"/>
    <s v="C048"/>
    <x v="26"/>
    <s v="Kochi"/>
    <x v="1"/>
    <s v="P015"/>
    <x v="7"/>
    <x v="0"/>
    <n v="1"/>
    <x v="7"/>
    <n v="9000"/>
    <m/>
    <m/>
    <m/>
    <m/>
  </r>
  <r>
    <x v="1162"/>
    <x v="188"/>
    <s v="C037"/>
    <x v="17"/>
    <s v="Kolkata"/>
    <x v="0"/>
    <s v="P015"/>
    <x v="7"/>
    <x v="0"/>
    <n v="1"/>
    <x v="7"/>
    <n v="9000"/>
    <m/>
    <m/>
    <m/>
    <m/>
  </r>
  <r>
    <x v="1163"/>
    <x v="335"/>
    <s v="C038"/>
    <x v="56"/>
    <s v="Guwahati"/>
    <x v="0"/>
    <s v="P021"/>
    <x v="9"/>
    <x v="3"/>
    <n v="1"/>
    <x v="1"/>
    <n v="2400"/>
    <m/>
    <m/>
    <m/>
    <m/>
  </r>
  <r>
    <x v="1164"/>
    <x v="293"/>
    <s v="C068"/>
    <x v="20"/>
    <s v="Chandigarh"/>
    <x v="3"/>
    <s v="P010"/>
    <x v="10"/>
    <x v="2"/>
    <n v="2"/>
    <x v="8"/>
    <n v="4400"/>
    <m/>
    <m/>
    <m/>
    <m/>
  </r>
  <r>
    <x v="1165"/>
    <x v="344"/>
    <s v="C019"/>
    <x v="40"/>
    <s v="Lucknow"/>
    <x v="3"/>
    <s v="P022"/>
    <x v="18"/>
    <x v="3"/>
    <n v="1"/>
    <x v="16"/>
    <n v="4800"/>
    <m/>
    <m/>
    <m/>
    <m/>
  </r>
  <r>
    <x v="1166"/>
    <x v="62"/>
    <s v="C051"/>
    <x v="53"/>
    <s v="Lucknow"/>
    <x v="3"/>
    <s v="P028"/>
    <x v="20"/>
    <x v="1"/>
    <n v="1"/>
    <x v="18"/>
    <n v="1400"/>
    <m/>
    <m/>
    <m/>
    <m/>
  </r>
  <r>
    <x v="1167"/>
    <x v="56"/>
    <s v="C070"/>
    <x v="24"/>
    <s v="Guwahati"/>
    <x v="0"/>
    <s v="P008"/>
    <x v="21"/>
    <x v="2"/>
    <n v="1"/>
    <x v="19"/>
    <n v="4500"/>
    <m/>
    <m/>
    <m/>
    <m/>
  </r>
  <r>
    <x v="1168"/>
    <x v="262"/>
    <s v="C043"/>
    <x v="3"/>
    <s v="Ahmedabad"/>
    <x v="2"/>
    <s v="P001"/>
    <x v="23"/>
    <x v="2"/>
    <n v="1"/>
    <x v="20"/>
    <n v="65000"/>
    <m/>
    <m/>
    <m/>
    <m/>
  </r>
  <r>
    <x v="1169"/>
    <x v="332"/>
    <s v="C043"/>
    <x v="3"/>
    <s v="Ahmedabad"/>
    <x v="2"/>
    <s v="P006"/>
    <x v="3"/>
    <x v="2"/>
    <n v="1"/>
    <x v="3"/>
    <n v="12000"/>
    <m/>
    <m/>
    <m/>
    <m/>
  </r>
  <r>
    <x v="1170"/>
    <x v="90"/>
    <s v="C053"/>
    <x v="57"/>
    <s v="Kolkata"/>
    <x v="0"/>
    <s v="P019"/>
    <x v="24"/>
    <x v="3"/>
    <n v="3"/>
    <x v="21"/>
    <n v="9600"/>
    <m/>
    <m/>
    <m/>
    <m/>
  </r>
  <r>
    <x v="1171"/>
    <x v="181"/>
    <s v="C071"/>
    <x v="1"/>
    <s v="Bhubaneswar"/>
    <x v="0"/>
    <s v="P027"/>
    <x v="29"/>
    <x v="1"/>
    <n v="1"/>
    <x v="25"/>
    <n v="5500"/>
    <m/>
    <m/>
    <m/>
    <m/>
  </r>
  <r>
    <x v="1172"/>
    <x v="214"/>
    <s v="C053"/>
    <x v="57"/>
    <s v="Kolkata"/>
    <x v="0"/>
    <s v="P011"/>
    <x v="28"/>
    <x v="0"/>
    <n v="1"/>
    <x v="24"/>
    <n v="6500"/>
    <m/>
    <m/>
    <m/>
    <m/>
  </r>
  <r>
    <x v="1173"/>
    <x v="239"/>
    <s v="C027"/>
    <x v="23"/>
    <s v="Ahmedabad"/>
    <x v="2"/>
    <s v="P018"/>
    <x v="22"/>
    <x v="0"/>
    <n v="1"/>
    <x v="9"/>
    <n v="3000"/>
    <m/>
    <m/>
    <m/>
    <m/>
  </r>
  <r>
    <x v="1174"/>
    <x v="35"/>
    <s v="C044"/>
    <x v="61"/>
    <s v="Surat"/>
    <x v="2"/>
    <s v="P003"/>
    <x v="4"/>
    <x v="2"/>
    <n v="1"/>
    <x v="4"/>
    <n v="30000"/>
    <m/>
    <m/>
    <m/>
    <m/>
  </r>
  <r>
    <x v="1175"/>
    <x v="309"/>
    <s v="C026"/>
    <x v="19"/>
    <s v="Pune"/>
    <x v="2"/>
    <s v="P003"/>
    <x v="4"/>
    <x v="2"/>
    <n v="3"/>
    <x v="4"/>
    <n v="90000"/>
    <m/>
    <m/>
    <m/>
    <m/>
  </r>
  <r>
    <x v="1176"/>
    <x v="345"/>
    <s v="C070"/>
    <x v="24"/>
    <s v="Guwahati"/>
    <x v="0"/>
    <s v="P012"/>
    <x v="16"/>
    <x v="0"/>
    <n v="2"/>
    <x v="14"/>
    <n v="10000"/>
    <m/>
    <m/>
    <m/>
    <m/>
  </r>
  <r>
    <x v="1177"/>
    <x v="176"/>
    <s v="C022"/>
    <x v="18"/>
    <s v="Guwahati"/>
    <x v="0"/>
    <s v="P017"/>
    <x v="2"/>
    <x v="0"/>
    <n v="1"/>
    <x v="2"/>
    <n v="15000"/>
    <m/>
    <m/>
    <m/>
    <m/>
  </r>
  <r>
    <x v="1178"/>
    <x v="130"/>
    <s v="C024"/>
    <x v="6"/>
    <s v="Patna"/>
    <x v="0"/>
    <s v="P015"/>
    <x v="7"/>
    <x v="0"/>
    <n v="2"/>
    <x v="7"/>
    <n v="18000"/>
    <m/>
    <m/>
    <m/>
    <m/>
  </r>
  <r>
    <x v="1179"/>
    <x v="266"/>
    <s v="C024"/>
    <x v="6"/>
    <s v="Patna"/>
    <x v="0"/>
    <s v="P016"/>
    <x v="8"/>
    <x v="0"/>
    <n v="1"/>
    <x v="8"/>
    <n v="2200"/>
    <m/>
    <m/>
    <m/>
    <m/>
  </r>
  <r>
    <x v="1180"/>
    <x v="126"/>
    <s v="C024"/>
    <x v="6"/>
    <s v="Patna"/>
    <x v="0"/>
    <s v="P013"/>
    <x v="12"/>
    <x v="0"/>
    <n v="2"/>
    <x v="10"/>
    <n v="8400"/>
    <m/>
    <m/>
    <m/>
    <m/>
  </r>
  <r>
    <x v="1181"/>
    <x v="294"/>
    <s v="C009"/>
    <x v="30"/>
    <s v="Mumbai"/>
    <x v="2"/>
    <s v="P007"/>
    <x v="13"/>
    <x v="2"/>
    <n v="1"/>
    <x v="11"/>
    <n v="18000"/>
    <m/>
    <m/>
    <m/>
    <m/>
  </r>
  <r>
    <x v="1182"/>
    <x v="172"/>
    <s v="C035"/>
    <x v="16"/>
    <s v="Lucknow"/>
    <x v="3"/>
    <s v="P015"/>
    <x v="7"/>
    <x v="0"/>
    <n v="1"/>
    <x v="7"/>
    <n v="9000"/>
    <m/>
    <m/>
    <m/>
    <m/>
  </r>
  <r>
    <x v="1183"/>
    <x v="189"/>
    <s v="C003"/>
    <x v="32"/>
    <s v="Lucknow"/>
    <x v="3"/>
    <s v="P023"/>
    <x v="25"/>
    <x v="3"/>
    <n v="3"/>
    <x v="10"/>
    <n v="12600"/>
    <m/>
    <m/>
    <m/>
    <m/>
  </r>
  <r>
    <x v="1184"/>
    <x v="121"/>
    <s v="C008"/>
    <x v="0"/>
    <s v="Patna"/>
    <x v="0"/>
    <s v="P020"/>
    <x v="5"/>
    <x v="3"/>
    <n v="1"/>
    <x v="5"/>
    <n v="1600"/>
    <m/>
    <m/>
    <m/>
    <m/>
  </r>
  <r>
    <x v="1185"/>
    <x v="304"/>
    <s v="C061"/>
    <x v="21"/>
    <s v="Bengaluru"/>
    <x v="1"/>
    <s v="P007"/>
    <x v="13"/>
    <x v="2"/>
    <n v="2"/>
    <x v="11"/>
    <n v="36000"/>
    <m/>
    <m/>
    <m/>
    <m/>
  </r>
  <r>
    <x v="1186"/>
    <x v="130"/>
    <s v="C009"/>
    <x v="30"/>
    <s v="Mumbai"/>
    <x v="2"/>
    <s v="P027"/>
    <x v="29"/>
    <x v="1"/>
    <n v="2"/>
    <x v="25"/>
    <n v="11000"/>
    <m/>
    <m/>
    <m/>
    <m/>
  </r>
  <r>
    <x v="1187"/>
    <x v="53"/>
    <s v="C022"/>
    <x v="18"/>
    <s v="Guwahati"/>
    <x v="0"/>
    <s v="P024"/>
    <x v="11"/>
    <x v="3"/>
    <n v="2"/>
    <x v="9"/>
    <n v="6000"/>
    <m/>
    <m/>
    <m/>
    <m/>
  </r>
  <r>
    <x v="1188"/>
    <x v="189"/>
    <s v="C006"/>
    <x v="36"/>
    <s v="Guwahati"/>
    <x v="0"/>
    <s v="P005"/>
    <x v="15"/>
    <x v="2"/>
    <n v="2"/>
    <x v="13"/>
    <n v="56000"/>
    <m/>
    <m/>
    <m/>
    <m/>
  </r>
  <r>
    <x v="1189"/>
    <x v="27"/>
    <s v="C035"/>
    <x v="16"/>
    <s v="Lucknow"/>
    <x v="3"/>
    <s v="P007"/>
    <x v="13"/>
    <x v="2"/>
    <n v="1"/>
    <x v="11"/>
    <n v="18000"/>
    <m/>
    <m/>
    <m/>
    <m/>
  </r>
  <r>
    <x v="1190"/>
    <x v="22"/>
    <s v="C036"/>
    <x v="15"/>
    <s v="Chandigarh"/>
    <x v="3"/>
    <s v="P026"/>
    <x v="1"/>
    <x v="1"/>
    <n v="1"/>
    <x v="1"/>
    <n v="2400"/>
    <m/>
    <m/>
    <m/>
    <m/>
  </r>
  <r>
    <x v="1191"/>
    <x v="324"/>
    <s v="C043"/>
    <x v="3"/>
    <s v="Ahmedabad"/>
    <x v="2"/>
    <s v="P011"/>
    <x v="28"/>
    <x v="0"/>
    <n v="2"/>
    <x v="24"/>
    <n v="13000"/>
    <m/>
    <m/>
    <m/>
    <m/>
  </r>
  <r>
    <x v="1192"/>
    <x v="96"/>
    <s v="C035"/>
    <x v="16"/>
    <s v="Lucknow"/>
    <x v="3"/>
    <s v="P003"/>
    <x v="4"/>
    <x v="2"/>
    <n v="1"/>
    <x v="4"/>
    <n v="30000"/>
    <m/>
    <m/>
    <m/>
    <m/>
  </r>
  <r>
    <x v="1193"/>
    <x v="232"/>
    <s v="C073"/>
    <x v="12"/>
    <s v="Mumbai"/>
    <x v="2"/>
    <s v="P026"/>
    <x v="1"/>
    <x v="1"/>
    <n v="1"/>
    <x v="1"/>
    <n v="2400"/>
    <m/>
    <m/>
    <m/>
    <m/>
  </r>
  <r>
    <x v="1194"/>
    <x v="195"/>
    <s v="C003"/>
    <x v="32"/>
    <s v="Lucknow"/>
    <x v="3"/>
    <s v="P014"/>
    <x v="0"/>
    <x v="0"/>
    <n v="1"/>
    <x v="0"/>
    <n v="11000"/>
    <m/>
    <m/>
    <m/>
    <m/>
  </r>
  <r>
    <x v="1195"/>
    <x v="139"/>
    <s v="C008"/>
    <x v="0"/>
    <s v="Patna"/>
    <x v="0"/>
    <s v="P019"/>
    <x v="24"/>
    <x v="3"/>
    <n v="3"/>
    <x v="21"/>
    <n v="9600"/>
    <m/>
    <m/>
    <m/>
    <m/>
  </r>
  <r>
    <x v="1196"/>
    <x v="10"/>
    <s v="C026"/>
    <x v="19"/>
    <s v="Pune"/>
    <x v="2"/>
    <s v="P002"/>
    <x v="17"/>
    <x v="2"/>
    <n v="2"/>
    <x v="15"/>
    <n v="104000"/>
    <m/>
    <m/>
    <m/>
    <m/>
  </r>
  <r>
    <x v="1197"/>
    <x v="43"/>
    <s v="C043"/>
    <x v="3"/>
    <s v="Ahmedabad"/>
    <x v="2"/>
    <s v="P003"/>
    <x v="4"/>
    <x v="2"/>
    <n v="1"/>
    <x v="4"/>
    <n v="30000"/>
    <m/>
    <m/>
    <m/>
    <m/>
  </r>
  <r>
    <x v="1198"/>
    <x v="101"/>
    <s v="C012"/>
    <x v="37"/>
    <s v="Surat"/>
    <x v="2"/>
    <s v="P010"/>
    <x v="10"/>
    <x v="2"/>
    <n v="2"/>
    <x v="8"/>
    <n v="4400"/>
    <m/>
    <m/>
    <m/>
    <m/>
  </r>
  <r>
    <x v="1199"/>
    <x v="37"/>
    <s v="C060"/>
    <x v="47"/>
    <s v="Surat"/>
    <x v="2"/>
    <s v="P018"/>
    <x v="22"/>
    <x v="0"/>
    <n v="2"/>
    <x v="9"/>
    <n v="6000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0001"/>
    <d v="2025-09-20T00:00:00"/>
    <s v="C008"/>
    <s v="Customer_08"/>
    <s v="Patna"/>
    <s v="East"/>
    <s v="P014"/>
    <s v="Microwave"/>
    <x v="0"/>
    <n v="2"/>
    <n v="11000"/>
    <n v="22000"/>
  </r>
  <r>
    <n v="10002"/>
    <d v="2025-11-04T00:00:00"/>
    <s v="C071"/>
    <s v="Customer_71"/>
    <s v="Bhubaneswar"/>
    <s v="East"/>
    <s v="P026"/>
    <s v="Backpack"/>
    <x v="1"/>
    <n v="2"/>
    <n v="2400"/>
    <n v="4800"/>
  </r>
  <r>
    <n v="10003"/>
    <d v="2025-09-09T00:00:00"/>
    <s v="C031"/>
    <s v="Customer_31"/>
    <s v="Hyderabad"/>
    <s v="South"/>
    <s v="P017"/>
    <s v="Water Purifier"/>
    <x v="0"/>
    <n v="2"/>
    <n v="15000"/>
    <n v="30000"/>
  </r>
  <r>
    <n v="10004"/>
    <d v="2025-11-11T00:00:00"/>
    <s v="C043"/>
    <s v="Customer_43"/>
    <s v="Ahmedabad"/>
    <s v="West"/>
    <s v="P006"/>
    <s v="Monitor 24"/>
    <x v="2"/>
    <n v="1"/>
    <n v="12000"/>
    <n v="12000"/>
  </r>
  <r>
    <n v="10005"/>
    <d v="2025-01-06T00:00:00"/>
    <s v="C021"/>
    <s v="Customer_21"/>
    <s v="Kolkata"/>
    <s v="East"/>
    <s v="P003"/>
    <s v="Smartphone X"/>
    <x v="2"/>
    <n v="3"/>
    <n v="30000"/>
    <n v="90000"/>
  </r>
  <r>
    <n v="10006"/>
    <d v="2025-04-18T00:00:00"/>
    <s v="C052"/>
    <s v="Customer_52"/>
    <s v="Chandigarh"/>
    <s v="North"/>
    <s v="P020"/>
    <s v="T-Shirt"/>
    <x v="3"/>
    <n v="1"/>
    <n v="1600"/>
    <n v="1600"/>
  </r>
  <r>
    <n v="10007"/>
    <d v="2025-07-02T00:00:00"/>
    <s v="C024"/>
    <s v="Customer_24"/>
    <s v="Patna"/>
    <s v="East"/>
    <s v="P030"/>
    <s v="Travel Bag"/>
    <x v="1"/>
    <n v="3"/>
    <n v="3500"/>
    <n v="10500"/>
  </r>
  <r>
    <n v="10008"/>
    <d v="2025-02-09T00:00:00"/>
    <s v="C075"/>
    <s v="Customer_75"/>
    <s v="Ahmedabad"/>
    <s v="West"/>
    <s v="P015"/>
    <s v="Vacuum Cleaner"/>
    <x v="0"/>
    <n v="2"/>
    <n v="9000"/>
    <n v="18000"/>
  </r>
  <r>
    <n v="10009"/>
    <d v="2025-05-28T00:00:00"/>
    <s v="C007"/>
    <s v="Customer_07"/>
    <s v="Bhubaneswar"/>
    <s v="East"/>
    <s v="P016"/>
    <s v="Electric Kettle"/>
    <x v="0"/>
    <n v="1"/>
    <n v="2200"/>
    <n v="2200"/>
  </r>
  <r>
    <n v="10010"/>
    <d v="2025-10-23T00:00:00"/>
    <s v="C067"/>
    <s v="Customer_67"/>
    <s v="Lucknow"/>
    <s v="North"/>
    <s v="P021"/>
    <s v="Formal Shirt"/>
    <x v="3"/>
    <n v="1"/>
    <n v="2400"/>
    <n v="2400"/>
  </r>
  <r>
    <n v="10011"/>
    <d v="2025-08-25T00:00:00"/>
    <s v="C064"/>
    <s v="Customer_64"/>
    <s v="Kochi"/>
    <s v="South"/>
    <s v="P010"/>
    <s v="Keyboard"/>
    <x v="2"/>
    <n v="1"/>
    <n v="2200"/>
    <n v="2200"/>
  </r>
  <r>
    <n v="10012"/>
    <d v="2025-09-13T00:00:00"/>
    <s v="C029"/>
    <s v="Customer_29"/>
    <s v="Bengaluru"/>
    <s v="South"/>
    <s v="P017"/>
    <s v="Water Purifier"/>
    <x v="0"/>
    <n v="3"/>
    <n v="15000"/>
    <n v="45000"/>
  </r>
  <r>
    <n v="10013"/>
    <d v="2025-11-04T00:00:00"/>
    <s v="C031"/>
    <s v="Customer_31"/>
    <s v="Hyderabad"/>
    <s v="South"/>
    <s v="P024"/>
    <s v="Hoodie"/>
    <x v="3"/>
    <n v="3"/>
    <n v="3000"/>
    <n v="9000"/>
  </r>
  <r>
    <n v="10014"/>
    <d v="2025-08-04T00:00:00"/>
    <s v="C029"/>
    <s v="Customer_29"/>
    <s v="Bengaluru"/>
    <s v="South"/>
    <s v="P015"/>
    <s v="Vacuum Cleaner"/>
    <x v="0"/>
    <n v="2"/>
    <n v="9000"/>
    <n v="18000"/>
  </r>
  <r>
    <n v="10015"/>
    <d v="2025-01-13T00:00:00"/>
    <s v="C073"/>
    <s v="Customer_73"/>
    <s v="Mumbai"/>
    <s v="West"/>
    <s v="P015"/>
    <s v="Vacuum Cleaner"/>
    <x v="0"/>
    <n v="2"/>
    <n v="9000"/>
    <n v="18000"/>
  </r>
  <r>
    <n v="10016"/>
    <d v="2025-12-27T00:00:00"/>
    <s v="C057"/>
    <s v="Customer_57"/>
    <s v="Mumbai"/>
    <s v="West"/>
    <s v="P024"/>
    <s v="Hoodie"/>
    <x v="3"/>
    <n v="2"/>
    <n v="3000"/>
    <n v="6000"/>
  </r>
  <r>
    <n v="10017"/>
    <d v="2025-08-08T00:00:00"/>
    <s v="C050"/>
    <s v="Customer_50"/>
    <s v="Jaipur"/>
    <s v="North"/>
    <s v="P021"/>
    <s v="Formal Shirt"/>
    <x v="3"/>
    <n v="1"/>
    <n v="2400"/>
    <n v="2400"/>
  </r>
  <r>
    <n v="10018"/>
    <d v="2025-03-04T00:00:00"/>
    <s v="C036"/>
    <s v="Customer_36"/>
    <s v="Chandigarh"/>
    <s v="North"/>
    <s v="P006"/>
    <s v="Monitor 24"/>
    <x v="2"/>
    <n v="2"/>
    <n v="12000"/>
    <n v="24000"/>
  </r>
  <r>
    <n v="10019"/>
    <d v="2025-10-07T00:00:00"/>
    <s v="C035"/>
    <s v="Customer_35"/>
    <s v="Lucknow"/>
    <s v="North"/>
    <s v="P013"/>
    <s v="Coffee Maker"/>
    <x v="0"/>
    <n v="1"/>
    <n v="4200"/>
    <n v="4200"/>
  </r>
  <r>
    <n v="10020"/>
    <d v="2025-10-08T00:00:00"/>
    <s v="C029"/>
    <s v="Customer_29"/>
    <s v="Bengaluru"/>
    <s v="South"/>
    <s v="P030"/>
    <s v="Travel Bag"/>
    <x v="1"/>
    <n v="2"/>
    <n v="3500"/>
    <n v="7000"/>
  </r>
  <r>
    <n v="10021"/>
    <d v="2025-07-25T00:00:00"/>
    <s v="C037"/>
    <s v="Customer_37"/>
    <s v="Kolkata"/>
    <s v="East"/>
    <s v="P014"/>
    <s v="Microwave"/>
    <x v="0"/>
    <n v="1"/>
    <n v="11000"/>
    <n v="11000"/>
  </r>
  <r>
    <n v="10022"/>
    <d v="2025-01-17T00:00:00"/>
    <s v="C022"/>
    <s v="Customer_22"/>
    <s v="Guwahati"/>
    <s v="East"/>
    <s v="P007"/>
    <s v="Monitor 27"/>
    <x v="2"/>
    <n v="1"/>
    <n v="18000"/>
    <n v="18000"/>
  </r>
  <r>
    <n v="10023"/>
    <d v="2025-09-25T00:00:00"/>
    <s v="C067"/>
    <s v="Customer_67"/>
    <s v="Lucknow"/>
    <s v="North"/>
    <s v="P029"/>
    <s v="Sunglasses"/>
    <x v="1"/>
    <n v="4"/>
    <n v="2000"/>
    <n v="8000"/>
  </r>
  <r>
    <n v="10024"/>
    <d v="2025-12-21T00:00:00"/>
    <s v="C026"/>
    <s v="Customer_26"/>
    <s v="Pune"/>
    <s v="West"/>
    <s v="P005"/>
    <s v="Tablet Pro"/>
    <x v="2"/>
    <n v="1"/>
    <n v="28000"/>
    <n v="28000"/>
  </r>
  <r>
    <n v="10025"/>
    <d v="2025-08-11T00:00:00"/>
    <s v="C037"/>
    <s v="Customer_37"/>
    <s v="Kolkata"/>
    <s v="East"/>
    <s v="P024"/>
    <s v="Hoodie"/>
    <x v="3"/>
    <n v="2"/>
    <n v="3000"/>
    <n v="6000"/>
  </r>
  <r>
    <n v="10026"/>
    <d v="2025-06-12T00:00:00"/>
    <s v="C068"/>
    <s v="Customer_68"/>
    <s v="Chandigarh"/>
    <s v="North"/>
    <s v="P024"/>
    <s v="Hoodie"/>
    <x v="3"/>
    <n v="1"/>
    <n v="3000"/>
    <n v="3000"/>
  </r>
  <r>
    <n v="10027"/>
    <d v="2025-09-21T00:00:00"/>
    <s v="C061"/>
    <s v="Customer_61"/>
    <s v="Bengaluru"/>
    <s v="South"/>
    <s v="P012"/>
    <s v="Mixer Grinder"/>
    <x v="0"/>
    <n v="1"/>
    <n v="5000"/>
    <n v="5000"/>
  </r>
  <r>
    <n v="10028"/>
    <d v="2025-08-06T00:00:00"/>
    <s v="C069"/>
    <s v="Customer_69"/>
    <s v="Kolkata"/>
    <s v="East"/>
    <s v="P005"/>
    <s v="Tablet Pro"/>
    <x v="2"/>
    <n v="3"/>
    <n v="28000"/>
    <n v="84000"/>
  </r>
  <r>
    <n v="10029"/>
    <d v="2025-05-17T00:00:00"/>
    <s v="C036"/>
    <s v="Customer_36"/>
    <s v="Chandigarh"/>
    <s v="North"/>
    <s v="P002"/>
    <s v="Laptop Air"/>
    <x v="2"/>
    <n v="3"/>
    <n v="52000"/>
    <n v="156000"/>
  </r>
  <r>
    <n v="10030"/>
    <d v="2025-07-30T00:00:00"/>
    <s v="C027"/>
    <s v="Customer_27"/>
    <s v="Ahmedabad"/>
    <s v="West"/>
    <s v="P005"/>
    <s v="Tablet Pro"/>
    <x v="2"/>
    <n v="1"/>
    <n v="28000"/>
    <n v="28000"/>
  </r>
  <r>
    <n v="10031"/>
    <d v="2025-08-20T00:00:00"/>
    <s v="C068"/>
    <s v="Customer_68"/>
    <s v="Chandigarh"/>
    <s v="North"/>
    <s v="P003"/>
    <s v="Smartphone X"/>
    <x v="2"/>
    <n v="2"/>
    <n v="30000"/>
    <n v="60000"/>
  </r>
  <r>
    <n v="10032"/>
    <d v="2025-04-12T00:00:00"/>
    <s v="C070"/>
    <s v="Customer_70"/>
    <s v="Guwahati"/>
    <s v="East"/>
    <s v="P002"/>
    <s v="Laptop Air"/>
    <x v="2"/>
    <n v="1"/>
    <n v="52000"/>
    <n v="52000"/>
  </r>
  <r>
    <n v="10033"/>
    <d v="2025-05-18T00:00:00"/>
    <s v="C047"/>
    <s v="Customer_47"/>
    <s v="Hyderabad"/>
    <s v="South"/>
    <s v="P022"/>
    <s v="Jacket"/>
    <x v="3"/>
    <n v="2"/>
    <n v="4800"/>
    <n v="9600"/>
  </r>
  <r>
    <n v="10034"/>
    <d v="2025-06-10T00:00:00"/>
    <s v="C048"/>
    <s v="Customer_48"/>
    <s v="Kochi"/>
    <s v="South"/>
    <s v="P004"/>
    <s v="Smartphone Y"/>
    <x v="2"/>
    <n v="2"/>
    <n v="22000"/>
    <n v="44000"/>
  </r>
  <r>
    <n v="10035"/>
    <d v="2025-09-09T00:00:00"/>
    <s v="C042"/>
    <s v="Customer_42"/>
    <s v="Pune"/>
    <s v="West"/>
    <s v="P028"/>
    <s v="Wallet"/>
    <x v="1"/>
    <n v="2"/>
    <n v="1400"/>
    <n v="2800"/>
  </r>
  <r>
    <n v="10036"/>
    <d v="2025-08-31T00:00:00"/>
    <s v="C070"/>
    <s v="Customer_70"/>
    <s v="Guwahati"/>
    <s v="East"/>
    <s v="P016"/>
    <s v="Electric Kettle"/>
    <x v="0"/>
    <n v="2"/>
    <n v="2200"/>
    <n v="4400"/>
  </r>
  <r>
    <n v="10037"/>
    <d v="2025-09-16T00:00:00"/>
    <s v="C071"/>
    <s v="Customer_71"/>
    <s v="Bhubaneswar"/>
    <s v="East"/>
    <s v="P026"/>
    <s v="Backpack"/>
    <x v="1"/>
    <n v="1"/>
    <n v="2400"/>
    <n v="2400"/>
  </r>
  <r>
    <n v="10038"/>
    <d v="2025-03-11T00:00:00"/>
    <s v="C031"/>
    <s v="Customer_31"/>
    <s v="Hyderabad"/>
    <s v="South"/>
    <s v="P004"/>
    <s v="Smartphone Y"/>
    <x v="2"/>
    <n v="2"/>
    <n v="22000"/>
    <n v="44000"/>
  </r>
  <r>
    <n v="10039"/>
    <d v="2025-07-30T00:00:00"/>
    <s v="C068"/>
    <s v="Customer_68"/>
    <s v="Chandigarh"/>
    <s v="North"/>
    <s v="P008"/>
    <s v="Headphones Pro"/>
    <x v="2"/>
    <n v="1"/>
    <n v="4500"/>
    <n v="4500"/>
  </r>
  <r>
    <n v="10040"/>
    <d v="2025-07-12T00:00:00"/>
    <s v="C011"/>
    <s v="Customer_11"/>
    <s v="Ahmedabad"/>
    <s v="West"/>
    <s v="P024"/>
    <s v="Hoodie"/>
    <x v="3"/>
    <n v="1"/>
    <n v="3000"/>
    <n v="3000"/>
  </r>
  <r>
    <n v="10041"/>
    <d v="2025-01-27T00:00:00"/>
    <s v="C008"/>
    <s v="Customer_08"/>
    <s v="Patna"/>
    <s v="East"/>
    <s v="P026"/>
    <s v="Backpack"/>
    <x v="1"/>
    <n v="3"/>
    <n v="2400"/>
    <n v="7200"/>
  </r>
  <r>
    <n v="10042"/>
    <d v="2025-01-14T00:00:00"/>
    <s v="C049"/>
    <s v="Customer_49"/>
    <s v="Delhi"/>
    <s v="North"/>
    <s v="P028"/>
    <s v="Wallet"/>
    <x v="1"/>
    <n v="1"/>
    <n v="1400"/>
    <n v="1400"/>
  </r>
  <r>
    <n v="10043"/>
    <d v="2025-08-19T00:00:00"/>
    <s v="C036"/>
    <s v="Customer_36"/>
    <s v="Chandigarh"/>
    <s v="North"/>
    <s v="P020"/>
    <s v="T-Shirt"/>
    <x v="3"/>
    <n v="1"/>
    <n v="1600"/>
    <n v="1600"/>
  </r>
  <r>
    <n v="10044"/>
    <d v="2025-10-20T00:00:00"/>
    <s v="C009"/>
    <s v="Customer_09"/>
    <s v="Mumbai"/>
    <s v="West"/>
    <s v="P029"/>
    <s v="Sunglasses"/>
    <x v="1"/>
    <n v="2"/>
    <n v="2000"/>
    <n v="4000"/>
  </r>
  <r>
    <n v="10045"/>
    <d v="2025-04-16T00:00:00"/>
    <s v="C011"/>
    <s v="Customer_11"/>
    <s v="Ahmedabad"/>
    <s v="West"/>
    <s v="P018"/>
    <s v="Induction Cooktop"/>
    <x v="0"/>
    <n v="1"/>
    <n v="3000"/>
    <n v="3000"/>
  </r>
  <r>
    <n v="10046"/>
    <d v="2025-12-14T00:00:00"/>
    <s v="C024"/>
    <s v="Customer_24"/>
    <s v="Patna"/>
    <s v="East"/>
    <s v="P018"/>
    <s v="Induction Cooktop"/>
    <x v="0"/>
    <n v="2"/>
    <n v="3000"/>
    <n v="6000"/>
  </r>
  <r>
    <n v="10047"/>
    <d v="2025-11-28T00:00:00"/>
    <s v="C040"/>
    <s v="Customer_40"/>
    <s v="Patna"/>
    <s v="East"/>
    <s v="P001"/>
    <s v="Laptop Pro"/>
    <x v="2"/>
    <n v="4"/>
    <n v="65000"/>
    <n v="260000"/>
  </r>
  <r>
    <n v="10048"/>
    <d v="2025-01-25T00:00:00"/>
    <s v="C003"/>
    <s v="Customer_03"/>
    <s v="Lucknow"/>
    <s v="North"/>
    <s v="P016"/>
    <s v="Electric Kettle"/>
    <x v="0"/>
    <n v="1"/>
    <n v="2200"/>
    <n v="2200"/>
  </r>
  <r>
    <n v="10049"/>
    <d v="2025-12-31T00:00:00"/>
    <s v="C056"/>
    <s v="Customer_56"/>
    <s v="Patna"/>
    <s v="East"/>
    <s v="P005"/>
    <s v="Tablet Pro"/>
    <x v="2"/>
    <n v="2"/>
    <n v="28000"/>
    <n v="56000"/>
  </r>
  <r>
    <n v="10050"/>
    <d v="2025-04-22T00:00:00"/>
    <s v="C002"/>
    <s v="Customer_02"/>
    <s v="Jaipur"/>
    <s v="North"/>
    <s v="P019"/>
    <s v="Jeans"/>
    <x v="3"/>
    <n v="2"/>
    <n v="3200"/>
    <n v="6400"/>
  </r>
  <r>
    <n v="10051"/>
    <d v="2025-03-24T00:00:00"/>
    <s v="C037"/>
    <s v="Customer_37"/>
    <s v="Kolkata"/>
    <s v="East"/>
    <s v="P029"/>
    <s v="Sunglasses"/>
    <x v="1"/>
    <n v="2"/>
    <n v="2000"/>
    <n v="4000"/>
  </r>
  <r>
    <n v="10052"/>
    <d v="2025-09-30T00:00:00"/>
    <s v="C013"/>
    <s v="Customer_13"/>
    <s v="Bengaluru"/>
    <s v="South"/>
    <s v="P007"/>
    <s v="Monitor 27"/>
    <x v="2"/>
    <n v="1"/>
    <n v="18000"/>
    <n v="18000"/>
  </r>
  <r>
    <n v="10053"/>
    <d v="2025-06-26T00:00:00"/>
    <s v="C006"/>
    <s v="Customer_06"/>
    <s v="Guwahati"/>
    <s v="East"/>
    <s v="P008"/>
    <s v="Headphones Pro"/>
    <x v="2"/>
    <n v="1"/>
    <n v="4500"/>
    <n v="4500"/>
  </r>
  <r>
    <n v="10054"/>
    <d v="2025-08-01T00:00:00"/>
    <s v="C035"/>
    <s v="Customer_35"/>
    <s v="Lucknow"/>
    <s v="North"/>
    <s v="P030"/>
    <s v="Travel Bag"/>
    <x v="1"/>
    <n v="1"/>
    <n v="3500"/>
    <n v="3500"/>
  </r>
  <r>
    <n v="10055"/>
    <d v="2025-08-16T00:00:00"/>
    <s v="C012"/>
    <s v="Customer_12"/>
    <s v="Surat"/>
    <s v="West"/>
    <s v="P015"/>
    <s v="Vacuum Cleaner"/>
    <x v="0"/>
    <n v="1"/>
    <n v="9000"/>
    <n v="9000"/>
  </r>
  <r>
    <n v="10056"/>
    <d v="2025-02-18T00:00:00"/>
    <s v="C059"/>
    <s v="Customer_59"/>
    <s v="Ahmedabad"/>
    <s v="West"/>
    <s v="P023"/>
    <s v="Sneakers"/>
    <x v="3"/>
    <n v="3"/>
    <n v="4200"/>
    <n v="12600"/>
  </r>
  <r>
    <n v="10057"/>
    <d v="2025-08-21T00:00:00"/>
    <s v="C016"/>
    <s v="Customer_16"/>
    <s v="Kochi"/>
    <s v="South"/>
    <s v="P029"/>
    <s v="Sunglasses"/>
    <x v="1"/>
    <n v="2"/>
    <n v="2000"/>
    <n v="4000"/>
  </r>
  <r>
    <n v="10058"/>
    <d v="2025-12-10T00:00:00"/>
    <s v="C029"/>
    <s v="Customer_29"/>
    <s v="Bengaluru"/>
    <s v="South"/>
    <s v="P023"/>
    <s v="Sneakers"/>
    <x v="3"/>
    <n v="1"/>
    <n v="4200"/>
    <n v="4200"/>
  </r>
  <r>
    <n v="10059"/>
    <d v="2025-06-30T00:00:00"/>
    <s v="C003"/>
    <s v="Customer_03"/>
    <s v="Lucknow"/>
    <s v="North"/>
    <s v="P025"/>
    <s v="Dress"/>
    <x v="3"/>
    <n v="2"/>
    <n v="3800"/>
    <n v="7600"/>
  </r>
  <r>
    <n v="10060"/>
    <d v="2025-02-26T00:00:00"/>
    <s v="C042"/>
    <s v="Customer_42"/>
    <s v="Pune"/>
    <s v="West"/>
    <s v="P016"/>
    <s v="Electric Kettle"/>
    <x v="0"/>
    <n v="2"/>
    <n v="2200"/>
    <n v="4400"/>
  </r>
  <r>
    <n v="10061"/>
    <d v="2025-04-20T00:00:00"/>
    <s v="C021"/>
    <s v="Customer_21"/>
    <s v="Kolkata"/>
    <s v="East"/>
    <s v="P022"/>
    <s v="Jacket"/>
    <x v="3"/>
    <n v="2"/>
    <n v="4800"/>
    <n v="9600"/>
  </r>
  <r>
    <n v="10062"/>
    <d v="2025-03-09T00:00:00"/>
    <s v="C042"/>
    <s v="Customer_42"/>
    <s v="Pune"/>
    <s v="West"/>
    <s v="P020"/>
    <s v="T-Shirt"/>
    <x v="3"/>
    <n v="1"/>
    <n v="1600"/>
    <n v="1600"/>
  </r>
  <r>
    <n v="10063"/>
    <d v="2025-03-29T00:00:00"/>
    <s v="C019"/>
    <s v="Customer_19"/>
    <s v="Lucknow"/>
    <s v="North"/>
    <s v="P029"/>
    <s v="Sunglasses"/>
    <x v="1"/>
    <n v="1"/>
    <n v="2000"/>
    <n v="2000"/>
  </r>
  <r>
    <n v="10064"/>
    <d v="2025-04-05T00:00:00"/>
    <s v="C004"/>
    <s v="Customer_04"/>
    <s v="Chandigarh"/>
    <s v="North"/>
    <s v="P010"/>
    <s v="Keyboard"/>
    <x v="2"/>
    <n v="2"/>
    <n v="2200"/>
    <n v="4400"/>
  </r>
  <r>
    <n v="10065"/>
    <d v="2025-10-29T00:00:00"/>
    <s v="C008"/>
    <s v="Customer_08"/>
    <s v="Patna"/>
    <s v="East"/>
    <s v="P008"/>
    <s v="Headphones Pro"/>
    <x v="2"/>
    <n v="3"/>
    <n v="4500"/>
    <n v="13500"/>
  </r>
  <r>
    <n v="10066"/>
    <d v="2025-05-14T00:00:00"/>
    <s v="C022"/>
    <s v="Customer_22"/>
    <s v="Guwahati"/>
    <s v="East"/>
    <s v="P008"/>
    <s v="Headphones Pro"/>
    <x v="2"/>
    <n v="1"/>
    <n v="4500"/>
    <n v="4500"/>
  </r>
  <r>
    <n v="10067"/>
    <d v="2025-05-12T00:00:00"/>
    <s v="C001"/>
    <s v="Customer_01"/>
    <s v="Delhi"/>
    <s v="North"/>
    <s v="P025"/>
    <s v="Dress"/>
    <x v="3"/>
    <n v="1"/>
    <n v="3800"/>
    <n v="3800"/>
  </r>
  <r>
    <n v="10068"/>
    <d v="2025-01-12T00:00:00"/>
    <s v="C001"/>
    <s v="Customer_01"/>
    <s v="Delhi"/>
    <s v="North"/>
    <s v="P003"/>
    <s v="Smartphone X"/>
    <x v="2"/>
    <n v="1"/>
    <n v="30000"/>
    <n v="30000"/>
  </r>
  <r>
    <n v="10069"/>
    <d v="2025-06-29T00:00:00"/>
    <s v="C007"/>
    <s v="Customer_07"/>
    <s v="Bhubaneswar"/>
    <s v="East"/>
    <s v="P017"/>
    <s v="Water Purifier"/>
    <x v="0"/>
    <n v="1"/>
    <n v="15000"/>
    <n v="15000"/>
  </r>
  <r>
    <n v="10070"/>
    <d v="2025-11-11T00:00:00"/>
    <s v="C034"/>
    <s v="Customer_34"/>
    <s v="Jaipur"/>
    <s v="North"/>
    <s v="P019"/>
    <s v="Jeans"/>
    <x v="3"/>
    <n v="1"/>
    <n v="3200"/>
    <n v="3200"/>
  </r>
  <r>
    <n v="10071"/>
    <d v="2025-11-01T00:00:00"/>
    <s v="C029"/>
    <s v="Customer_29"/>
    <s v="Bengaluru"/>
    <s v="South"/>
    <s v="P018"/>
    <s v="Induction Cooktop"/>
    <x v="0"/>
    <n v="1"/>
    <n v="3000"/>
    <n v="3000"/>
  </r>
  <r>
    <n v="10072"/>
    <d v="2025-12-18T00:00:00"/>
    <s v="C073"/>
    <s v="Customer_73"/>
    <s v="Mumbai"/>
    <s v="West"/>
    <s v="P026"/>
    <s v="Backpack"/>
    <x v="1"/>
    <n v="1"/>
    <n v="2400"/>
    <n v="2400"/>
  </r>
  <r>
    <n v="10073"/>
    <d v="2025-05-09T00:00:00"/>
    <s v="C037"/>
    <s v="Customer_37"/>
    <s v="Kolkata"/>
    <s v="East"/>
    <s v="P030"/>
    <s v="Travel Bag"/>
    <x v="1"/>
    <n v="1"/>
    <n v="3500"/>
    <n v="3500"/>
  </r>
  <r>
    <n v="10074"/>
    <d v="2025-08-12T00:00:00"/>
    <s v="C071"/>
    <s v="Customer_71"/>
    <s v="Bhubaneswar"/>
    <s v="East"/>
    <s v="P010"/>
    <s v="Keyboard"/>
    <x v="2"/>
    <n v="3"/>
    <n v="2200"/>
    <n v="6600"/>
  </r>
  <r>
    <n v="10075"/>
    <d v="2025-03-04T00:00:00"/>
    <s v="C021"/>
    <s v="Customer_21"/>
    <s v="Kolkata"/>
    <s v="East"/>
    <s v="P009"/>
    <s v="Wireless Earbuds"/>
    <x v="2"/>
    <n v="1"/>
    <n v="2500"/>
    <n v="2500"/>
  </r>
  <r>
    <n v="10076"/>
    <d v="2025-01-11T00:00:00"/>
    <s v="C031"/>
    <s v="Customer_31"/>
    <s v="Hyderabad"/>
    <s v="South"/>
    <s v="P017"/>
    <s v="Water Purifier"/>
    <x v="0"/>
    <n v="2"/>
    <n v="15000"/>
    <n v="30000"/>
  </r>
  <r>
    <n v="10077"/>
    <d v="2025-02-27T00:00:00"/>
    <s v="C024"/>
    <s v="Customer_24"/>
    <s v="Patna"/>
    <s v="East"/>
    <s v="P016"/>
    <s v="Electric Kettle"/>
    <x v="0"/>
    <n v="1"/>
    <n v="2200"/>
    <n v="2200"/>
  </r>
  <r>
    <n v="10078"/>
    <d v="2025-09-25T00:00:00"/>
    <s v="C009"/>
    <s v="Customer_09"/>
    <s v="Mumbai"/>
    <s v="West"/>
    <s v="P001"/>
    <s v="Laptop Pro"/>
    <x v="2"/>
    <n v="1"/>
    <n v="65000"/>
    <n v="65000"/>
  </r>
  <r>
    <n v="10079"/>
    <d v="2025-01-15T00:00:00"/>
    <s v="C049"/>
    <s v="Customer_49"/>
    <s v="Delhi"/>
    <s v="North"/>
    <s v="P020"/>
    <s v="T-Shirt"/>
    <x v="3"/>
    <n v="1"/>
    <n v="1600"/>
    <n v="1600"/>
  </r>
  <r>
    <n v="10080"/>
    <d v="2025-07-13T00:00:00"/>
    <s v="C009"/>
    <s v="Customer_09"/>
    <s v="Mumbai"/>
    <s v="West"/>
    <s v="P011"/>
    <s v="Air Fryer"/>
    <x v="0"/>
    <n v="1"/>
    <n v="6500"/>
    <n v="6500"/>
  </r>
  <r>
    <n v="10081"/>
    <d v="2025-03-06T00:00:00"/>
    <s v="C031"/>
    <s v="Customer_31"/>
    <s v="Hyderabad"/>
    <s v="South"/>
    <s v="P006"/>
    <s v="Monitor 24"/>
    <x v="2"/>
    <n v="1"/>
    <n v="12000"/>
    <n v="12000"/>
  </r>
  <r>
    <n v="10082"/>
    <d v="2025-10-05T00:00:00"/>
    <s v="C003"/>
    <s v="Customer_03"/>
    <s v="Lucknow"/>
    <s v="North"/>
    <s v="P021"/>
    <s v="Formal Shirt"/>
    <x v="3"/>
    <n v="2"/>
    <n v="2400"/>
    <n v="4800"/>
  </r>
  <r>
    <n v="10083"/>
    <d v="2025-03-17T00:00:00"/>
    <s v="C029"/>
    <s v="Customer_29"/>
    <s v="Bengaluru"/>
    <s v="South"/>
    <s v="P007"/>
    <s v="Monitor 27"/>
    <x v="2"/>
    <n v="1"/>
    <n v="18000"/>
    <n v="18000"/>
  </r>
  <r>
    <n v="10084"/>
    <d v="2025-08-02T00:00:00"/>
    <s v="C001"/>
    <s v="Customer_01"/>
    <s v="Delhi"/>
    <s v="North"/>
    <s v="P016"/>
    <s v="Electric Kettle"/>
    <x v="0"/>
    <n v="1"/>
    <n v="2200"/>
    <n v="2200"/>
  </r>
  <r>
    <n v="10085"/>
    <d v="2025-10-31T00:00:00"/>
    <s v="C023"/>
    <s v="Customer_23"/>
    <s v="Bhubaneswar"/>
    <s v="East"/>
    <s v="P028"/>
    <s v="Wallet"/>
    <x v="1"/>
    <n v="1"/>
    <n v="1400"/>
    <n v="1400"/>
  </r>
  <r>
    <n v="10086"/>
    <d v="2025-09-21T00:00:00"/>
    <s v="C012"/>
    <s v="Customer_12"/>
    <s v="Surat"/>
    <s v="West"/>
    <s v="P001"/>
    <s v="Laptop Pro"/>
    <x v="2"/>
    <n v="3"/>
    <n v="65000"/>
    <n v="195000"/>
  </r>
  <r>
    <n v="10087"/>
    <d v="2025-06-12T00:00:00"/>
    <s v="C024"/>
    <s v="Customer_24"/>
    <s v="Patna"/>
    <s v="East"/>
    <s v="P015"/>
    <s v="Vacuum Cleaner"/>
    <x v="0"/>
    <n v="1"/>
    <n v="9000"/>
    <n v="9000"/>
  </r>
  <r>
    <n v="10088"/>
    <d v="2025-05-05T00:00:00"/>
    <s v="C063"/>
    <s v="Customer_63"/>
    <s v="Hyderabad"/>
    <s v="South"/>
    <s v="P019"/>
    <s v="Jeans"/>
    <x v="3"/>
    <n v="1"/>
    <n v="3200"/>
    <n v="3200"/>
  </r>
  <r>
    <n v="10089"/>
    <d v="2025-03-19T00:00:00"/>
    <s v="C072"/>
    <s v="Customer_72"/>
    <s v="Patna"/>
    <s v="East"/>
    <s v="P020"/>
    <s v="T-Shirt"/>
    <x v="3"/>
    <n v="4"/>
    <n v="1600"/>
    <n v="6400"/>
  </r>
  <r>
    <n v="10090"/>
    <d v="2025-07-04T00:00:00"/>
    <s v="C068"/>
    <s v="Customer_68"/>
    <s v="Chandigarh"/>
    <s v="North"/>
    <s v="P011"/>
    <s v="Air Fryer"/>
    <x v="0"/>
    <n v="4"/>
    <n v="6500"/>
    <n v="26000"/>
  </r>
  <r>
    <n v="10091"/>
    <d v="2025-06-25T00:00:00"/>
    <s v="C016"/>
    <s v="Customer_16"/>
    <s v="Kochi"/>
    <s v="South"/>
    <s v="P024"/>
    <s v="Hoodie"/>
    <x v="3"/>
    <n v="3"/>
    <n v="3000"/>
    <n v="9000"/>
  </r>
  <r>
    <n v="10092"/>
    <d v="2025-08-23T00:00:00"/>
    <s v="C027"/>
    <s v="Customer_27"/>
    <s v="Ahmedabad"/>
    <s v="West"/>
    <s v="P013"/>
    <s v="Coffee Maker"/>
    <x v="0"/>
    <n v="2"/>
    <n v="4200"/>
    <n v="8400"/>
  </r>
  <r>
    <n v="10093"/>
    <d v="2025-10-25T00:00:00"/>
    <s v="C036"/>
    <s v="Customer_36"/>
    <s v="Chandigarh"/>
    <s v="North"/>
    <s v="P023"/>
    <s v="Sneakers"/>
    <x v="3"/>
    <n v="1"/>
    <n v="4200"/>
    <n v="4200"/>
  </r>
  <r>
    <n v="10094"/>
    <d v="2025-09-06T00:00:00"/>
    <s v="C011"/>
    <s v="Customer_11"/>
    <s v="Ahmedabad"/>
    <s v="West"/>
    <s v="P011"/>
    <s v="Air Fryer"/>
    <x v="0"/>
    <n v="3"/>
    <n v="6500"/>
    <n v="19500"/>
  </r>
  <r>
    <n v="10095"/>
    <d v="2025-09-25T00:00:00"/>
    <s v="C071"/>
    <s v="Customer_71"/>
    <s v="Bhubaneswar"/>
    <s v="East"/>
    <s v="P024"/>
    <s v="Hoodie"/>
    <x v="3"/>
    <n v="2"/>
    <n v="3000"/>
    <n v="6000"/>
  </r>
  <r>
    <n v="10096"/>
    <d v="2025-02-13T00:00:00"/>
    <s v="C059"/>
    <s v="Customer_59"/>
    <s v="Ahmedabad"/>
    <s v="West"/>
    <s v="P019"/>
    <s v="Jeans"/>
    <x v="3"/>
    <n v="1"/>
    <n v="3200"/>
    <n v="3200"/>
  </r>
  <r>
    <n v="10097"/>
    <d v="2025-02-21T00:00:00"/>
    <s v="C040"/>
    <s v="Customer_40"/>
    <s v="Patna"/>
    <s v="East"/>
    <s v="P007"/>
    <s v="Monitor 27"/>
    <x v="2"/>
    <n v="5"/>
    <n v="18000"/>
    <n v="90000"/>
  </r>
  <r>
    <n v="10098"/>
    <d v="2025-12-23T00:00:00"/>
    <s v="C002"/>
    <s v="Customer_02"/>
    <s v="Jaipur"/>
    <s v="North"/>
    <s v="P006"/>
    <s v="Monitor 24"/>
    <x v="2"/>
    <n v="2"/>
    <n v="12000"/>
    <n v="24000"/>
  </r>
  <r>
    <n v="10099"/>
    <d v="2025-07-14T00:00:00"/>
    <s v="C042"/>
    <s v="Customer_42"/>
    <s v="Pune"/>
    <s v="West"/>
    <s v="P029"/>
    <s v="Sunglasses"/>
    <x v="1"/>
    <n v="2"/>
    <n v="2000"/>
    <n v="4000"/>
  </r>
  <r>
    <n v="10100"/>
    <d v="2025-12-05T00:00:00"/>
    <s v="C072"/>
    <s v="Customer_72"/>
    <s v="Patna"/>
    <s v="East"/>
    <s v="P024"/>
    <s v="Hoodie"/>
    <x v="3"/>
    <n v="1"/>
    <n v="3000"/>
    <n v="3000"/>
  </r>
  <r>
    <n v="10101"/>
    <d v="2025-07-19T00:00:00"/>
    <s v="C037"/>
    <s v="Customer_37"/>
    <s v="Kolkata"/>
    <s v="East"/>
    <s v="P002"/>
    <s v="Laptop Air"/>
    <x v="2"/>
    <n v="1"/>
    <n v="52000"/>
    <n v="52000"/>
  </r>
  <r>
    <n v="10102"/>
    <d v="2025-10-31T00:00:00"/>
    <s v="C019"/>
    <s v="Customer_19"/>
    <s v="Lucknow"/>
    <s v="North"/>
    <s v="P001"/>
    <s v="Laptop Pro"/>
    <x v="2"/>
    <n v="2"/>
    <n v="65000"/>
    <n v="130000"/>
  </r>
  <r>
    <n v="10103"/>
    <d v="2025-06-01T00:00:00"/>
    <s v="C013"/>
    <s v="Customer_13"/>
    <s v="Bengaluru"/>
    <s v="South"/>
    <s v="P027"/>
    <s v="Watch"/>
    <x v="1"/>
    <n v="2"/>
    <n v="5500"/>
    <n v="11000"/>
  </r>
  <r>
    <n v="10104"/>
    <d v="2025-04-07T00:00:00"/>
    <s v="C026"/>
    <s v="Customer_26"/>
    <s v="Pune"/>
    <s v="West"/>
    <s v="P029"/>
    <s v="Sunglasses"/>
    <x v="1"/>
    <n v="4"/>
    <n v="2000"/>
    <n v="8000"/>
  </r>
  <r>
    <n v="10105"/>
    <d v="2025-11-28T00:00:00"/>
    <s v="C047"/>
    <s v="Customer_47"/>
    <s v="Hyderabad"/>
    <s v="South"/>
    <s v="P025"/>
    <s v="Dress"/>
    <x v="3"/>
    <n v="1"/>
    <n v="3800"/>
    <n v="3800"/>
  </r>
  <r>
    <n v="10106"/>
    <d v="2025-10-03T00:00:00"/>
    <s v="C031"/>
    <s v="Customer_31"/>
    <s v="Hyderabad"/>
    <s v="South"/>
    <s v="P024"/>
    <s v="Hoodie"/>
    <x v="3"/>
    <n v="1"/>
    <n v="3000"/>
    <n v="3000"/>
  </r>
  <r>
    <n v="10107"/>
    <d v="2025-10-04T00:00:00"/>
    <s v="C037"/>
    <s v="Customer_37"/>
    <s v="Kolkata"/>
    <s v="East"/>
    <s v="P005"/>
    <s v="Tablet Pro"/>
    <x v="2"/>
    <n v="1"/>
    <n v="28000"/>
    <n v="28000"/>
  </r>
  <r>
    <n v="10108"/>
    <d v="2025-12-08T00:00:00"/>
    <s v="C003"/>
    <s v="Customer_03"/>
    <s v="Lucknow"/>
    <s v="North"/>
    <s v="P003"/>
    <s v="Smartphone X"/>
    <x v="2"/>
    <n v="3"/>
    <n v="30000"/>
    <n v="90000"/>
  </r>
  <r>
    <n v="10109"/>
    <d v="2025-07-11T00:00:00"/>
    <s v="C049"/>
    <s v="Customer_49"/>
    <s v="Delhi"/>
    <s v="North"/>
    <s v="P001"/>
    <s v="Laptop Pro"/>
    <x v="2"/>
    <n v="1"/>
    <n v="65000"/>
    <n v="65000"/>
  </r>
  <r>
    <n v="10110"/>
    <d v="2025-11-03T00:00:00"/>
    <s v="C022"/>
    <s v="Customer_22"/>
    <s v="Guwahati"/>
    <s v="East"/>
    <s v="P015"/>
    <s v="Vacuum Cleaner"/>
    <x v="0"/>
    <n v="2"/>
    <n v="9000"/>
    <n v="18000"/>
  </r>
  <r>
    <n v="10111"/>
    <d v="2025-09-06T00:00:00"/>
    <s v="C009"/>
    <s v="Customer_09"/>
    <s v="Mumbai"/>
    <s v="West"/>
    <s v="P030"/>
    <s v="Travel Bag"/>
    <x v="1"/>
    <n v="1"/>
    <n v="3500"/>
    <n v="3500"/>
  </r>
  <r>
    <n v="10112"/>
    <d v="2025-05-15T00:00:00"/>
    <s v="C063"/>
    <s v="Customer_63"/>
    <s v="Hyderabad"/>
    <s v="South"/>
    <s v="P002"/>
    <s v="Laptop Air"/>
    <x v="2"/>
    <n v="2"/>
    <n v="52000"/>
    <n v="104000"/>
  </r>
  <r>
    <n v="10113"/>
    <d v="2025-09-13T00:00:00"/>
    <s v="C049"/>
    <s v="Customer_49"/>
    <s v="Delhi"/>
    <s v="North"/>
    <s v="P009"/>
    <s v="Wireless Earbuds"/>
    <x v="2"/>
    <n v="1"/>
    <n v="2500"/>
    <n v="2500"/>
  </r>
  <r>
    <n v="10114"/>
    <d v="2025-12-16T00:00:00"/>
    <s v="C037"/>
    <s v="Customer_37"/>
    <s v="Kolkata"/>
    <s v="East"/>
    <s v="P024"/>
    <s v="Hoodie"/>
    <x v="3"/>
    <n v="3"/>
    <n v="3000"/>
    <n v="9000"/>
  </r>
  <r>
    <n v="10115"/>
    <d v="2025-02-05T00:00:00"/>
    <s v="C068"/>
    <s v="Customer_68"/>
    <s v="Chandigarh"/>
    <s v="North"/>
    <s v="P009"/>
    <s v="Wireless Earbuds"/>
    <x v="2"/>
    <n v="2"/>
    <n v="2500"/>
    <n v="5000"/>
  </r>
  <r>
    <n v="10116"/>
    <d v="2025-06-09T00:00:00"/>
    <s v="C007"/>
    <s v="Customer_07"/>
    <s v="Bhubaneswar"/>
    <s v="East"/>
    <s v="P014"/>
    <s v="Microwave"/>
    <x v="0"/>
    <n v="1"/>
    <n v="11000"/>
    <n v="11000"/>
  </r>
  <r>
    <n v="10117"/>
    <d v="2025-08-10T00:00:00"/>
    <s v="C050"/>
    <s v="Customer_50"/>
    <s v="Jaipur"/>
    <s v="North"/>
    <s v="P004"/>
    <s v="Smartphone Y"/>
    <x v="2"/>
    <n v="1"/>
    <n v="22000"/>
    <n v="22000"/>
  </r>
  <r>
    <n v="10118"/>
    <d v="2025-12-03T00:00:00"/>
    <s v="C024"/>
    <s v="Customer_24"/>
    <s v="Patna"/>
    <s v="East"/>
    <s v="P027"/>
    <s v="Watch"/>
    <x v="1"/>
    <n v="3"/>
    <n v="5500"/>
    <n v="16500"/>
  </r>
  <r>
    <n v="10119"/>
    <d v="2025-08-26T00:00:00"/>
    <s v="C029"/>
    <s v="Customer_29"/>
    <s v="Bengaluru"/>
    <s v="South"/>
    <s v="P005"/>
    <s v="Tablet Pro"/>
    <x v="2"/>
    <n v="1"/>
    <n v="28000"/>
    <n v="28000"/>
  </r>
  <r>
    <n v="10120"/>
    <d v="2025-06-29T00:00:00"/>
    <s v="C052"/>
    <s v="Customer_52"/>
    <s v="Chandigarh"/>
    <s v="North"/>
    <s v="P009"/>
    <s v="Wireless Earbuds"/>
    <x v="2"/>
    <n v="1"/>
    <n v="2500"/>
    <n v="2500"/>
  </r>
  <r>
    <n v="10121"/>
    <d v="2025-03-21T00:00:00"/>
    <s v="C060"/>
    <s v="Customer_60"/>
    <s v="Surat"/>
    <s v="West"/>
    <s v="P010"/>
    <s v="Keyboard"/>
    <x v="2"/>
    <n v="1"/>
    <n v="2200"/>
    <n v="2200"/>
  </r>
  <r>
    <n v="10122"/>
    <d v="2025-08-09T00:00:00"/>
    <s v="C042"/>
    <s v="Customer_42"/>
    <s v="Pune"/>
    <s v="West"/>
    <s v="P022"/>
    <s v="Jacket"/>
    <x v="3"/>
    <n v="1"/>
    <n v="4800"/>
    <n v="4800"/>
  </r>
  <r>
    <n v="10123"/>
    <d v="2025-08-16T00:00:00"/>
    <s v="C063"/>
    <s v="Customer_63"/>
    <s v="Hyderabad"/>
    <s v="South"/>
    <s v="P009"/>
    <s v="Wireless Earbuds"/>
    <x v="2"/>
    <n v="1"/>
    <n v="2500"/>
    <n v="2500"/>
  </r>
  <r>
    <n v="10124"/>
    <d v="2025-06-19T00:00:00"/>
    <s v="C040"/>
    <s v="Customer_40"/>
    <s v="Patna"/>
    <s v="East"/>
    <s v="P007"/>
    <s v="Monitor 27"/>
    <x v="2"/>
    <n v="4"/>
    <n v="18000"/>
    <n v="72000"/>
  </r>
  <r>
    <n v="10125"/>
    <d v="2025-05-31T00:00:00"/>
    <s v="C042"/>
    <s v="Customer_42"/>
    <s v="Pune"/>
    <s v="West"/>
    <s v="P003"/>
    <s v="Smartphone X"/>
    <x v="2"/>
    <n v="2"/>
    <n v="30000"/>
    <n v="60000"/>
  </r>
  <r>
    <n v="10126"/>
    <d v="2025-10-09T00:00:00"/>
    <s v="C048"/>
    <s v="Customer_48"/>
    <s v="Kochi"/>
    <s v="South"/>
    <s v="P011"/>
    <s v="Air Fryer"/>
    <x v="0"/>
    <n v="2"/>
    <n v="6500"/>
    <n v="13000"/>
  </r>
  <r>
    <n v="10127"/>
    <d v="2025-12-14T00:00:00"/>
    <s v="C050"/>
    <s v="Customer_50"/>
    <s v="Jaipur"/>
    <s v="North"/>
    <s v="P009"/>
    <s v="Wireless Earbuds"/>
    <x v="2"/>
    <n v="2"/>
    <n v="2500"/>
    <n v="5000"/>
  </r>
  <r>
    <n v="10128"/>
    <d v="2025-11-21T00:00:00"/>
    <s v="C037"/>
    <s v="Customer_37"/>
    <s v="Kolkata"/>
    <s v="East"/>
    <s v="P020"/>
    <s v="T-Shirt"/>
    <x v="3"/>
    <n v="4"/>
    <n v="1600"/>
    <n v="6400"/>
  </r>
  <r>
    <n v="10129"/>
    <d v="2025-04-18T00:00:00"/>
    <s v="C050"/>
    <s v="Customer_50"/>
    <s v="Jaipur"/>
    <s v="North"/>
    <s v="P016"/>
    <s v="Electric Kettle"/>
    <x v="0"/>
    <n v="1"/>
    <n v="2200"/>
    <n v="2200"/>
  </r>
  <r>
    <n v="10130"/>
    <d v="2025-07-24T00:00:00"/>
    <s v="C049"/>
    <s v="Customer_49"/>
    <s v="Delhi"/>
    <s v="North"/>
    <s v="P002"/>
    <s v="Laptop Air"/>
    <x v="2"/>
    <n v="2"/>
    <n v="52000"/>
    <n v="104000"/>
  </r>
  <r>
    <n v="10131"/>
    <d v="2025-05-10T00:00:00"/>
    <s v="C001"/>
    <s v="Customer_01"/>
    <s v="Delhi"/>
    <s v="North"/>
    <s v="P016"/>
    <s v="Electric Kettle"/>
    <x v="0"/>
    <n v="1"/>
    <n v="2200"/>
    <n v="2200"/>
  </r>
  <r>
    <n v="10132"/>
    <d v="2025-09-01T00:00:00"/>
    <s v="C043"/>
    <s v="Customer_43"/>
    <s v="Ahmedabad"/>
    <s v="West"/>
    <s v="P018"/>
    <s v="Induction Cooktop"/>
    <x v="0"/>
    <n v="3"/>
    <n v="3000"/>
    <n v="9000"/>
  </r>
  <r>
    <n v="10133"/>
    <d v="2025-04-23T00:00:00"/>
    <s v="C036"/>
    <s v="Customer_36"/>
    <s v="Chandigarh"/>
    <s v="North"/>
    <s v="P001"/>
    <s v="Laptop Pro"/>
    <x v="2"/>
    <n v="2"/>
    <n v="65000"/>
    <n v="130000"/>
  </r>
  <r>
    <n v="10134"/>
    <d v="2025-06-17T00:00:00"/>
    <s v="C050"/>
    <s v="Customer_50"/>
    <s v="Jaipur"/>
    <s v="North"/>
    <s v="P028"/>
    <s v="Wallet"/>
    <x v="1"/>
    <n v="1"/>
    <n v="1400"/>
    <n v="1400"/>
  </r>
  <r>
    <n v="10135"/>
    <d v="2025-05-22T00:00:00"/>
    <s v="C015"/>
    <s v="Customer_15"/>
    <s v="Hyderabad"/>
    <s v="South"/>
    <s v="P013"/>
    <s v="Coffee Maker"/>
    <x v="0"/>
    <n v="2"/>
    <n v="4200"/>
    <n v="8400"/>
  </r>
  <r>
    <n v="10136"/>
    <d v="2025-04-07T00:00:00"/>
    <s v="C027"/>
    <s v="Customer_27"/>
    <s v="Ahmedabad"/>
    <s v="West"/>
    <s v="P016"/>
    <s v="Electric Kettle"/>
    <x v="0"/>
    <n v="2"/>
    <n v="2200"/>
    <n v="4400"/>
  </r>
  <r>
    <n v="10137"/>
    <d v="2025-06-18T00:00:00"/>
    <s v="C001"/>
    <s v="Customer_01"/>
    <s v="Delhi"/>
    <s v="North"/>
    <s v="P003"/>
    <s v="Smartphone X"/>
    <x v="2"/>
    <n v="4"/>
    <n v="30000"/>
    <n v="120000"/>
  </r>
  <r>
    <n v="10138"/>
    <d v="2025-12-11T00:00:00"/>
    <s v="C070"/>
    <s v="Customer_70"/>
    <s v="Guwahati"/>
    <s v="East"/>
    <s v="P005"/>
    <s v="Tablet Pro"/>
    <x v="2"/>
    <n v="1"/>
    <n v="28000"/>
    <n v="28000"/>
  </r>
  <r>
    <n v="10139"/>
    <d v="2025-12-31T00:00:00"/>
    <s v="C023"/>
    <s v="Customer_23"/>
    <s v="Bhubaneswar"/>
    <s v="East"/>
    <s v="P017"/>
    <s v="Water Purifier"/>
    <x v="0"/>
    <n v="2"/>
    <n v="15000"/>
    <n v="30000"/>
  </r>
  <r>
    <n v="10140"/>
    <d v="2025-01-15T00:00:00"/>
    <s v="C043"/>
    <s v="Customer_43"/>
    <s v="Ahmedabad"/>
    <s v="West"/>
    <s v="P004"/>
    <s v="Smartphone Y"/>
    <x v="2"/>
    <n v="1"/>
    <n v="22000"/>
    <n v="22000"/>
  </r>
  <r>
    <n v="10141"/>
    <d v="2025-09-20T00:00:00"/>
    <s v="C031"/>
    <s v="Customer_31"/>
    <s v="Hyderabad"/>
    <s v="South"/>
    <s v="P005"/>
    <s v="Tablet Pro"/>
    <x v="2"/>
    <n v="5"/>
    <n v="28000"/>
    <n v="140000"/>
  </r>
  <r>
    <n v="10142"/>
    <d v="2025-12-03T00:00:00"/>
    <s v="C074"/>
    <s v="Customer_74"/>
    <s v="Pune"/>
    <s v="West"/>
    <s v="P027"/>
    <s v="Watch"/>
    <x v="1"/>
    <n v="2"/>
    <n v="5500"/>
    <n v="11000"/>
  </r>
  <r>
    <n v="10143"/>
    <d v="2025-09-03T00:00:00"/>
    <s v="C024"/>
    <s v="Customer_24"/>
    <s v="Patna"/>
    <s v="East"/>
    <s v="P008"/>
    <s v="Headphones Pro"/>
    <x v="2"/>
    <n v="1"/>
    <n v="4500"/>
    <n v="4500"/>
  </r>
  <r>
    <n v="10144"/>
    <d v="2025-01-19T00:00:00"/>
    <s v="C067"/>
    <s v="Customer_67"/>
    <s v="Lucknow"/>
    <s v="North"/>
    <s v="P025"/>
    <s v="Dress"/>
    <x v="3"/>
    <n v="2"/>
    <n v="3800"/>
    <n v="7600"/>
  </r>
  <r>
    <n v="10145"/>
    <d v="2025-07-07T00:00:00"/>
    <s v="C010"/>
    <s v="Customer_10"/>
    <s v="Pune"/>
    <s v="West"/>
    <s v="P014"/>
    <s v="Microwave"/>
    <x v="0"/>
    <n v="1"/>
    <n v="11000"/>
    <n v="11000"/>
  </r>
  <r>
    <n v="10146"/>
    <d v="2025-05-21T00:00:00"/>
    <s v="C056"/>
    <s v="Customer_56"/>
    <s v="Patna"/>
    <s v="East"/>
    <s v="P005"/>
    <s v="Tablet Pro"/>
    <x v="2"/>
    <n v="1"/>
    <n v="28000"/>
    <n v="28000"/>
  </r>
  <r>
    <n v="10147"/>
    <d v="2025-10-25T00:00:00"/>
    <s v="C054"/>
    <s v="Customer_54"/>
    <s v="Guwahati"/>
    <s v="East"/>
    <s v="P008"/>
    <s v="Headphones Pro"/>
    <x v="2"/>
    <n v="1"/>
    <n v="4500"/>
    <n v="4500"/>
  </r>
  <r>
    <n v="10148"/>
    <d v="2025-11-27T00:00:00"/>
    <s v="C030"/>
    <s v="Customer_30"/>
    <s v="Chennai"/>
    <s v="South"/>
    <s v="P002"/>
    <s v="Laptop Air"/>
    <x v="2"/>
    <n v="2"/>
    <n v="52000"/>
    <n v="104000"/>
  </r>
  <r>
    <n v="10149"/>
    <d v="2025-06-02T00:00:00"/>
    <s v="C051"/>
    <s v="Customer_51"/>
    <s v="Lucknow"/>
    <s v="North"/>
    <s v="P023"/>
    <s v="Sneakers"/>
    <x v="3"/>
    <n v="5"/>
    <n v="4200"/>
    <n v="21000"/>
  </r>
  <r>
    <n v="10150"/>
    <d v="2025-09-25T00:00:00"/>
    <s v="C046"/>
    <s v="Customer_46"/>
    <s v="Chennai"/>
    <s v="South"/>
    <s v="P025"/>
    <s v="Dress"/>
    <x v="3"/>
    <n v="2"/>
    <n v="3800"/>
    <n v="7600"/>
  </r>
  <r>
    <n v="10151"/>
    <d v="2025-07-04T00:00:00"/>
    <s v="C036"/>
    <s v="Customer_36"/>
    <s v="Chandigarh"/>
    <s v="North"/>
    <s v="P020"/>
    <s v="T-Shirt"/>
    <x v="3"/>
    <n v="1"/>
    <n v="1600"/>
    <n v="1600"/>
  </r>
  <r>
    <n v="10152"/>
    <d v="2025-03-31T00:00:00"/>
    <s v="C074"/>
    <s v="Customer_74"/>
    <s v="Pune"/>
    <s v="West"/>
    <s v="P025"/>
    <s v="Dress"/>
    <x v="3"/>
    <n v="2"/>
    <n v="3800"/>
    <n v="7600"/>
  </r>
  <r>
    <n v="10153"/>
    <d v="2025-09-28T00:00:00"/>
    <s v="C072"/>
    <s v="Customer_72"/>
    <s v="Patna"/>
    <s v="East"/>
    <s v="P029"/>
    <s v="Sunglasses"/>
    <x v="1"/>
    <n v="2"/>
    <n v="2000"/>
    <n v="4000"/>
  </r>
  <r>
    <n v="10154"/>
    <d v="2025-11-08T00:00:00"/>
    <s v="C028"/>
    <s v="Customer_28"/>
    <s v="Surat"/>
    <s v="West"/>
    <s v="P003"/>
    <s v="Smartphone X"/>
    <x v="2"/>
    <n v="4"/>
    <n v="30000"/>
    <n v="120000"/>
  </r>
  <r>
    <n v="10155"/>
    <d v="2025-08-08T00:00:00"/>
    <s v="C003"/>
    <s v="Customer_03"/>
    <s v="Lucknow"/>
    <s v="North"/>
    <s v="P006"/>
    <s v="Monitor 24"/>
    <x v="2"/>
    <n v="1"/>
    <n v="12000"/>
    <n v="12000"/>
  </r>
  <r>
    <n v="10156"/>
    <d v="2025-05-19T00:00:00"/>
    <s v="C038"/>
    <s v="Customer_38"/>
    <s v="Guwahati"/>
    <s v="East"/>
    <s v="P015"/>
    <s v="Vacuum Cleaner"/>
    <x v="0"/>
    <n v="2"/>
    <n v="9000"/>
    <n v="18000"/>
  </r>
  <r>
    <n v="10157"/>
    <d v="2025-12-14T00:00:00"/>
    <s v="C052"/>
    <s v="Customer_52"/>
    <s v="Chandigarh"/>
    <s v="North"/>
    <s v="P004"/>
    <s v="Smartphone Y"/>
    <x v="2"/>
    <n v="3"/>
    <n v="22000"/>
    <n v="66000"/>
  </r>
  <r>
    <n v="10158"/>
    <d v="2025-07-20T00:00:00"/>
    <s v="C024"/>
    <s v="Customer_24"/>
    <s v="Patna"/>
    <s v="East"/>
    <s v="P030"/>
    <s v="Travel Bag"/>
    <x v="1"/>
    <n v="2"/>
    <n v="3500"/>
    <n v="7000"/>
  </r>
  <r>
    <n v="10159"/>
    <d v="2025-11-07T00:00:00"/>
    <s v="C053"/>
    <s v="Customer_53"/>
    <s v="Kolkata"/>
    <s v="East"/>
    <s v="P005"/>
    <s v="Tablet Pro"/>
    <x v="2"/>
    <n v="2"/>
    <n v="28000"/>
    <n v="56000"/>
  </r>
  <r>
    <n v="10160"/>
    <d v="2025-03-09T00:00:00"/>
    <s v="C073"/>
    <s v="Customer_73"/>
    <s v="Mumbai"/>
    <s v="West"/>
    <s v="P022"/>
    <s v="Jacket"/>
    <x v="3"/>
    <n v="2"/>
    <n v="4800"/>
    <n v="9600"/>
  </r>
  <r>
    <n v="10161"/>
    <d v="2025-12-08T00:00:00"/>
    <s v="C060"/>
    <s v="Customer_60"/>
    <s v="Surat"/>
    <s v="West"/>
    <s v="P017"/>
    <s v="Water Purifier"/>
    <x v="0"/>
    <n v="3"/>
    <n v="15000"/>
    <n v="45000"/>
  </r>
  <r>
    <n v="10162"/>
    <d v="2025-04-02T00:00:00"/>
    <s v="C021"/>
    <s v="Customer_21"/>
    <s v="Kolkata"/>
    <s v="East"/>
    <s v="P008"/>
    <s v="Headphones Pro"/>
    <x v="2"/>
    <n v="1"/>
    <n v="4500"/>
    <n v="4500"/>
  </r>
  <r>
    <n v="10163"/>
    <d v="2025-03-07T00:00:00"/>
    <s v="C072"/>
    <s v="Customer_72"/>
    <s v="Patna"/>
    <s v="East"/>
    <s v="P021"/>
    <s v="Formal Shirt"/>
    <x v="3"/>
    <n v="1"/>
    <n v="2400"/>
    <n v="2400"/>
  </r>
  <r>
    <n v="10164"/>
    <d v="2025-04-06T00:00:00"/>
    <s v="C013"/>
    <s v="Customer_13"/>
    <s v="Bengaluru"/>
    <s v="South"/>
    <s v="P002"/>
    <s v="Laptop Air"/>
    <x v="2"/>
    <n v="2"/>
    <n v="52000"/>
    <n v="104000"/>
  </r>
  <r>
    <n v="10165"/>
    <d v="2025-10-07T00:00:00"/>
    <s v="C030"/>
    <s v="Customer_30"/>
    <s v="Chennai"/>
    <s v="South"/>
    <s v="P019"/>
    <s v="Jeans"/>
    <x v="3"/>
    <n v="4"/>
    <n v="3200"/>
    <n v="12800"/>
  </r>
  <r>
    <n v="10166"/>
    <d v="2025-10-05T00:00:00"/>
    <s v="C022"/>
    <s v="Customer_22"/>
    <s v="Guwahati"/>
    <s v="East"/>
    <s v="P015"/>
    <s v="Vacuum Cleaner"/>
    <x v="0"/>
    <n v="1"/>
    <n v="9000"/>
    <n v="9000"/>
  </r>
  <r>
    <n v="10167"/>
    <d v="2025-06-16T00:00:00"/>
    <s v="C051"/>
    <s v="Customer_51"/>
    <s v="Lucknow"/>
    <s v="North"/>
    <s v="P011"/>
    <s v="Air Fryer"/>
    <x v="0"/>
    <n v="1"/>
    <n v="6500"/>
    <n v="6500"/>
  </r>
  <r>
    <n v="10168"/>
    <d v="2025-01-30T00:00:00"/>
    <s v="C037"/>
    <s v="Customer_37"/>
    <s v="Kolkata"/>
    <s v="East"/>
    <s v="P013"/>
    <s v="Coffee Maker"/>
    <x v="0"/>
    <n v="1"/>
    <n v="4200"/>
    <n v="4200"/>
  </r>
  <r>
    <n v="10169"/>
    <d v="2025-05-12T00:00:00"/>
    <s v="C043"/>
    <s v="Customer_43"/>
    <s v="Ahmedabad"/>
    <s v="West"/>
    <s v="P021"/>
    <s v="Formal Shirt"/>
    <x v="3"/>
    <n v="1"/>
    <n v="2400"/>
    <n v="2400"/>
  </r>
  <r>
    <n v="10170"/>
    <d v="2025-02-16T00:00:00"/>
    <s v="C003"/>
    <s v="Customer_03"/>
    <s v="Lucknow"/>
    <s v="North"/>
    <s v="P014"/>
    <s v="Microwave"/>
    <x v="0"/>
    <n v="1"/>
    <n v="11000"/>
    <n v="11000"/>
  </r>
  <r>
    <n v="10171"/>
    <d v="2025-03-29T00:00:00"/>
    <s v="C032"/>
    <s v="Customer_32"/>
    <s v="Kochi"/>
    <s v="South"/>
    <s v="P024"/>
    <s v="Hoodie"/>
    <x v="3"/>
    <n v="1"/>
    <n v="3000"/>
    <n v="3000"/>
  </r>
  <r>
    <n v="10172"/>
    <d v="2025-07-10T00:00:00"/>
    <s v="C050"/>
    <s v="Customer_50"/>
    <s v="Jaipur"/>
    <s v="North"/>
    <s v="P014"/>
    <s v="Microwave"/>
    <x v="0"/>
    <n v="1"/>
    <n v="11000"/>
    <n v="11000"/>
  </r>
  <r>
    <n v="10173"/>
    <d v="2025-08-05T00:00:00"/>
    <s v="C074"/>
    <s v="Customer_74"/>
    <s v="Pune"/>
    <s v="West"/>
    <s v="P012"/>
    <s v="Mixer Grinder"/>
    <x v="0"/>
    <n v="1"/>
    <n v="5000"/>
    <n v="5000"/>
  </r>
  <r>
    <n v="10174"/>
    <d v="2025-06-08T00:00:00"/>
    <s v="C026"/>
    <s v="Customer_26"/>
    <s v="Pune"/>
    <s v="West"/>
    <s v="P006"/>
    <s v="Monitor 24"/>
    <x v="2"/>
    <n v="2"/>
    <n v="12000"/>
    <n v="24000"/>
  </r>
  <r>
    <n v="10175"/>
    <d v="2025-11-07T00:00:00"/>
    <s v="C033"/>
    <s v="Customer_33"/>
    <s v="Delhi"/>
    <s v="North"/>
    <s v="P028"/>
    <s v="Wallet"/>
    <x v="1"/>
    <n v="1"/>
    <n v="1400"/>
    <n v="1400"/>
  </r>
  <r>
    <n v="10176"/>
    <d v="2025-04-11T00:00:00"/>
    <s v="C067"/>
    <s v="Customer_67"/>
    <s v="Lucknow"/>
    <s v="North"/>
    <s v="P006"/>
    <s v="Monitor 24"/>
    <x v="2"/>
    <n v="1"/>
    <n v="12000"/>
    <n v="12000"/>
  </r>
  <r>
    <n v="10177"/>
    <d v="2025-11-15T00:00:00"/>
    <s v="C006"/>
    <s v="Customer_06"/>
    <s v="Guwahati"/>
    <s v="East"/>
    <s v="P021"/>
    <s v="Formal Shirt"/>
    <x v="3"/>
    <n v="2"/>
    <n v="2400"/>
    <n v="4800"/>
  </r>
  <r>
    <n v="10178"/>
    <d v="2025-08-10T00:00:00"/>
    <s v="C008"/>
    <s v="Customer_08"/>
    <s v="Patna"/>
    <s v="East"/>
    <s v="P005"/>
    <s v="Tablet Pro"/>
    <x v="2"/>
    <n v="1"/>
    <n v="28000"/>
    <n v="28000"/>
  </r>
  <r>
    <n v="10179"/>
    <d v="2025-01-16T00:00:00"/>
    <s v="C071"/>
    <s v="Customer_71"/>
    <s v="Bhubaneswar"/>
    <s v="East"/>
    <s v="P030"/>
    <s v="Travel Bag"/>
    <x v="1"/>
    <n v="2"/>
    <n v="3500"/>
    <n v="7000"/>
  </r>
  <r>
    <n v="10180"/>
    <d v="2025-11-21T00:00:00"/>
    <s v="C011"/>
    <s v="Customer_11"/>
    <s v="Ahmedabad"/>
    <s v="West"/>
    <s v="P026"/>
    <s v="Backpack"/>
    <x v="1"/>
    <n v="2"/>
    <n v="2400"/>
    <n v="4800"/>
  </r>
  <r>
    <n v="10181"/>
    <d v="2025-01-05T00:00:00"/>
    <s v="C021"/>
    <s v="Customer_21"/>
    <s v="Kolkata"/>
    <s v="East"/>
    <s v="P010"/>
    <s v="Keyboard"/>
    <x v="2"/>
    <n v="1"/>
    <n v="2200"/>
    <n v="2200"/>
  </r>
  <r>
    <n v="10182"/>
    <d v="2025-07-01T00:00:00"/>
    <s v="C035"/>
    <s v="Customer_35"/>
    <s v="Lucknow"/>
    <s v="North"/>
    <s v="P007"/>
    <s v="Monitor 27"/>
    <x v="2"/>
    <n v="1"/>
    <n v="18000"/>
    <n v="18000"/>
  </r>
  <r>
    <n v="10183"/>
    <d v="2025-10-14T00:00:00"/>
    <s v="C011"/>
    <s v="Customer_11"/>
    <s v="Ahmedabad"/>
    <s v="West"/>
    <s v="P023"/>
    <s v="Sneakers"/>
    <x v="3"/>
    <n v="1"/>
    <n v="4200"/>
    <n v="4200"/>
  </r>
  <r>
    <n v="10184"/>
    <d v="2025-11-21T00:00:00"/>
    <s v="C026"/>
    <s v="Customer_26"/>
    <s v="Pune"/>
    <s v="West"/>
    <s v="P010"/>
    <s v="Keyboard"/>
    <x v="2"/>
    <n v="2"/>
    <n v="2200"/>
    <n v="4400"/>
  </r>
  <r>
    <n v="10185"/>
    <d v="2025-06-17T00:00:00"/>
    <s v="C070"/>
    <s v="Customer_70"/>
    <s v="Guwahati"/>
    <s v="East"/>
    <s v="P020"/>
    <s v="T-Shirt"/>
    <x v="3"/>
    <n v="2"/>
    <n v="1600"/>
    <n v="3200"/>
  </r>
  <r>
    <n v="10186"/>
    <d v="2025-08-28T00:00:00"/>
    <s v="C072"/>
    <s v="Customer_72"/>
    <s v="Patna"/>
    <s v="East"/>
    <s v="P002"/>
    <s v="Laptop Air"/>
    <x v="2"/>
    <n v="1"/>
    <n v="52000"/>
    <n v="52000"/>
  </r>
  <r>
    <n v="10187"/>
    <d v="2025-09-29T00:00:00"/>
    <s v="C063"/>
    <s v="Customer_63"/>
    <s v="Hyderabad"/>
    <s v="South"/>
    <s v="P015"/>
    <s v="Vacuum Cleaner"/>
    <x v="0"/>
    <n v="4"/>
    <n v="9000"/>
    <n v="36000"/>
  </r>
  <r>
    <n v="10188"/>
    <d v="2025-02-11T00:00:00"/>
    <s v="C061"/>
    <s v="Customer_61"/>
    <s v="Bengaluru"/>
    <s v="South"/>
    <s v="P008"/>
    <s v="Headphones Pro"/>
    <x v="2"/>
    <n v="2"/>
    <n v="4500"/>
    <n v="9000"/>
  </r>
  <r>
    <n v="10189"/>
    <d v="2025-10-16T00:00:00"/>
    <s v="C004"/>
    <s v="Customer_04"/>
    <s v="Chandigarh"/>
    <s v="North"/>
    <s v="P028"/>
    <s v="Wallet"/>
    <x v="1"/>
    <n v="1"/>
    <n v="1400"/>
    <n v="1400"/>
  </r>
  <r>
    <n v="10190"/>
    <d v="2025-08-22T00:00:00"/>
    <s v="C060"/>
    <s v="Customer_60"/>
    <s v="Surat"/>
    <s v="West"/>
    <s v="P024"/>
    <s v="Hoodie"/>
    <x v="3"/>
    <n v="2"/>
    <n v="3000"/>
    <n v="6000"/>
  </r>
  <r>
    <n v="10191"/>
    <d v="2025-06-13T00:00:00"/>
    <s v="C039"/>
    <s v="Customer_39"/>
    <s v="Bhubaneswar"/>
    <s v="East"/>
    <s v="P004"/>
    <s v="Smartphone Y"/>
    <x v="2"/>
    <n v="1"/>
    <n v="22000"/>
    <n v="22000"/>
  </r>
  <r>
    <n v="10192"/>
    <d v="2025-10-01T00:00:00"/>
    <s v="C008"/>
    <s v="Customer_08"/>
    <s v="Patna"/>
    <s v="East"/>
    <s v="P003"/>
    <s v="Smartphone X"/>
    <x v="2"/>
    <n v="3"/>
    <n v="30000"/>
    <n v="90000"/>
  </r>
  <r>
    <n v="10193"/>
    <d v="2025-02-06T00:00:00"/>
    <s v="C002"/>
    <s v="Customer_02"/>
    <s v="Jaipur"/>
    <s v="North"/>
    <s v="P002"/>
    <s v="Laptop Air"/>
    <x v="2"/>
    <n v="2"/>
    <n v="52000"/>
    <n v="104000"/>
  </r>
  <r>
    <n v="10194"/>
    <d v="2025-06-21T00:00:00"/>
    <s v="C037"/>
    <s v="Customer_37"/>
    <s v="Kolkata"/>
    <s v="East"/>
    <s v="P022"/>
    <s v="Jacket"/>
    <x v="3"/>
    <n v="2"/>
    <n v="4800"/>
    <n v="9600"/>
  </r>
  <r>
    <n v="10195"/>
    <d v="2025-06-14T00:00:00"/>
    <s v="C023"/>
    <s v="Customer_23"/>
    <s v="Bhubaneswar"/>
    <s v="East"/>
    <s v="P013"/>
    <s v="Coffee Maker"/>
    <x v="0"/>
    <n v="2"/>
    <n v="4200"/>
    <n v="8400"/>
  </r>
  <r>
    <n v="10196"/>
    <d v="2025-05-03T00:00:00"/>
    <s v="C035"/>
    <s v="Customer_35"/>
    <s v="Lucknow"/>
    <s v="North"/>
    <s v="P007"/>
    <s v="Monitor 27"/>
    <x v="2"/>
    <n v="1"/>
    <n v="18000"/>
    <n v="18000"/>
  </r>
  <r>
    <n v="10197"/>
    <d v="2025-09-08T00:00:00"/>
    <s v="C064"/>
    <s v="Customer_64"/>
    <s v="Kochi"/>
    <s v="South"/>
    <s v="P012"/>
    <s v="Mixer Grinder"/>
    <x v="0"/>
    <n v="1"/>
    <n v="5000"/>
    <n v="5000"/>
  </r>
  <r>
    <n v="10198"/>
    <d v="2025-02-28T00:00:00"/>
    <s v="C013"/>
    <s v="Customer_13"/>
    <s v="Bengaluru"/>
    <s v="South"/>
    <s v="P005"/>
    <s v="Tablet Pro"/>
    <x v="2"/>
    <n v="2"/>
    <n v="28000"/>
    <n v="56000"/>
  </r>
  <r>
    <n v="10199"/>
    <d v="2025-01-09T00:00:00"/>
    <s v="C043"/>
    <s v="Customer_43"/>
    <s v="Ahmedabad"/>
    <s v="West"/>
    <s v="P014"/>
    <s v="Microwave"/>
    <x v="0"/>
    <n v="1"/>
    <n v="11000"/>
    <n v="11000"/>
  </r>
  <r>
    <n v="10200"/>
    <d v="2025-09-29T00:00:00"/>
    <s v="C015"/>
    <s v="Customer_15"/>
    <s v="Hyderabad"/>
    <s v="South"/>
    <s v="P022"/>
    <s v="Jacket"/>
    <x v="3"/>
    <n v="1"/>
    <n v="4800"/>
    <n v="4800"/>
  </r>
  <r>
    <n v="10201"/>
    <d v="2025-09-24T00:00:00"/>
    <s v="C011"/>
    <s v="Customer_11"/>
    <s v="Ahmedabad"/>
    <s v="West"/>
    <s v="P006"/>
    <s v="Monitor 24"/>
    <x v="2"/>
    <n v="1"/>
    <n v="12000"/>
    <n v="12000"/>
  </r>
  <r>
    <n v="10202"/>
    <d v="2025-10-25T00:00:00"/>
    <s v="C057"/>
    <s v="Customer_57"/>
    <s v="Mumbai"/>
    <s v="West"/>
    <s v="P025"/>
    <s v="Dress"/>
    <x v="3"/>
    <n v="1"/>
    <n v="3800"/>
    <n v="3800"/>
  </r>
  <r>
    <n v="10203"/>
    <d v="2025-09-29T00:00:00"/>
    <s v="C044"/>
    <s v="Customer_44"/>
    <s v="Surat"/>
    <s v="West"/>
    <s v="P015"/>
    <s v="Vacuum Cleaner"/>
    <x v="0"/>
    <n v="1"/>
    <n v="9000"/>
    <n v="9000"/>
  </r>
  <r>
    <n v="10204"/>
    <d v="2025-02-08T00:00:00"/>
    <s v="C027"/>
    <s v="Customer_27"/>
    <s v="Ahmedabad"/>
    <s v="West"/>
    <s v="P006"/>
    <s v="Monitor 24"/>
    <x v="2"/>
    <n v="2"/>
    <n v="12000"/>
    <n v="24000"/>
  </r>
  <r>
    <n v="10205"/>
    <d v="2025-02-24T00:00:00"/>
    <s v="C035"/>
    <s v="Customer_35"/>
    <s v="Lucknow"/>
    <s v="North"/>
    <s v="P024"/>
    <s v="Hoodie"/>
    <x v="3"/>
    <n v="3"/>
    <n v="3000"/>
    <n v="9000"/>
  </r>
  <r>
    <n v="10206"/>
    <d v="2025-05-06T00:00:00"/>
    <s v="C030"/>
    <s v="Customer_30"/>
    <s v="Chennai"/>
    <s v="South"/>
    <s v="P030"/>
    <s v="Travel Bag"/>
    <x v="1"/>
    <n v="1"/>
    <n v="3500"/>
    <n v="3500"/>
  </r>
  <r>
    <n v="10207"/>
    <d v="2025-09-26T00:00:00"/>
    <s v="C019"/>
    <s v="Customer_19"/>
    <s v="Lucknow"/>
    <s v="North"/>
    <s v="P024"/>
    <s v="Hoodie"/>
    <x v="3"/>
    <n v="1"/>
    <n v="3000"/>
    <n v="3000"/>
  </r>
  <r>
    <n v="10208"/>
    <d v="2025-01-19T00:00:00"/>
    <s v="C027"/>
    <s v="Customer_27"/>
    <s v="Ahmedabad"/>
    <s v="West"/>
    <s v="P007"/>
    <s v="Monitor 27"/>
    <x v="2"/>
    <n v="1"/>
    <n v="18000"/>
    <n v="18000"/>
  </r>
  <r>
    <n v="10209"/>
    <d v="2025-10-15T00:00:00"/>
    <s v="C063"/>
    <s v="Customer_63"/>
    <s v="Hyderabad"/>
    <s v="South"/>
    <s v="P024"/>
    <s v="Hoodie"/>
    <x v="3"/>
    <n v="1"/>
    <n v="3000"/>
    <n v="3000"/>
  </r>
  <r>
    <n v="10210"/>
    <d v="2025-07-02T00:00:00"/>
    <s v="C034"/>
    <s v="Customer_34"/>
    <s v="Jaipur"/>
    <s v="North"/>
    <s v="P020"/>
    <s v="T-Shirt"/>
    <x v="3"/>
    <n v="4"/>
    <n v="1600"/>
    <n v="6400"/>
  </r>
  <r>
    <n v="10211"/>
    <d v="2025-09-21T00:00:00"/>
    <s v="C073"/>
    <s v="Customer_73"/>
    <s v="Mumbai"/>
    <s v="West"/>
    <s v="P021"/>
    <s v="Formal Shirt"/>
    <x v="3"/>
    <n v="2"/>
    <n v="2400"/>
    <n v="4800"/>
  </r>
  <r>
    <n v="10212"/>
    <d v="2025-04-08T00:00:00"/>
    <s v="C003"/>
    <s v="Customer_03"/>
    <s v="Lucknow"/>
    <s v="North"/>
    <s v="P028"/>
    <s v="Wallet"/>
    <x v="1"/>
    <n v="2"/>
    <n v="1400"/>
    <n v="2800"/>
  </r>
  <r>
    <n v="10213"/>
    <d v="2025-02-16T00:00:00"/>
    <s v="C072"/>
    <s v="Customer_72"/>
    <s v="Patna"/>
    <s v="East"/>
    <s v="P002"/>
    <s v="Laptop Air"/>
    <x v="2"/>
    <n v="1"/>
    <n v="52000"/>
    <n v="52000"/>
  </r>
  <r>
    <n v="10214"/>
    <d v="2025-05-27T00:00:00"/>
    <s v="C004"/>
    <s v="Customer_04"/>
    <s v="Chandigarh"/>
    <s v="North"/>
    <s v="P005"/>
    <s v="Tablet Pro"/>
    <x v="2"/>
    <n v="2"/>
    <n v="28000"/>
    <n v="56000"/>
  </r>
  <r>
    <n v="10215"/>
    <d v="2025-02-06T00:00:00"/>
    <s v="C003"/>
    <s v="Customer_03"/>
    <s v="Lucknow"/>
    <s v="North"/>
    <s v="P028"/>
    <s v="Wallet"/>
    <x v="1"/>
    <n v="3"/>
    <n v="1400"/>
    <n v="4200"/>
  </r>
  <r>
    <n v="10216"/>
    <d v="2025-11-22T00:00:00"/>
    <s v="C053"/>
    <s v="Customer_53"/>
    <s v="Kolkata"/>
    <s v="East"/>
    <s v="P004"/>
    <s v="Smartphone Y"/>
    <x v="2"/>
    <n v="1"/>
    <n v="22000"/>
    <n v="22000"/>
  </r>
  <r>
    <n v="10217"/>
    <d v="2025-01-28T00:00:00"/>
    <s v="C039"/>
    <s v="Customer_39"/>
    <s v="Bhubaneswar"/>
    <s v="East"/>
    <s v="P014"/>
    <s v="Microwave"/>
    <x v="0"/>
    <n v="2"/>
    <n v="11000"/>
    <n v="22000"/>
  </r>
  <r>
    <n v="10218"/>
    <d v="2025-02-14T00:00:00"/>
    <s v="C016"/>
    <s v="Customer_16"/>
    <s v="Kochi"/>
    <s v="South"/>
    <s v="P011"/>
    <s v="Air Fryer"/>
    <x v="0"/>
    <n v="1"/>
    <n v="6500"/>
    <n v="6500"/>
  </r>
  <r>
    <n v="10219"/>
    <d v="2025-02-15T00:00:00"/>
    <s v="C001"/>
    <s v="Customer_01"/>
    <s v="Delhi"/>
    <s v="North"/>
    <s v="P010"/>
    <s v="Keyboard"/>
    <x v="2"/>
    <n v="1"/>
    <n v="2200"/>
    <n v="2200"/>
  </r>
  <r>
    <n v="10220"/>
    <d v="2025-03-26T00:00:00"/>
    <s v="C047"/>
    <s v="Customer_47"/>
    <s v="Hyderabad"/>
    <s v="South"/>
    <s v="P004"/>
    <s v="Smartphone Y"/>
    <x v="2"/>
    <n v="2"/>
    <n v="22000"/>
    <n v="44000"/>
  </r>
  <r>
    <n v="10221"/>
    <d v="2025-05-23T00:00:00"/>
    <s v="C037"/>
    <s v="Customer_37"/>
    <s v="Kolkata"/>
    <s v="East"/>
    <s v="P009"/>
    <s v="Wireless Earbuds"/>
    <x v="2"/>
    <n v="5"/>
    <n v="2500"/>
    <n v="12500"/>
  </r>
  <r>
    <n v="10222"/>
    <d v="2025-01-10T00:00:00"/>
    <s v="C049"/>
    <s v="Customer_49"/>
    <s v="Delhi"/>
    <s v="North"/>
    <s v="P013"/>
    <s v="Coffee Maker"/>
    <x v="0"/>
    <n v="1"/>
    <n v="4200"/>
    <n v="4200"/>
  </r>
  <r>
    <n v="10223"/>
    <d v="2025-10-18T00:00:00"/>
    <s v="C056"/>
    <s v="Customer_56"/>
    <s v="Patna"/>
    <s v="East"/>
    <s v="P004"/>
    <s v="Smartphone Y"/>
    <x v="2"/>
    <n v="3"/>
    <n v="22000"/>
    <n v="66000"/>
  </r>
  <r>
    <n v="10224"/>
    <d v="2025-08-31T00:00:00"/>
    <s v="C058"/>
    <s v="Customer_58"/>
    <s v="Pune"/>
    <s v="West"/>
    <s v="P024"/>
    <s v="Hoodie"/>
    <x v="3"/>
    <n v="3"/>
    <n v="3000"/>
    <n v="9000"/>
  </r>
  <r>
    <n v="10225"/>
    <d v="2025-03-31T00:00:00"/>
    <s v="C011"/>
    <s v="Customer_11"/>
    <s v="Ahmedabad"/>
    <s v="West"/>
    <s v="P024"/>
    <s v="Hoodie"/>
    <x v="3"/>
    <n v="1"/>
    <n v="3000"/>
    <n v="3000"/>
  </r>
  <r>
    <n v="10226"/>
    <d v="2025-07-14T00:00:00"/>
    <s v="C008"/>
    <s v="Customer_08"/>
    <s v="Patna"/>
    <s v="East"/>
    <s v="P001"/>
    <s v="Laptop Pro"/>
    <x v="2"/>
    <n v="1"/>
    <n v="65000"/>
    <n v="65000"/>
  </r>
  <r>
    <n v="10227"/>
    <d v="2025-12-10T00:00:00"/>
    <s v="C052"/>
    <s v="Customer_52"/>
    <s v="Chandigarh"/>
    <s v="North"/>
    <s v="P019"/>
    <s v="Jeans"/>
    <x v="3"/>
    <n v="2"/>
    <n v="3200"/>
    <n v="6400"/>
  </r>
  <r>
    <n v="10228"/>
    <d v="2025-12-16T00:00:00"/>
    <s v="C037"/>
    <s v="Customer_37"/>
    <s v="Kolkata"/>
    <s v="East"/>
    <s v="P010"/>
    <s v="Keyboard"/>
    <x v="2"/>
    <n v="2"/>
    <n v="2200"/>
    <n v="4400"/>
  </r>
  <r>
    <n v="10229"/>
    <d v="2025-07-13T00:00:00"/>
    <s v="C049"/>
    <s v="Customer_49"/>
    <s v="Delhi"/>
    <s v="North"/>
    <s v="P006"/>
    <s v="Monitor 24"/>
    <x v="2"/>
    <n v="3"/>
    <n v="12000"/>
    <n v="36000"/>
  </r>
  <r>
    <n v="10230"/>
    <d v="2025-10-23T00:00:00"/>
    <s v="C070"/>
    <s v="Customer_70"/>
    <s v="Guwahati"/>
    <s v="East"/>
    <s v="P018"/>
    <s v="Induction Cooktop"/>
    <x v="0"/>
    <n v="2"/>
    <n v="3000"/>
    <n v="6000"/>
  </r>
  <r>
    <n v="10231"/>
    <d v="2025-09-30T00:00:00"/>
    <s v="C042"/>
    <s v="Customer_42"/>
    <s v="Pune"/>
    <s v="West"/>
    <s v="P008"/>
    <s v="Headphones Pro"/>
    <x v="2"/>
    <n v="1"/>
    <n v="4500"/>
    <n v="4500"/>
  </r>
  <r>
    <n v="10232"/>
    <d v="2025-03-31T00:00:00"/>
    <s v="C003"/>
    <s v="Customer_03"/>
    <s v="Lucknow"/>
    <s v="North"/>
    <s v="P027"/>
    <s v="Watch"/>
    <x v="1"/>
    <n v="2"/>
    <n v="5500"/>
    <n v="11000"/>
  </r>
  <r>
    <n v="10233"/>
    <d v="2025-08-30T00:00:00"/>
    <s v="C043"/>
    <s v="Customer_43"/>
    <s v="Ahmedabad"/>
    <s v="West"/>
    <s v="P007"/>
    <s v="Monitor 27"/>
    <x v="2"/>
    <n v="2"/>
    <n v="18000"/>
    <n v="36000"/>
  </r>
  <r>
    <n v="10234"/>
    <d v="2025-12-06T00:00:00"/>
    <s v="C011"/>
    <s v="Customer_11"/>
    <s v="Ahmedabad"/>
    <s v="West"/>
    <s v="P029"/>
    <s v="Sunglasses"/>
    <x v="1"/>
    <n v="1"/>
    <n v="2000"/>
    <n v="2000"/>
  </r>
  <r>
    <n v="10235"/>
    <d v="2025-09-28T00:00:00"/>
    <s v="C004"/>
    <s v="Customer_04"/>
    <s v="Chandigarh"/>
    <s v="North"/>
    <s v="P001"/>
    <s v="Laptop Pro"/>
    <x v="2"/>
    <n v="1"/>
    <n v="65000"/>
    <n v="65000"/>
  </r>
  <r>
    <n v="10236"/>
    <d v="2025-08-16T00:00:00"/>
    <s v="C029"/>
    <s v="Customer_29"/>
    <s v="Bengaluru"/>
    <s v="South"/>
    <s v="P007"/>
    <s v="Monitor 27"/>
    <x v="2"/>
    <n v="2"/>
    <n v="18000"/>
    <n v="36000"/>
  </r>
  <r>
    <n v="10237"/>
    <d v="2025-11-17T00:00:00"/>
    <s v="C071"/>
    <s v="Customer_71"/>
    <s v="Bhubaneswar"/>
    <s v="East"/>
    <s v="P010"/>
    <s v="Keyboard"/>
    <x v="2"/>
    <n v="1"/>
    <n v="2200"/>
    <n v="2200"/>
  </r>
  <r>
    <n v="10238"/>
    <d v="2025-06-16T00:00:00"/>
    <s v="C043"/>
    <s v="Customer_43"/>
    <s v="Ahmedabad"/>
    <s v="West"/>
    <s v="P003"/>
    <s v="Smartphone X"/>
    <x v="2"/>
    <n v="1"/>
    <n v="30000"/>
    <n v="30000"/>
  </r>
  <r>
    <n v="10239"/>
    <d v="2025-05-21T00:00:00"/>
    <s v="C004"/>
    <s v="Customer_04"/>
    <s v="Chandigarh"/>
    <s v="North"/>
    <s v="P010"/>
    <s v="Keyboard"/>
    <x v="2"/>
    <n v="1"/>
    <n v="2200"/>
    <n v="2200"/>
  </r>
  <r>
    <n v="10240"/>
    <d v="2025-06-02T00:00:00"/>
    <s v="C033"/>
    <s v="Customer_33"/>
    <s v="Delhi"/>
    <s v="North"/>
    <s v="P028"/>
    <s v="Wallet"/>
    <x v="1"/>
    <n v="1"/>
    <n v="1400"/>
    <n v="1400"/>
  </r>
  <r>
    <n v="10241"/>
    <d v="2025-06-01T00:00:00"/>
    <s v="C055"/>
    <s v="Customer_55"/>
    <s v="Bhubaneswar"/>
    <s v="East"/>
    <s v="P011"/>
    <s v="Air Fryer"/>
    <x v="0"/>
    <n v="3"/>
    <n v="6500"/>
    <n v="19500"/>
  </r>
  <r>
    <n v="10242"/>
    <d v="2025-10-08T00:00:00"/>
    <s v="C062"/>
    <s v="Customer_62"/>
    <s v="Chennai"/>
    <s v="South"/>
    <s v="P003"/>
    <s v="Smartphone X"/>
    <x v="2"/>
    <n v="1"/>
    <n v="30000"/>
    <n v="30000"/>
  </r>
  <r>
    <n v="10243"/>
    <d v="2025-12-31T00:00:00"/>
    <s v="C015"/>
    <s v="Customer_15"/>
    <s v="Hyderabad"/>
    <s v="South"/>
    <s v="P021"/>
    <s v="Formal Shirt"/>
    <x v="3"/>
    <n v="4"/>
    <n v="2400"/>
    <n v="9600"/>
  </r>
  <r>
    <n v="10244"/>
    <d v="2025-12-21T00:00:00"/>
    <s v="C075"/>
    <s v="Customer_75"/>
    <s v="Ahmedabad"/>
    <s v="West"/>
    <s v="P006"/>
    <s v="Monitor 24"/>
    <x v="2"/>
    <n v="2"/>
    <n v="12000"/>
    <n v="24000"/>
  </r>
  <r>
    <n v="10245"/>
    <d v="2025-07-17T00:00:00"/>
    <s v="C011"/>
    <s v="Customer_11"/>
    <s v="Ahmedabad"/>
    <s v="West"/>
    <s v="P003"/>
    <s v="Smartphone X"/>
    <x v="2"/>
    <n v="1"/>
    <n v="30000"/>
    <n v="30000"/>
  </r>
  <r>
    <n v="10246"/>
    <d v="2025-04-17T00:00:00"/>
    <s v="C024"/>
    <s v="Customer_24"/>
    <s v="Patna"/>
    <s v="East"/>
    <s v="P016"/>
    <s v="Electric Kettle"/>
    <x v="0"/>
    <n v="2"/>
    <n v="2200"/>
    <n v="4400"/>
  </r>
  <r>
    <n v="10247"/>
    <d v="2025-07-13T00:00:00"/>
    <s v="C022"/>
    <s v="Customer_22"/>
    <s v="Guwahati"/>
    <s v="East"/>
    <s v="P016"/>
    <s v="Electric Kettle"/>
    <x v="0"/>
    <n v="2"/>
    <n v="2200"/>
    <n v="4400"/>
  </r>
  <r>
    <n v="10248"/>
    <d v="2025-05-05T00:00:00"/>
    <s v="C024"/>
    <s v="Customer_24"/>
    <s v="Patna"/>
    <s v="East"/>
    <s v="P027"/>
    <s v="Watch"/>
    <x v="1"/>
    <n v="1"/>
    <n v="5500"/>
    <n v="5500"/>
  </r>
  <r>
    <n v="10249"/>
    <d v="2025-04-11T00:00:00"/>
    <s v="C022"/>
    <s v="Customer_22"/>
    <s v="Guwahati"/>
    <s v="East"/>
    <s v="P022"/>
    <s v="Jacket"/>
    <x v="3"/>
    <n v="1"/>
    <n v="4800"/>
    <n v="4800"/>
  </r>
  <r>
    <n v="10250"/>
    <d v="2025-03-06T00:00:00"/>
    <s v="C064"/>
    <s v="Customer_64"/>
    <s v="Kochi"/>
    <s v="South"/>
    <s v="P020"/>
    <s v="T-Shirt"/>
    <x v="3"/>
    <n v="1"/>
    <n v="1600"/>
    <n v="1600"/>
  </r>
  <r>
    <n v="10251"/>
    <d v="2025-01-31T00:00:00"/>
    <s v="C027"/>
    <s v="Customer_27"/>
    <s v="Ahmedabad"/>
    <s v="West"/>
    <s v="P014"/>
    <s v="Microwave"/>
    <x v="0"/>
    <n v="2"/>
    <n v="11000"/>
    <n v="22000"/>
  </r>
  <r>
    <n v="10252"/>
    <d v="2025-09-21T00:00:00"/>
    <s v="C054"/>
    <s v="Customer_54"/>
    <s v="Guwahati"/>
    <s v="East"/>
    <s v="P024"/>
    <s v="Hoodie"/>
    <x v="3"/>
    <n v="1"/>
    <n v="3000"/>
    <n v="3000"/>
  </r>
  <r>
    <n v="10253"/>
    <d v="2025-12-20T00:00:00"/>
    <s v="C022"/>
    <s v="Customer_22"/>
    <s v="Guwahati"/>
    <s v="East"/>
    <s v="P011"/>
    <s v="Air Fryer"/>
    <x v="0"/>
    <n v="2"/>
    <n v="6500"/>
    <n v="13000"/>
  </r>
  <r>
    <n v="10254"/>
    <d v="2025-09-19T00:00:00"/>
    <s v="C039"/>
    <s v="Customer_39"/>
    <s v="Bhubaneswar"/>
    <s v="East"/>
    <s v="P024"/>
    <s v="Hoodie"/>
    <x v="3"/>
    <n v="1"/>
    <n v="3000"/>
    <n v="3000"/>
  </r>
  <r>
    <n v="10255"/>
    <d v="2025-09-17T00:00:00"/>
    <s v="C050"/>
    <s v="Customer_50"/>
    <s v="Jaipur"/>
    <s v="North"/>
    <s v="P029"/>
    <s v="Sunglasses"/>
    <x v="1"/>
    <n v="1"/>
    <n v="2000"/>
    <n v="2000"/>
  </r>
  <r>
    <n v="10256"/>
    <d v="2025-09-27T00:00:00"/>
    <s v="C074"/>
    <s v="Customer_74"/>
    <s v="Pune"/>
    <s v="West"/>
    <s v="P022"/>
    <s v="Jacket"/>
    <x v="3"/>
    <n v="1"/>
    <n v="4800"/>
    <n v="4800"/>
  </r>
  <r>
    <n v="10257"/>
    <d v="2025-11-15T00:00:00"/>
    <s v="C031"/>
    <s v="Customer_31"/>
    <s v="Hyderabad"/>
    <s v="South"/>
    <s v="P012"/>
    <s v="Mixer Grinder"/>
    <x v="0"/>
    <n v="3"/>
    <n v="5000"/>
    <n v="15000"/>
  </r>
  <r>
    <n v="10258"/>
    <d v="2025-05-05T00:00:00"/>
    <s v="C026"/>
    <s v="Customer_26"/>
    <s v="Pune"/>
    <s v="West"/>
    <s v="P028"/>
    <s v="Wallet"/>
    <x v="1"/>
    <n v="2"/>
    <n v="1400"/>
    <n v="2800"/>
  </r>
  <r>
    <n v="10259"/>
    <d v="2025-01-15T00:00:00"/>
    <s v="C028"/>
    <s v="Customer_28"/>
    <s v="Surat"/>
    <s v="West"/>
    <s v="P025"/>
    <s v="Dress"/>
    <x v="3"/>
    <n v="1"/>
    <n v="3800"/>
    <n v="3800"/>
  </r>
  <r>
    <n v="10260"/>
    <d v="2025-07-21T00:00:00"/>
    <s v="C015"/>
    <s v="Customer_15"/>
    <s v="Hyderabad"/>
    <s v="South"/>
    <s v="P014"/>
    <s v="Microwave"/>
    <x v="0"/>
    <n v="1"/>
    <n v="11000"/>
    <n v="11000"/>
  </r>
  <r>
    <n v="10261"/>
    <d v="2025-04-08T00:00:00"/>
    <s v="C061"/>
    <s v="Customer_61"/>
    <s v="Bengaluru"/>
    <s v="South"/>
    <s v="P012"/>
    <s v="Mixer Grinder"/>
    <x v="0"/>
    <n v="1"/>
    <n v="5000"/>
    <n v="5000"/>
  </r>
  <r>
    <n v="10262"/>
    <d v="2025-03-01T00:00:00"/>
    <s v="C040"/>
    <s v="Customer_40"/>
    <s v="Patna"/>
    <s v="East"/>
    <s v="P030"/>
    <s v="Travel Bag"/>
    <x v="1"/>
    <n v="1"/>
    <n v="3500"/>
    <n v="3500"/>
  </r>
  <r>
    <n v="10263"/>
    <d v="2025-11-22T00:00:00"/>
    <s v="C009"/>
    <s v="Customer_09"/>
    <s v="Mumbai"/>
    <s v="West"/>
    <s v="P018"/>
    <s v="Induction Cooktop"/>
    <x v="0"/>
    <n v="1"/>
    <n v="3000"/>
    <n v="3000"/>
  </r>
  <r>
    <n v="10264"/>
    <d v="2025-05-01T00:00:00"/>
    <s v="C067"/>
    <s v="Customer_67"/>
    <s v="Lucknow"/>
    <s v="North"/>
    <s v="P003"/>
    <s v="Smartphone X"/>
    <x v="2"/>
    <n v="1"/>
    <n v="30000"/>
    <n v="30000"/>
  </r>
  <r>
    <n v="10265"/>
    <d v="2025-02-03T00:00:00"/>
    <s v="C068"/>
    <s v="Customer_68"/>
    <s v="Chandigarh"/>
    <s v="North"/>
    <s v="P003"/>
    <s v="Smartphone X"/>
    <x v="2"/>
    <n v="2"/>
    <n v="30000"/>
    <n v="60000"/>
  </r>
  <r>
    <n v="10266"/>
    <d v="2025-07-31T00:00:00"/>
    <s v="C050"/>
    <s v="Customer_50"/>
    <s v="Jaipur"/>
    <s v="North"/>
    <s v="P013"/>
    <s v="Coffee Maker"/>
    <x v="0"/>
    <n v="1"/>
    <n v="4200"/>
    <n v="4200"/>
  </r>
  <r>
    <n v="10267"/>
    <d v="2025-10-11T00:00:00"/>
    <s v="C008"/>
    <s v="Customer_08"/>
    <s v="Patna"/>
    <s v="East"/>
    <s v="P024"/>
    <s v="Hoodie"/>
    <x v="3"/>
    <n v="3"/>
    <n v="3000"/>
    <n v="9000"/>
  </r>
  <r>
    <n v="10268"/>
    <d v="2025-02-14T00:00:00"/>
    <s v="C024"/>
    <s v="Customer_24"/>
    <s v="Patna"/>
    <s v="East"/>
    <s v="P005"/>
    <s v="Tablet Pro"/>
    <x v="2"/>
    <n v="1"/>
    <n v="28000"/>
    <n v="28000"/>
  </r>
  <r>
    <n v="10269"/>
    <d v="2025-02-20T00:00:00"/>
    <s v="C011"/>
    <s v="Customer_11"/>
    <s v="Ahmedabad"/>
    <s v="West"/>
    <s v="P013"/>
    <s v="Coffee Maker"/>
    <x v="0"/>
    <n v="3"/>
    <n v="4200"/>
    <n v="12600"/>
  </r>
  <r>
    <n v="10270"/>
    <d v="2025-03-09T00:00:00"/>
    <s v="C041"/>
    <s v="Customer_41"/>
    <s v="Mumbai"/>
    <s v="West"/>
    <s v="P030"/>
    <s v="Travel Bag"/>
    <x v="1"/>
    <n v="1"/>
    <n v="3500"/>
    <n v="3500"/>
  </r>
  <r>
    <n v="10271"/>
    <d v="2025-02-02T00:00:00"/>
    <s v="C052"/>
    <s v="Customer_52"/>
    <s v="Chandigarh"/>
    <s v="North"/>
    <s v="P012"/>
    <s v="Mixer Grinder"/>
    <x v="0"/>
    <n v="1"/>
    <n v="5000"/>
    <n v="5000"/>
  </r>
  <r>
    <n v="10272"/>
    <d v="2025-02-20T00:00:00"/>
    <s v="C004"/>
    <s v="Customer_04"/>
    <s v="Chandigarh"/>
    <s v="North"/>
    <s v="P014"/>
    <s v="Microwave"/>
    <x v="0"/>
    <n v="5"/>
    <n v="11000"/>
    <n v="55000"/>
  </r>
  <r>
    <n v="10273"/>
    <d v="2025-02-05T00:00:00"/>
    <s v="C029"/>
    <s v="Customer_29"/>
    <s v="Bengaluru"/>
    <s v="South"/>
    <s v="P012"/>
    <s v="Mixer Grinder"/>
    <x v="0"/>
    <n v="1"/>
    <n v="5000"/>
    <n v="5000"/>
  </r>
  <r>
    <n v="10274"/>
    <d v="2025-02-25T00:00:00"/>
    <s v="C040"/>
    <s v="Customer_40"/>
    <s v="Patna"/>
    <s v="East"/>
    <s v="P007"/>
    <s v="Monitor 27"/>
    <x v="2"/>
    <n v="1"/>
    <n v="18000"/>
    <n v="18000"/>
  </r>
  <r>
    <n v="10275"/>
    <d v="2025-11-05T00:00:00"/>
    <s v="C011"/>
    <s v="Customer_11"/>
    <s v="Ahmedabad"/>
    <s v="West"/>
    <s v="P025"/>
    <s v="Dress"/>
    <x v="3"/>
    <n v="2"/>
    <n v="3800"/>
    <n v="7600"/>
  </r>
  <r>
    <n v="10276"/>
    <d v="2025-08-11T00:00:00"/>
    <s v="C023"/>
    <s v="Customer_23"/>
    <s v="Bhubaneswar"/>
    <s v="East"/>
    <s v="P023"/>
    <s v="Sneakers"/>
    <x v="3"/>
    <n v="2"/>
    <n v="4200"/>
    <n v="8400"/>
  </r>
  <r>
    <n v="10277"/>
    <d v="2025-02-08T00:00:00"/>
    <s v="C052"/>
    <s v="Customer_52"/>
    <s v="Chandigarh"/>
    <s v="North"/>
    <s v="P010"/>
    <s v="Keyboard"/>
    <x v="2"/>
    <n v="1"/>
    <n v="2200"/>
    <n v="2200"/>
  </r>
  <r>
    <n v="10278"/>
    <d v="2025-11-13T00:00:00"/>
    <s v="C048"/>
    <s v="Customer_48"/>
    <s v="Kochi"/>
    <s v="South"/>
    <s v="P017"/>
    <s v="Water Purifier"/>
    <x v="0"/>
    <n v="1"/>
    <n v="15000"/>
    <n v="15000"/>
  </r>
  <r>
    <n v="10279"/>
    <d v="2025-10-24T00:00:00"/>
    <s v="C032"/>
    <s v="Customer_32"/>
    <s v="Kochi"/>
    <s v="South"/>
    <s v="P018"/>
    <s v="Induction Cooktop"/>
    <x v="0"/>
    <n v="1"/>
    <n v="3000"/>
    <n v="3000"/>
  </r>
  <r>
    <n v="10280"/>
    <d v="2025-04-03T00:00:00"/>
    <s v="C055"/>
    <s v="Customer_55"/>
    <s v="Bhubaneswar"/>
    <s v="East"/>
    <s v="P018"/>
    <s v="Induction Cooktop"/>
    <x v="0"/>
    <n v="2"/>
    <n v="3000"/>
    <n v="6000"/>
  </r>
  <r>
    <n v="10281"/>
    <d v="2025-05-09T00:00:00"/>
    <s v="C018"/>
    <s v="Customer_18"/>
    <s v="Jaipur"/>
    <s v="North"/>
    <s v="P016"/>
    <s v="Electric Kettle"/>
    <x v="0"/>
    <n v="2"/>
    <n v="2200"/>
    <n v="4400"/>
  </r>
  <r>
    <n v="10282"/>
    <d v="2025-05-14T00:00:00"/>
    <s v="C022"/>
    <s v="Customer_22"/>
    <s v="Guwahati"/>
    <s v="East"/>
    <s v="P022"/>
    <s v="Jacket"/>
    <x v="3"/>
    <n v="1"/>
    <n v="4800"/>
    <n v="4800"/>
  </r>
  <r>
    <n v="10283"/>
    <d v="2025-08-15T00:00:00"/>
    <s v="C070"/>
    <s v="Customer_70"/>
    <s v="Guwahati"/>
    <s v="East"/>
    <s v="P022"/>
    <s v="Jacket"/>
    <x v="3"/>
    <n v="1"/>
    <n v="4800"/>
    <n v="4800"/>
  </r>
  <r>
    <n v="10284"/>
    <d v="2025-05-16T00:00:00"/>
    <s v="C061"/>
    <s v="Customer_61"/>
    <s v="Bengaluru"/>
    <s v="South"/>
    <s v="P008"/>
    <s v="Headphones Pro"/>
    <x v="2"/>
    <n v="1"/>
    <n v="4500"/>
    <n v="4500"/>
  </r>
  <r>
    <n v="10285"/>
    <d v="2025-04-12T00:00:00"/>
    <s v="C066"/>
    <s v="Customer_66"/>
    <s v="Jaipur"/>
    <s v="North"/>
    <s v="P007"/>
    <s v="Monitor 27"/>
    <x v="2"/>
    <n v="2"/>
    <n v="18000"/>
    <n v="36000"/>
  </r>
  <r>
    <n v="10286"/>
    <d v="2025-11-23T00:00:00"/>
    <s v="C024"/>
    <s v="Customer_24"/>
    <s v="Patna"/>
    <s v="East"/>
    <s v="P008"/>
    <s v="Headphones Pro"/>
    <x v="2"/>
    <n v="1"/>
    <n v="4500"/>
    <n v="4500"/>
  </r>
  <r>
    <n v="10287"/>
    <d v="2025-11-10T00:00:00"/>
    <s v="C024"/>
    <s v="Customer_24"/>
    <s v="Patna"/>
    <s v="East"/>
    <s v="P019"/>
    <s v="Jeans"/>
    <x v="3"/>
    <n v="1"/>
    <n v="3200"/>
    <n v="3200"/>
  </r>
  <r>
    <n v="10288"/>
    <d v="2025-07-10T00:00:00"/>
    <s v="C028"/>
    <s v="Customer_28"/>
    <s v="Surat"/>
    <s v="West"/>
    <s v="P003"/>
    <s v="Smartphone X"/>
    <x v="2"/>
    <n v="3"/>
    <n v="30000"/>
    <n v="90000"/>
  </r>
  <r>
    <n v="10289"/>
    <d v="2025-08-20T00:00:00"/>
    <s v="C074"/>
    <s v="Customer_74"/>
    <s v="Pune"/>
    <s v="West"/>
    <s v="P022"/>
    <s v="Jacket"/>
    <x v="3"/>
    <n v="2"/>
    <n v="4800"/>
    <n v="9600"/>
  </r>
  <r>
    <n v="10290"/>
    <d v="2025-07-02T00:00:00"/>
    <s v="C042"/>
    <s v="Customer_42"/>
    <s v="Pune"/>
    <s v="West"/>
    <s v="P010"/>
    <s v="Keyboard"/>
    <x v="2"/>
    <n v="1"/>
    <n v="2200"/>
    <n v="2200"/>
  </r>
  <r>
    <n v="10291"/>
    <d v="2025-09-03T00:00:00"/>
    <s v="C025"/>
    <s v="Customer_25"/>
    <s v="Mumbai"/>
    <s v="West"/>
    <s v="P007"/>
    <s v="Monitor 27"/>
    <x v="2"/>
    <n v="1"/>
    <n v="18000"/>
    <n v="18000"/>
  </r>
  <r>
    <n v="10292"/>
    <d v="2025-01-12T00:00:00"/>
    <s v="C030"/>
    <s v="Customer_30"/>
    <s v="Chennai"/>
    <s v="South"/>
    <s v="P002"/>
    <s v="Laptop Air"/>
    <x v="2"/>
    <n v="3"/>
    <n v="52000"/>
    <n v="156000"/>
  </r>
  <r>
    <n v="10293"/>
    <d v="2025-01-28T00:00:00"/>
    <s v="C022"/>
    <s v="Customer_22"/>
    <s v="Guwahati"/>
    <s v="East"/>
    <s v="P030"/>
    <s v="Travel Bag"/>
    <x v="1"/>
    <n v="1"/>
    <n v="3500"/>
    <n v="3500"/>
  </r>
  <r>
    <n v="10294"/>
    <d v="2025-06-03T00:00:00"/>
    <s v="C024"/>
    <s v="Customer_24"/>
    <s v="Patna"/>
    <s v="East"/>
    <s v="P007"/>
    <s v="Monitor 27"/>
    <x v="2"/>
    <n v="3"/>
    <n v="18000"/>
    <n v="54000"/>
  </r>
  <r>
    <n v="10295"/>
    <d v="2025-04-16T00:00:00"/>
    <s v="C071"/>
    <s v="Customer_71"/>
    <s v="Bhubaneswar"/>
    <s v="East"/>
    <s v="P007"/>
    <s v="Monitor 27"/>
    <x v="2"/>
    <n v="1"/>
    <n v="18000"/>
    <n v="18000"/>
  </r>
  <r>
    <n v="10296"/>
    <d v="2025-12-29T00:00:00"/>
    <s v="C006"/>
    <s v="Customer_06"/>
    <s v="Guwahati"/>
    <s v="East"/>
    <s v="P005"/>
    <s v="Tablet Pro"/>
    <x v="2"/>
    <n v="1"/>
    <n v="28000"/>
    <n v="28000"/>
  </r>
  <r>
    <n v="10297"/>
    <d v="2025-08-22T00:00:00"/>
    <s v="C066"/>
    <s v="Customer_66"/>
    <s v="Jaipur"/>
    <s v="North"/>
    <s v="P019"/>
    <s v="Jeans"/>
    <x v="3"/>
    <n v="1"/>
    <n v="3200"/>
    <n v="3200"/>
  </r>
  <r>
    <n v="10298"/>
    <d v="2025-11-13T00:00:00"/>
    <s v="C046"/>
    <s v="Customer_46"/>
    <s v="Chennai"/>
    <s v="South"/>
    <s v="P015"/>
    <s v="Vacuum Cleaner"/>
    <x v="0"/>
    <n v="1"/>
    <n v="9000"/>
    <n v="9000"/>
  </r>
  <r>
    <n v="10299"/>
    <d v="2025-04-28T00:00:00"/>
    <s v="C009"/>
    <s v="Customer_09"/>
    <s v="Mumbai"/>
    <s v="West"/>
    <s v="P026"/>
    <s v="Backpack"/>
    <x v="1"/>
    <n v="1"/>
    <n v="2400"/>
    <n v="2400"/>
  </r>
  <r>
    <n v="10300"/>
    <d v="2025-02-06T00:00:00"/>
    <s v="C075"/>
    <s v="Customer_75"/>
    <s v="Ahmedabad"/>
    <s v="West"/>
    <s v="P027"/>
    <s v="Watch"/>
    <x v="1"/>
    <n v="5"/>
    <n v="5500"/>
    <n v="27500"/>
  </r>
  <r>
    <n v="10301"/>
    <d v="2025-01-19T00:00:00"/>
    <s v="C066"/>
    <s v="Customer_66"/>
    <s v="Jaipur"/>
    <s v="North"/>
    <s v="P021"/>
    <s v="Formal Shirt"/>
    <x v="3"/>
    <n v="1"/>
    <n v="2400"/>
    <n v="2400"/>
  </r>
  <r>
    <n v="10302"/>
    <d v="2025-01-13T00:00:00"/>
    <s v="C072"/>
    <s v="Customer_72"/>
    <s v="Patna"/>
    <s v="East"/>
    <s v="P017"/>
    <s v="Water Purifier"/>
    <x v="0"/>
    <n v="2"/>
    <n v="15000"/>
    <n v="30000"/>
  </r>
  <r>
    <n v="10303"/>
    <d v="2025-07-09T00:00:00"/>
    <s v="C065"/>
    <s v="Customer_65"/>
    <s v="Delhi"/>
    <s v="North"/>
    <s v="P011"/>
    <s v="Air Fryer"/>
    <x v="0"/>
    <n v="2"/>
    <n v="6500"/>
    <n v="13000"/>
  </r>
  <r>
    <n v="10304"/>
    <d v="2025-01-27T00:00:00"/>
    <s v="C063"/>
    <s v="Customer_63"/>
    <s v="Hyderabad"/>
    <s v="South"/>
    <s v="P012"/>
    <s v="Mixer Grinder"/>
    <x v="0"/>
    <n v="1"/>
    <n v="5000"/>
    <n v="5000"/>
  </r>
  <r>
    <n v="10305"/>
    <d v="2025-10-02T00:00:00"/>
    <s v="C011"/>
    <s v="Customer_11"/>
    <s v="Ahmedabad"/>
    <s v="West"/>
    <s v="P019"/>
    <s v="Jeans"/>
    <x v="3"/>
    <n v="1"/>
    <n v="3200"/>
    <n v="3200"/>
  </r>
  <r>
    <n v="10306"/>
    <d v="2025-08-21T00:00:00"/>
    <s v="C029"/>
    <s v="Customer_29"/>
    <s v="Bengaluru"/>
    <s v="South"/>
    <s v="P002"/>
    <s v="Laptop Air"/>
    <x v="2"/>
    <n v="4"/>
    <n v="52000"/>
    <n v="208000"/>
  </r>
  <r>
    <n v="10307"/>
    <d v="2025-11-22T00:00:00"/>
    <s v="C030"/>
    <s v="Customer_30"/>
    <s v="Chennai"/>
    <s v="South"/>
    <s v="P014"/>
    <s v="Microwave"/>
    <x v="0"/>
    <n v="2"/>
    <n v="11000"/>
    <n v="22000"/>
  </r>
  <r>
    <n v="10308"/>
    <d v="2025-02-18T00:00:00"/>
    <s v="C058"/>
    <s v="Customer_58"/>
    <s v="Pune"/>
    <s v="West"/>
    <s v="P008"/>
    <s v="Headphones Pro"/>
    <x v="2"/>
    <n v="2"/>
    <n v="4500"/>
    <n v="9000"/>
  </r>
  <r>
    <n v="10309"/>
    <d v="2025-08-25T00:00:00"/>
    <s v="C032"/>
    <s v="Customer_32"/>
    <s v="Kochi"/>
    <s v="South"/>
    <s v="P007"/>
    <s v="Monitor 27"/>
    <x v="2"/>
    <n v="2"/>
    <n v="18000"/>
    <n v="36000"/>
  </r>
  <r>
    <n v="10310"/>
    <d v="2025-12-20T00:00:00"/>
    <s v="C011"/>
    <s v="Customer_11"/>
    <s v="Ahmedabad"/>
    <s v="West"/>
    <s v="P009"/>
    <s v="Wireless Earbuds"/>
    <x v="2"/>
    <n v="1"/>
    <n v="2500"/>
    <n v="2500"/>
  </r>
  <r>
    <n v="10311"/>
    <d v="2025-07-17T00:00:00"/>
    <s v="C068"/>
    <s v="Customer_68"/>
    <s v="Chandigarh"/>
    <s v="North"/>
    <s v="P005"/>
    <s v="Tablet Pro"/>
    <x v="2"/>
    <n v="1"/>
    <n v="28000"/>
    <n v="28000"/>
  </r>
  <r>
    <n v="10312"/>
    <d v="2025-01-06T00:00:00"/>
    <s v="C028"/>
    <s v="Customer_28"/>
    <s v="Surat"/>
    <s v="West"/>
    <s v="P002"/>
    <s v="Laptop Air"/>
    <x v="2"/>
    <n v="1"/>
    <n v="52000"/>
    <n v="52000"/>
  </r>
  <r>
    <n v="10313"/>
    <d v="2025-04-23T00:00:00"/>
    <s v="C050"/>
    <s v="Customer_50"/>
    <s v="Jaipur"/>
    <s v="North"/>
    <s v="P007"/>
    <s v="Monitor 27"/>
    <x v="2"/>
    <n v="1"/>
    <n v="18000"/>
    <n v="18000"/>
  </r>
  <r>
    <n v="10314"/>
    <d v="2025-10-15T00:00:00"/>
    <s v="C019"/>
    <s v="Customer_19"/>
    <s v="Lucknow"/>
    <s v="North"/>
    <s v="P008"/>
    <s v="Headphones Pro"/>
    <x v="2"/>
    <n v="1"/>
    <n v="4500"/>
    <n v="4500"/>
  </r>
  <r>
    <n v="10315"/>
    <d v="2025-08-26T00:00:00"/>
    <s v="C039"/>
    <s v="Customer_39"/>
    <s v="Bhubaneswar"/>
    <s v="East"/>
    <s v="P020"/>
    <s v="T-Shirt"/>
    <x v="3"/>
    <n v="2"/>
    <n v="1600"/>
    <n v="3200"/>
  </r>
  <r>
    <n v="10316"/>
    <d v="2025-03-29T00:00:00"/>
    <s v="C058"/>
    <s v="Customer_58"/>
    <s v="Pune"/>
    <s v="West"/>
    <s v="P025"/>
    <s v="Dress"/>
    <x v="3"/>
    <n v="1"/>
    <n v="3800"/>
    <n v="3800"/>
  </r>
  <r>
    <n v="10317"/>
    <d v="2025-07-19T00:00:00"/>
    <s v="C041"/>
    <s v="Customer_41"/>
    <s v="Mumbai"/>
    <s v="West"/>
    <s v="P020"/>
    <s v="T-Shirt"/>
    <x v="3"/>
    <n v="1"/>
    <n v="1600"/>
    <n v="1600"/>
  </r>
  <r>
    <n v="10318"/>
    <d v="2025-04-07T00:00:00"/>
    <s v="C049"/>
    <s v="Customer_49"/>
    <s v="Delhi"/>
    <s v="North"/>
    <s v="P010"/>
    <s v="Keyboard"/>
    <x v="2"/>
    <n v="2"/>
    <n v="2200"/>
    <n v="4400"/>
  </r>
  <r>
    <n v="10319"/>
    <d v="2025-11-24T00:00:00"/>
    <s v="C070"/>
    <s v="Customer_70"/>
    <s v="Guwahati"/>
    <s v="East"/>
    <s v="P013"/>
    <s v="Coffee Maker"/>
    <x v="0"/>
    <n v="2"/>
    <n v="4200"/>
    <n v="8400"/>
  </r>
  <r>
    <n v="10320"/>
    <d v="2025-10-01T00:00:00"/>
    <s v="C047"/>
    <s v="Customer_47"/>
    <s v="Hyderabad"/>
    <s v="South"/>
    <s v="P008"/>
    <s v="Headphones Pro"/>
    <x v="2"/>
    <n v="1"/>
    <n v="4500"/>
    <n v="4500"/>
  </r>
  <r>
    <n v="10321"/>
    <d v="2025-04-26T00:00:00"/>
    <s v="C041"/>
    <s v="Customer_41"/>
    <s v="Mumbai"/>
    <s v="West"/>
    <s v="P025"/>
    <s v="Dress"/>
    <x v="3"/>
    <n v="2"/>
    <n v="3800"/>
    <n v="7600"/>
  </r>
  <r>
    <n v="10322"/>
    <d v="2025-06-06T00:00:00"/>
    <s v="C036"/>
    <s v="Customer_36"/>
    <s v="Chandigarh"/>
    <s v="North"/>
    <s v="P027"/>
    <s v="Watch"/>
    <x v="1"/>
    <n v="1"/>
    <n v="5500"/>
    <n v="5500"/>
  </r>
  <r>
    <n v="10323"/>
    <d v="2025-02-22T00:00:00"/>
    <s v="C034"/>
    <s v="Customer_34"/>
    <s v="Jaipur"/>
    <s v="North"/>
    <s v="P026"/>
    <s v="Backpack"/>
    <x v="1"/>
    <n v="1"/>
    <n v="2400"/>
    <n v="2400"/>
  </r>
  <r>
    <n v="10324"/>
    <d v="2025-08-01T00:00:00"/>
    <s v="C009"/>
    <s v="Customer_09"/>
    <s v="Mumbai"/>
    <s v="West"/>
    <s v="P029"/>
    <s v="Sunglasses"/>
    <x v="1"/>
    <n v="1"/>
    <n v="2000"/>
    <n v="2000"/>
  </r>
  <r>
    <n v="10325"/>
    <d v="2025-12-26T00:00:00"/>
    <s v="C024"/>
    <s v="Customer_24"/>
    <s v="Patna"/>
    <s v="East"/>
    <s v="P008"/>
    <s v="Headphones Pro"/>
    <x v="2"/>
    <n v="3"/>
    <n v="4500"/>
    <n v="13500"/>
  </r>
  <r>
    <n v="10326"/>
    <d v="2025-08-11T00:00:00"/>
    <s v="C003"/>
    <s v="Customer_03"/>
    <s v="Lucknow"/>
    <s v="North"/>
    <s v="P002"/>
    <s v="Laptop Air"/>
    <x v="2"/>
    <n v="1"/>
    <n v="52000"/>
    <n v="52000"/>
  </r>
  <r>
    <n v="10327"/>
    <d v="2025-10-04T00:00:00"/>
    <s v="C014"/>
    <s v="Customer_14"/>
    <s v="Chennai"/>
    <s v="South"/>
    <s v="P005"/>
    <s v="Tablet Pro"/>
    <x v="2"/>
    <n v="1"/>
    <n v="28000"/>
    <n v="28000"/>
  </r>
  <r>
    <n v="10328"/>
    <d v="2025-11-17T00:00:00"/>
    <s v="C074"/>
    <s v="Customer_74"/>
    <s v="Pune"/>
    <s v="West"/>
    <s v="P005"/>
    <s v="Tablet Pro"/>
    <x v="2"/>
    <n v="3"/>
    <n v="28000"/>
    <n v="84000"/>
  </r>
  <r>
    <n v="10329"/>
    <d v="2025-09-24T00:00:00"/>
    <s v="C007"/>
    <s v="Customer_07"/>
    <s v="Bhubaneswar"/>
    <s v="East"/>
    <s v="P014"/>
    <s v="Microwave"/>
    <x v="0"/>
    <n v="3"/>
    <n v="11000"/>
    <n v="33000"/>
  </r>
  <r>
    <n v="10330"/>
    <d v="2025-11-12T00:00:00"/>
    <s v="C051"/>
    <s v="Customer_51"/>
    <s v="Lucknow"/>
    <s v="North"/>
    <s v="P016"/>
    <s v="Electric Kettle"/>
    <x v="0"/>
    <n v="1"/>
    <n v="2200"/>
    <n v="2200"/>
  </r>
  <r>
    <n v="10331"/>
    <d v="2025-09-10T00:00:00"/>
    <s v="C026"/>
    <s v="Customer_26"/>
    <s v="Pune"/>
    <s v="West"/>
    <s v="P020"/>
    <s v="T-Shirt"/>
    <x v="3"/>
    <n v="4"/>
    <n v="1600"/>
    <n v="6400"/>
  </r>
  <r>
    <n v="10332"/>
    <d v="2025-11-17T00:00:00"/>
    <s v="C036"/>
    <s v="Customer_36"/>
    <s v="Chandigarh"/>
    <s v="North"/>
    <s v="P012"/>
    <s v="Mixer Grinder"/>
    <x v="0"/>
    <n v="2"/>
    <n v="5000"/>
    <n v="10000"/>
  </r>
  <r>
    <n v="10333"/>
    <d v="2025-05-11T00:00:00"/>
    <s v="C066"/>
    <s v="Customer_66"/>
    <s v="Jaipur"/>
    <s v="North"/>
    <s v="P005"/>
    <s v="Tablet Pro"/>
    <x v="2"/>
    <n v="2"/>
    <n v="28000"/>
    <n v="56000"/>
  </r>
  <r>
    <n v="10334"/>
    <d v="2025-10-03T00:00:00"/>
    <s v="C038"/>
    <s v="Customer_38"/>
    <s v="Guwahati"/>
    <s v="East"/>
    <s v="P023"/>
    <s v="Sneakers"/>
    <x v="3"/>
    <n v="3"/>
    <n v="4200"/>
    <n v="12600"/>
  </r>
  <r>
    <n v="10335"/>
    <d v="2025-01-11T00:00:00"/>
    <s v="C006"/>
    <s v="Customer_06"/>
    <s v="Guwahati"/>
    <s v="East"/>
    <s v="P019"/>
    <s v="Jeans"/>
    <x v="3"/>
    <n v="1"/>
    <n v="3200"/>
    <n v="3200"/>
  </r>
  <r>
    <n v="10336"/>
    <d v="2025-11-03T00:00:00"/>
    <s v="C070"/>
    <s v="Customer_70"/>
    <s v="Guwahati"/>
    <s v="East"/>
    <s v="P002"/>
    <s v="Laptop Air"/>
    <x v="2"/>
    <n v="1"/>
    <n v="52000"/>
    <n v="52000"/>
  </r>
  <r>
    <n v="10337"/>
    <d v="2025-07-26T00:00:00"/>
    <s v="C011"/>
    <s v="Customer_11"/>
    <s v="Ahmedabad"/>
    <s v="West"/>
    <s v="P020"/>
    <s v="T-Shirt"/>
    <x v="3"/>
    <n v="1"/>
    <n v="1600"/>
    <n v="1600"/>
  </r>
  <r>
    <n v="10338"/>
    <d v="2025-03-04T00:00:00"/>
    <s v="C068"/>
    <s v="Customer_68"/>
    <s v="Chandigarh"/>
    <s v="North"/>
    <s v="P025"/>
    <s v="Dress"/>
    <x v="3"/>
    <n v="1"/>
    <n v="3800"/>
    <n v="3800"/>
  </r>
  <r>
    <n v="10339"/>
    <d v="2025-04-17T00:00:00"/>
    <s v="C017"/>
    <s v="Customer_17"/>
    <s v="Delhi"/>
    <s v="North"/>
    <s v="P006"/>
    <s v="Monitor 24"/>
    <x v="2"/>
    <n v="1"/>
    <n v="12000"/>
    <n v="12000"/>
  </r>
  <r>
    <n v="10340"/>
    <d v="2025-01-05T00:00:00"/>
    <s v="C015"/>
    <s v="Customer_15"/>
    <s v="Hyderabad"/>
    <s v="South"/>
    <s v="P029"/>
    <s v="Sunglasses"/>
    <x v="1"/>
    <n v="1"/>
    <n v="2000"/>
    <n v="2000"/>
  </r>
  <r>
    <n v="10341"/>
    <d v="2025-06-29T00:00:00"/>
    <s v="C055"/>
    <s v="Customer_55"/>
    <s v="Bhubaneswar"/>
    <s v="East"/>
    <s v="P015"/>
    <s v="Vacuum Cleaner"/>
    <x v="0"/>
    <n v="1"/>
    <n v="9000"/>
    <n v="9000"/>
  </r>
  <r>
    <n v="10342"/>
    <d v="2025-03-09T00:00:00"/>
    <s v="C068"/>
    <s v="Customer_68"/>
    <s v="Chandigarh"/>
    <s v="North"/>
    <s v="P028"/>
    <s v="Wallet"/>
    <x v="1"/>
    <n v="3"/>
    <n v="1400"/>
    <n v="4200"/>
  </r>
  <r>
    <n v="10343"/>
    <d v="2025-06-07T00:00:00"/>
    <s v="C052"/>
    <s v="Customer_52"/>
    <s v="Chandigarh"/>
    <s v="North"/>
    <s v="P008"/>
    <s v="Headphones Pro"/>
    <x v="2"/>
    <n v="2"/>
    <n v="4500"/>
    <n v="9000"/>
  </r>
  <r>
    <n v="10344"/>
    <d v="2025-10-12T00:00:00"/>
    <s v="C021"/>
    <s v="Customer_21"/>
    <s v="Kolkata"/>
    <s v="East"/>
    <s v="P024"/>
    <s v="Hoodie"/>
    <x v="3"/>
    <n v="1"/>
    <n v="3000"/>
    <n v="3000"/>
  </r>
  <r>
    <n v="10345"/>
    <d v="2025-07-08T00:00:00"/>
    <s v="C007"/>
    <s v="Customer_07"/>
    <s v="Bhubaneswar"/>
    <s v="East"/>
    <s v="P010"/>
    <s v="Keyboard"/>
    <x v="2"/>
    <n v="3"/>
    <n v="2200"/>
    <n v="6600"/>
  </r>
  <r>
    <n v="10346"/>
    <d v="2025-10-21T00:00:00"/>
    <s v="C045"/>
    <s v="Customer_45"/>
    <s v="Bengaluru"/>
    <s v="South"/>
    <s v="P022"/>
    <s v="Jacket"/>
    <x v="3"/>
    <n v="2"/>
    <n v="4800"/>
    <n v="9600"/>
  </r>
  <r>
    <n v="10347"/>
    <d v="2025-06-12T00:00:00"/>
    <s v="C071"/>
    <s v="Customer_71"/>
    <s v="Bhubaneswar"/>
    <s v="East"/>
    <s v="P007"/>
    <s v="Monitor 27"/>
    <x v="2"/>
    <n v="4"/>
    <n v="18000"/>
    <n v="72000"/>
  </r>
  <r>
    <n v="10348"/>
    <d v="2025-06-19T00:00:00"/>
    <s v="C017"/>
    <s v="Customer_17"/>
    <s v="Delhi"/>
    <s v="North"/>
    <s v="P026"/>
    <s v="Backpack"/>
    <x v="1"/>
    <n v="2"/>
    <n v="2400"/>
    <n v="4800"/>
  </r>
  <r>
    <n v="10349"/>
    <d v="2025-04-06T00:00:00"/>
    <s v="C064"/>
    <s v="Customer_64"/>
    <s v="Kochi"/>
    <s v="South"/>
    <s v="P022"/>
    <s v="Jacket"/>
    <x v="3"/>
    <n v="1"/>
    <n v="4800"/>
    <n v="4800"/>
  </r>
  <r>
    <n v="10350"/>
    <d v="2025-04-26T00:00:00"/>
    <s v="C012"/>
    <s v="Customer_12"/>
    <s v="Surat"/>
    <s v="West"/>
    <s v="P021"/>
    <s v="Formal Shirt"/>
    <x v="3"/>
    <n v="4"/>
    <n v="2400"/>
    <n v="9600"/>
  </r>
  <r>
    <n v="10351"/>
    <d v="2025-08-21T00:00:00"/>
    <s v="C047"/>
    <s v="Customer_47"/>
    <s v="Hyderabad"/>
    <s v="South"/>
    <s v="P013"/>
    <s v="Coffee Maker"/>
    <x v="0"/>
    <n v="1"/>
    <n v="4200"/>
    <n v="4200"/>
  </r>
  <r>
    <n v="10352"/>
    <d v="2025-05-29T00:00:00"/>
    <s v="C021"/>
    <s v="Customer_21"/>
    <s v="Kolkata"/>
    <s v="East"/>
    <s v="P029"/>
    <s v="Sunglasses"/>
    <x v="1"/>
    <n v="2"/>
    <n v="2000"/>
    <n v="4000"/>
  </r>
  <r>
    <n v="10353"/>
    <d v="2025-08-26T00:00:00"/>
    <s v="C047"/>
    <s v="Customer_47"/>
    <s v="Hyderabad"/>
    <s v="South"/>
    <s v="P007"/>
    <s v="Monitor 27"/>
    <x v="2"/>
    <n v="1"/>
    <n v="18000"/>
    <n v="18000"/>
  </r>
  <r>
    <n v="10354"/>
    <d v="2025-09-26T00:00:00"/>
    <s v="C061"/>
    <s v="Customer_61"/>
    <s v="Bengaluru"/>
    <s v="South"/>
    <s v="P022"/>
    <s v="Jacket"/>
    <x v="3"/>
    <n v="1"/>
    <n v="4800"/>
    <n v="4800"/>
  </r>
  <r>
    <n v="10355"/>
    <d v="2025-03-03T00:00:00"/>
    <s v="C055"/>
    <s v="Customer_55"/>
    <s v="Bhubaneswar"/>
    <s v="East"/>
    <s v="P012"/>
    <s v="Mixer Grinder"/>
    <x v="0"/>
    <n v="2"/>
    <n v="5000"/>
    <n v="10000"/>
  </r>
  <r>
    <n v="10356"/>
    <d v="2025-09-25T00:00:00"/>
    <s v="C021"/>
    <s v="Customer_21"/>
    <s v="Kolkata"/>
    <s v="East"/>
    <s v="P021"/>
    <s v="Formal Shirt"/>
    <x v="3"/>
    <n v="3"/>
    <n v="2400"/>
    <n v="7200"/>
  </r>
  <r>
    <n v="10357"/>
    <d v="2025-10-23T00:00:00"/>
    <s v="C018"/>
    <s v="Customer_18"/>
    <s v="Jaipur"/>
    <s v="North"/>
    <s v="P009"/>
    <s v="Wireless Earbuds"/>
    <x v="2"/>
    <n v="3"/>
    <n v="2500"/>
    <n v="7500"/>
  </r>
  <r>
    <n v="10358"/>
    <d v="2025-12-11T00:00:00"/>
    <s v="C071"/>
    <s v="Customer_71"/>
    <s v="Bhubaneswar"/>
    <s v="East"/>
    <s v="P007"/>
    <s v="Monitor 27"/>
    <x v="2"/>
    <n v="1"/>
    <n v="18000"/>
    <n v="18000"/>
  </r>
  <r>
    <n v="10359"/>
    <d v="2025-10-17T00:00:00"/>
    <s v="C051"/>
    <s v="Customer_51"/>
    <s v="Lucknow"/>
    <s v="North"/>
    <s v="P027"/>
    <s v="Watch"/>
    <x v="1"/>
    <n v="4"/>
    <n v="5500"/>
    <n v="22000"/>
  </r>
  <r>
    <n v="10360"/>
    <d v="2025-09-23T00:00:00"/>
    <s v="C057"/>
    <s v="Customer_57"/>
    <s v="Mumbai"/>
    <s v="West"/>
    <s v="P007"/>
    <s v="Monitor 27"/>
    <x v="2"/>
    <n v="2"/>
    <n v="18000"/>
    <n v="36000"/>
  </r>
  <r>
    <n v="10361"/>
    <d v="2025-10-09T00:00:00"/>
    <s v="C075"/>
    <s v="Customer_75"/>
    <s v="Ahmedabad"/>
    <s v="West"/>
    <s v="P002"/>
    <s v="Laptop Air"/>
    <x v="2"/>
    <n v="1"/>
    <n v="52000"/>
    <n v="52000"/>
  </r>
  <r>
    <n v="10362"/>
    <d v="2025-04-02T00:00:00"/>
    <s v="C060"/>
    <s v="Customer_60"/>
    <s v="Surat"/>
    <s v="West"/>
    <s v="P011"/>
    <s v="Air Fryer"/>
    <x v="0"/>
    <n v="1"/>
    <n v="6500"/>
    <n v="6500"/>
  </r>
  <r>
    <n v="10363"/>
    <d v="2025-10-14T00:00:00"/>
    <s v="C007"/>
    <s v="Customer_07"/>
    <s v="Bhubaneswar"/>
    <s v="East"/>
    <s v="P010"/>
    <s v="Keyboard"/>
    <x v="2"/>
    <n v="2"/>
    <n v="2200"/>
    <n v="4400"/>
  </r>
  <r>
    <n v="10364"/>
    <d v="2025-01-29T00:00:00"/>
    <s v="C055"/>
    <s v="Customer_55"/>
    <s v="Bhubaneswar"/>
    <s v="East"/>
    <s v="P001"/>
    <s v="Laptop Pro"/>
    <x v="2"/>
    <n v="3"/>
    <n v="65000"/>
    <n v="195000"/>
  </r>
  <r>
    <n v="10365"/>
    <d v="2025-06-10T00:00:00"/>
    <s v="C073"/>
    <s v="Customer_73"/>
    <s v="Mumbai"/>
    <s v="West"/>
    <s v="P001"/>
    <s v="Laptop Pro"/>
    <x v="2"/>
    <n v="2"/>
    <n v="65000"/>
    <n v="130000"/>
  </r>
  <r>
    <n v="10366"/>
    <d v="2025-01-10T00:00:00"/>
    <s v="C002"/>
    <s v="Customer_02"/>
    <s v="Jaipur"/>
    <s v="North"/>
    <s v="P014"/>
    <s v="Microwave"/>
    <x v="0"/>
    <n v="2"/>
    <n v="11000"/>
    <n v="22000"/>
  </r>
  <r>
    <n v="10367"/>
    <d v="2025-04-12T00:00:00"/>
    <s v="C008"/>
    <s v="Customer_08"/>
    <s v="Patna"/>
    <s v="East"/>
    <s v="P023"/>
    <s v="Sneakers"/>
    <x v="3"/>
    <n v="2"/>
    <n v="4200"/>
    <n v="8400"/>
  </r>
  <r>
    <n v="10368"/>
    <d v="2025-04-23T00:00:00"/>
    <s v="C044"/>
    <s v="Customer_44"/>
    <s v="Surat"/>
    <s v="West"/>
    <s v="P014"/>
    <s v="Microwave"/>
    <x v="0"/>
    <n v="1"/>
    <n v="11000"/>
    <n v="11000"/>
  </r>
  <r>
    <n v="10369"/>
    <d v="2025-06-09T00:00:00"/>
    <s v="C034"/>
    <s v="Customer_34"/>
    <s v="Jaipur"/>
    <s v="North"/>
    <s v="P005"/>
    <s v="Tablet Pro"/>
    <x v="2"/>
    <n v="2"/>
    <n v="28000"/>
    <n v="56000"/>
  </r>
  <r>
    <n v="10370"/>
    <d v="2025-09-28T00:00:00"/>
    <s v="C037"/>
    <s v="Customer_37"/>
    <s v="Kolkata"/>
    <s v="East"/>
    <s v="P013"/>
    <s v="Coffee Maker"/>
    <x v="0"/>
    <n v="2"/>
    <n v="4200"/>
    <n v="8400"/>
  </r>
  <r>
    <n v="10371"/>
    <d v="2025-12-30T00:00:00"/>
    <s v="C007"/>
    <s v="Customer_07"/>
    <s v="Bhubaneswar"/>
    <s v="East"/>
    <s v="P012"/>
    <s v="Mixer Grinder"/>
    <x v="0"/>
    <n v="1"/>
    <n v="5000"/>
    <n v="5000"/>
  </r>
  <r>
    <n v="10372"/>
    <d v="2025-07-25T00:00:00"/>
    <s v="C006"/>
    <s v="Customer_06"/>
    <s v="Guwahati"/>
    <s v="East"/>
    <s v="P003"/>
    <s v="Smartphone X"/>
    <x v="2"/>
    <n v="1"/>
    <n v="30000"/>
    <n v="30000"/>
  </r>
  <r>
    <n v="10373"/>
    <d v="2025-01-15T00:00:00"/>
    <s v="C006"/>
    <s v="Customer_06"/>
    <s v="Guwahati"/>
    <s v="East"/>
    <s v="P001"/>
    <s v="Laptop Pro"/>
    <x v="2"/>
    <n v="1"/>
    <n v="65000"/>
    <n v="65000"/>
  </r>
  <r>
    <n v="10374"/>
    <d v="2025-06-06T00:00:00"/>
    <s v="C017"/>
    <s v="Customer_17"/>
    <s v="Delhi"/>
    <s v="North"/>
    <s v="P001"/>
    <s v="Laptop Pro"/>
    <x v="2"/>
    <n v="1"/>
    <n v="65000"/>
    <n v="65000"/>
  </r>
  <r>
    <n v="10375"/>
    <d v="2025-06-08T00:00:00"/>
    <s v="C014"/>
    <s v="Customer_14"/>
    <s v="Chennai"/>
    <s v="South"/>
    <s v="P029"/>
    <s v="Sunglasses"/>
    <x v="1"/>
    <n v="1"/>
    <n v="2000"/>
    <n v="2000"/>
  </r>
  <r>
    <n v="10376"/>
    <d v="2025-02-14T00:00:00"/>
    <s v="C014"/>
    <s v="Customer_14"/>
    <s v="Chennai"/>
    <s v="South"/>
    <s v="P012"/>
    <s v="Mixer Grinder"/>
    <x v="0"/>
    <n v="3"/>
    <n v="5000"/>
    <n v="15000"/>
  </r>
  <r>
    <n v="10377"/>
    <d v="2025-06-29T00:00:00"/>
    <s v="C037"/>
    <s v="Customer_37"/>
    <s v="Kolkata"/>
    <s v="East"/>
    <s v="P009"/>
    <s v="Wireless Earbuds"/>
    <x v="2"/>
    <n v="1"/>
    <n v="2500"/>
    <n v="2500"/>
  </r>
  <r>
    <n v="10378"/>
    <d v="2025-02-11T00:00:00"/>
    <s v="C043"/>
    <s v="Customer_43"/>
    <s v="Ahmedabad"/>
    <s v="West"/>
    <s v="P027"/>
    <s v="Watch"/>
    <x v="1"/>
    <n v="3"/>
    <n v="5500"/>
    <n v="16500"/>
  </r>
  <r>
    <n v="10379"/>
    <d v="2025-09-19T00:00:00"/>
    <s v="C011"/>
    <s v="Customer_11"/>
    <s v="Ahmedabad"/>
    <s v="West"/>
    <s v="P012"/>
    <s v="Mixer Grinder"/>
    <x v="0"/>
    <n v="2"/>
    <n v="5000"/>
    <n v="10000"/>
  </r>
  <r>
    <n v="10380"/>
    <d v="2025-08-19T00:00:00"/>
    <s v="C058"/>
    <s v="Customer_58"/>
    <s v="Pune"/>
    <s v="West"/>
    <s v="P023"/>
    <s v="Sneakers"/>
    <x v="3"/>
    <n v="1"/>
    <n v="4200"/>
    <n v="4200"/>
  </r>
  <r>
    <n v="10381"/>
    <d v="2025-11-06T00:00:00"/>
    <s v="C065"/>
    <s v="Customer_65"/>
    <s v="Delhi"/>
    <s v="North"/>
    <s v="P023"/>
    <s v="Sneakers"/>
    <x v="3"/>
    <n v="2"/>
    <n v="4200"/>
    <n v="8400"/>
  </r>
  <r>
    <n v="10382"/>
    <d v="2025-04-15T00:00:00"/>
    <s v="C043"/>
    <s v="Customer_43"/>
    <s v="Ahmedabad"/>
    <s v="West"/>
    <s v="P019"/>
    <s v="Jeans"/>
    <x v="3"/>
    <n v="2"/>
    <n v="3200"/>
    <n v="6400"/>
  </r>
  <r>
    <n v="10383"/>
    <d v="2025-04-08T00:00:00"/>
    <s v="C037"/>
    <s v="Customer_37"/>
    <s v="Kolkata"/>
    <s v="East"/>
    <s v="P022"/>
    <s v="Jacket"/>
    <x v="3"/>
    <n v="1"/>
    <n v="4800"/>
    <n v="4800"/>
  </r>
  <r>
    <n v="10384"/>
    <d v="2025-09-07T00:00:00"/>
    <s v="C004"/>
    <s v="Customer_04"/>
    <s v="Chandigarh"/>
    <s v="North"/>
    <s v="P003"/>
    <s v="Smartphone X"/>
    <x v="2"/>
    <n v="2"/>
    <n v="30000"/>
    <n v="60000"/>
  </r>
  <r>
    <n v="10385"/>
    <d v="2025-07-08T00:00:00"/>
    <s v="C007"/>
    <s v="Customer_07"/>
    <s v="Bhubaneswar"/>
    <s v="East"/>
    <s v="P012"/>
    <s v="Mixer Grinder"/>
    <x v="0"/>
    <n v="2"/>
    <n v="5000"/>
    <n v="10000"/>
  </r>
  <r>
    <n v="10386"/>
    <d v="2025-11-01T00:00:00"/>
    <s v="C008"/>
    <s v="Customer_08"/>
    <s v="Patna"/>
    <s v="East"/>
    <s v="P024"/>
    <s v="Hoodie"/>
    <x v="3"/>
    <n v="2"/>
    <n v="3000"/>
    <n v="6000"/>
  </r>
  <r>
    <n v="10387"/>
    <d v="2025-01-12T00:00:00"/>
    <s v="C068"/>
    <s v="Customer_68"/>
    <s v="Chandigarh"/>
    <s v="North"/>
    <s v="P030"/>
    <s v="Travel Bag"/>
    <x v="1"/>
    <n v="2"/>
    <n v="3500"/>
    <n v="7000"/>
  </r>
  <r>
    <n v="10388"/>
    <d v="2025-05-14T00:00:00"/>
    <s v="C035"/>
    <s v="Customer_35"/>
    <s v="Lucknow"/>
    <s v="North"/>
    <s v="P009"/>
    <s v="Wireless Earbuds"/>
    <x v="2"/>
    <n v="2"/>
    <n v="2500"/>
    <n v="5000"/>
  </r>
  <r>
    <n v="10389"/>
    <d v="2025-04-28T00:00:00"/>
    <s v="C023"/>
    <s v="Customer_23"/>
    <s v="Bhubaneswar"/>
    <s v="East"/>
    <s v="P012"/>
    <s v="Mixer Grinder"/>
    <x v="0"/>
    <n v="3"/>
    <n v="5000"/>
    <n v="15000"/>
  </r>
  <r>
    <n v="10390"/>
    <d v="2025-09-23T00:00:00"/>
    <s v="C007"/>
    <s v="Customer_07"/>
    <s v="Bhubaneswar"/>
    <s v="East"/>
    <s v="P014"/>
    <s v="Microwave"/>
    <x v="0"/>
    <n v="1"/>
    <n v="11000"/>
    <n v="11000"/>
  </r>
  <r>
    <n v="10391"/>
    <d v="2025-08-26T00:00:00"/>
    <s v="C068"/>
    <s v="Customer_68"/>
    <s v="Chandigarh"/>
    <s v="North"/>
    <s v="P008"/>
    <s v="Headphones Pro"/>
    <x v="2"/>
    <n v="1"/>
    <n v="4500"/>
    <n v="4500"/>
  </r>
  <r>
    <n v="10392"/>
    <d v="2025-05-17T00:00:00"/>
    <s v="C040"/>
    <s v="Customer_40"/>
    <s v="Patna"/>
    <s v="East"/>
    <s v="P003"/>
    <s v="Smartphone X"/>
    <x v="2"/>
    <n v="1"/>
    <n v="30000"/>
    <n v="30000"/>
  </r>
  <r>
    <n v="10393"/>
    <d v="2025-12-15T00:00:00"/>
    <s v="C068"/>
    <s v="Customer_68"/>
    <s v="Chandigarh"/>
    <s v="North"/>
    <s v="P026"/>
    <s v="Backpack"/>
    <x v="1"/>
    <n v="2"/>
    <n v="2400"/>
    <n v="4800"/>
  </r>
  <r>
    <n v="10394"/>
    <d v="2025-07-28T00:00:00"/>
    <s v="C028"/>
    <s v="Customer_28"/>
    <s v="Surat"/>
    <s v="West"/>
    <s v="P006"/>
    <s v="Monitor 24"/>
    <x v="2"/>
    <n v="1"/>
    <n v="12000"/>
    <n v="12000"/>
  </r>
  <r>
    <n v="10395"/>
    <d v="2025-10-21T00:00:00"/>
    <s v="C011"/>
    <s v="Customer_11"/>
    <s v="Ahmedabad"/>
    <s v="West"/>
    <s v="P024"/>
    <s v="Hoodie"/>
    <x v="3"/>
    <n v="1"/>
    <n v="3000"/>
    <n v="3000"/>
  </r>
  <r>
    <n v="10396"/>
    <d v="2025-03-31T00:00:00"/>
    <s v="C050"/>
    <s v="Customer_50"/>
    <s v="Jaipur"/>
    <s v="North"/>
    <s v="P018"/>
    <s v="Induction Cooktop"/>
    <x v="0"/>
    <n v="1"/>
    <n v="3000"/>
    <n v="3000"/>
  </r>
  <r>
    <n v="10397"/>
    <d v="2025-03-10T00:00:00"/>
    <s v="C054"/>
    <s v="Customer_54"/>
    <s v="Guwahati"/>
    <s v="East"/>
    <s v="P021"/>
    <s v="Formal Shirt"/>
    <x v="3"/>
    <n v="2"/>
    <n v="2400"/>
    <n v="4800"/>
  </r>
  <r>
    <n v="10398"/>
    <d v="2025-01-14T00:00:00"/>
    <s v="C023"/>
    <s v="Customer_23"/>
    <s v="Bhubaneswar"/>
    <s v="East"/>
    <s v="P019"/>
    <s v="Jeans"/>
    <x v="3"/>
    <n v="2"/>
    <n v="3200"/>
    <n v="6400"/>
  </r>
  <r>
    <n v="10399"/>
    <d v="2025-04-25T00:00:00"/>
    <s v="C010"/>
    <s v="Customer_10"/>
    <s v="Pune"/>
    <s v="West"/>
    <s v="P004"/>
    <s v="Smartphone Y"/>
    <x v="2"/>
    <n v="4"/>
    <n v="22000"/>
    <n v="88000"/>
  </r>
  <r>
    <n v="10400"/>
    <d v="2025-12-16T00:00:00"/>
    <s v="C052"/>
    <s v="Customer_52"/>
    <s v="Chandigarh"/>
    <s v="North"/>
    <s v="P001"/>
    <s v="Laptop Pro"/>
    <x v="2"/>
    <n v="2"/>
    <n v="65000"/>
    <n v="130000"/>
  </r>
  <r>
    <n v="10401"/>
    <d v="2025-07-15T00:00:00"/>
    <s v="C048"/>
    <s v="Customer_48"/>
    <s v="Kochi"/>
    <s v="South"/>
    <s v="P010"/>
    <s v="Keyboard"/>
    <x v="2"/>
    <n v="1"/>
    <n v="2200"/>
    <n v="2200"/>
  </r>
  <r>
    <n v="10402"/>
    <d v="2025-09-24T00:00:00"/>
    <s v="C075"/>
    <s v="Customer_75"/>
    <s v="Ahmedabad"/>
    <s v="West"/>
    <s v="P003"/>
    <s v="Smartphone X"/>
    <x v="2"/>
    <n v="2"/>
    <n v="30000"/>
    <n v="60000"/>
  </r>
  <r>
    <n v="10403"/>
    <d v="2025-03-04T00:00:00"/>
    <s v="C041"/>
    <s v="Customer_41"/>
    <s v="Mumbai"/>
    <s v="West"/>
    <s v="P001"/>
    <s v="Laptop Pro"/>
    <x v="2"/>
    <n v="1"/>
    <n v="65000"/>
    <n v="65000"/>
  </r>
  <r>
    <n v="10404"/>
    <d v="2025-02-23T00:00:00"/>
    <s v="C035"/>
    <s v="Customer_35"/>
    <s v="Lucknow"/>
    <s v="North"/>
    <s v="P016"/>
    <s v="Electric Kettle"/>
    <x v="0"/>
    <n v="1"/>
    <n v="2200"/>
    <n v="2200"/>
  </r>
  <r>
    <n v="10405"/>
    <d v="2025-04-02T00:00:00"/>
    <s v="C056"/>
    <s v="Customer_56"/>
    <s v="Patna"/>
    <s v="East"/>
    <s v="P004"/>
    <s v="Smartphone Y"/>
    <x v="2"/>
    <n v="1"/>
    <n v="22000"/>
    <n v="22000"/>
  </r>
  <r>
    <n v="10406"/>
    <d v="2025-04-10T00:00:00"/>
    <s v="C026"/>
    <s v="Customer_26"/>
    <s v="Pune"/>
    <s v="West"/>
    <s v="P022"/>
    <s v="Jacket"/>
    <x v="3"/>
    <n v="5"/>
    <n v="4800"/>
    <n v="24000"/>
  </r>
  <r>
    <n v="10407"/>
    <d v="2025-03-13T00:00:00"/>
    <s v="C035"/>
    <s v="Customer_35"/>
    <s v="Lucknow"/>
    <s v="North"/>
    <s v="P028"/>
    <s v="Wallet"/>
    <x v="1"/>
    <n v="3"/>
    <n v="1400"/>
    <n v="4200"/>
  </r>
  <r>
    <n v="10408"/>
    <d v="2025-09-19T00:00:00"/>
    <s v="C029"/>
    <s v="Customer_29"/>
    <s v="Bengaluru"/>
    <s v="South"/>
    <s v="P001"/>
    <s v="Laptop Pro"/>
    <x v="2"/>
    <n v="1"/>
    <n v="65000"/>
    <n v="65000"/>
  </r>
  <r>
    <n v="10409"/>
    <d v="2025-11-18T00:00:00"/>
    <s v="C052"/>
    <s v="Customer_52"/>
    <s v="Chandigarh"/>
    <s v="North"/>
    <s v="P017"/>
    <s v="Water Purifier"/>
    <x v="0"/>
    <n v="1"/>
    <n v="15000"/>
    <n v="15000"/>
  </r>
  <r>
    <n v="10410"/>
    <d v="2025-06-26T00:00:00"/>
    <s v="C007"/>
    <s v="Customer_07"/>
    <s v="Bhubaneswar"/>
    <s v="East"/>
    <s v="P015"/>
    <s v="Vacuum Cleaner"/>
    <x v="0"/>
    <n v="1"/>
    <n v="9000"/>
    <n v="9000"/>
  </r>
  <r>
    <n v="10411"/>
    <d v="2025-03-07T00:00:00"/>
    <s v="C034"/>
    <s v="Customer_34"/>
    <s v="Jaipur"/>
    <s v="North"/>
    <s v="P001"/>
    <s v="Laptop Pro"/>
    <x v="2"/>
    <n v="1"/>
    <n v="65000"/>
    <n v="65000"/>
  </r>
  <r>
    <n v="10412"/>
    <d v="2025-10-24T00:00:00"/>
    <s v="C029"/>
    <s v="Customer_29"/>
    <s v="Bengaluru"/>
    <s v="South"/>
    <s v="P022"/>
    <s v="Jacket"/>
    <x v="3"/>
    <n v="1"/>
    <n v="4800"/>
    <n v="4800"/>
  </r>
  <r>
    <n v="10413"/>
    <d v="2025-04-24T00:00:00"/>
    <s v="C068"/>
    <s v="Customer_68"/>
    <s v="Chandigarh"/>
    <s v="North"/>
    <s v="P005"/>
    <s v="Tablet Pro"/>
    <x v="2"/>
    <n v="1"/>
    <n v="28000"/>
    <n v="28000"/>
  </r>
  <r>
    <n v="10414"/>
    <d v="2025-06-13T00:00:00"/>
    <s v="C022"/>
    <s v="Customer_22"/>
    <s v="Guwahati"/>
    <s v="East"/>
    <s v="P011"/>
    <s v="Air Fryer"/>
    <x v="0"/>
    <n v="3"/>
    <n v="6500"/>
    <n v="19500"/>
  </r>
  <r>
    <n v="10415"/>
    <d v="2025-07-05T00:00:00"/>
    <s v="C003"/>
    <s v="Customer_03"/>
    <s v="Lucknow"/>
    <s v="North"/>
    <s v="P005"/>
    <s v="Tablet Pro"/>
    <x v="2"/>
    <n v="1"/>
    <n v="28000"/>
    <n v="28000"/>
  </r>
  <r>
    <n v="10416"/>
    <d v="2025-01-28T00:00:00"/>
    <s v="C054"/>
    <s v="Customer_54"/>
    <s v="Guwahati"/>
    <s v="East"/>
    <s v="P030"/>
    <s v="Travel Bag"/>
    <x v="1"/>
    <n v="1"/>
    <n v="3500"/>
    <n v="3500"/>
  </r>
  <r>
    <n v="10417"/>
    <d v="2025-02-06T00:00:00"/>
    <s v="C067"/>
    <s v="Customer_67"/>
    <s v="Lucknow"/>
    <s v="North"/>
    <s v="P021"/>
    <s v="Formal Shirt"/>
    <x v="3"/>
    <n v="2"/>
    <n v="2400"/>
    <n v="4800"/>
  </r>
  <r>
    <n v="10418"/>
    <d v="2025-02-07T00:00:00"/>
    <s v="C068"/>
    <s v="Customer_68"/>
    <s v="Chandigarh"/>
    <s v="North"/>
    <s v="P023"/>
    <s v="Sneakers"/>
    <x v="3"/>
    <n v="4"/>
    <n v="4200"/>
    <n v="16800"/>
  </r>
  <r>
    <n v="10419"/>
    <d v="2025-05-19T00:00:00"/>
    <s v="C009"/>
    <s v="Customer_09"/>
    <s v="Mumbai"/>
    <s v="West"/>
    <s v="P022"/>
    <s v="Jacket"/>
    <x v="3"/>
    <n v="1"/>
    <n v="4800"/>
    <n v="4800"/>
  </r>
  <r>
    <n v="10420"/>
    <d v="2025-06-23T00:00:00"/>
    <s v="C047"/>
    <s v="Customer_47"/>
    <s v="Hyderabad"/>
    <s v="South"/>
    <s v="P002"/>
    <s v="Laptop Air"/>
    <x v="2"/>
    <n v="2"/>
    <n v="52000"/>
    <n v="104000"/>
  </r>
  <r>
    <n v="10421"/>
    <d v="2025-12-02T00:00:00"/>
    <s v="C003"/>
    <s v="Customer_03"/>
    <s v="Lucknow"/>
    <s v="North"/>
    <s v="P025"/>
    <s v="Dress"/>
    <x v="3"/>
    <n v="1"/>
    <n v="3800"/>
    <n v="3800"/>
  </r>
  <r>
    <n v="10422"/>
    <d v="2025-06-16T00:00:00"/>
    <s v="C040"/>
    <s v="Customer_40"/>
    <s v="Patna"/>
    <s v="East"/>
    <s v="P023"/>
    <s v="Sneakers"/>
    <x v="3"/>
    <n v="1"/>
    <n v="4200"/>
    <n v="4200"/>
  </r>
  <r>
    <n v="10423"/>
    <d v="2025-04-10T00:00:00"/>
    <s v="C008"/>
    <s v="Customer_08"/>
    <s v="Patna"/>
    <s v="East"/>
    <s v="P002"/>
    <s v="Laptop Air"/>
    <x v="2"/>
    <n v="3"/>
    <n v="52000"/>
    <n v="156000"/>
  </r>
  <r>
    <n v="10424"/>
    <d v="2025-06-29T00:00:00"/>
    <s v="C070"/>
    <s v="Customer_70"/>
    <s v="Guwahati"/>
    <s v="East"/>
    <s v="P004"/>
    <s v="Smartphone Y"/>
    <x v="2"/>
    <n v="1"/>
    <n v="22000"/>
    <n v="22000"/>
  </r>
  <r>
    <n v="10425"/>
    <d v="2025-01-01T00:00:00"/>
    <s v="C008"/>
    <s v="Customer_08"/>
    <s v="Patna"/>
    <s v="East"/>
    <s v="P025"/>
    <s v="Dress"/>
    <x v="3"/>
    <n v="1"/>
    <n v="3800"/>
    <n v="3800"/>
  </r>
  <r>
    <n v="10426"/>
    <d v="2025-09-30T00:00:00"/>
    <s v="C052"/>
    <s v="Customer_52"/>
    <s v="Chandigarh"/>
    <s v="North"/>
    <s v="P002"/>
    <s v="Laptop Air"/>
    <x v="2"/>
    <n v="3"/>
    <n v="52000"/>
    <n v="156000"/>
  </r>
  <r>
    <n v="10427"/>
    <d v="2025-03-01T00:00:00"/>
    <s v="C044"/>
    <s v="Customer_44"/>
    <s v="Surat"/>
    <s v="West"/>
    <s v="P007"/>
    <s v="Monitor 27"/>
    <x v="2"/>
    <n v="3"/>
    <n v="18000"/>
    <n v="54000"/>
  </r>
  <r>
    <n v="10428"/>
    <d v="2025-10-18T00:00:00"/>
    <s v="C074"/>
    <s v="Customer_74"/>
    <s v="Pune"/>
    <s v="West"/>
    <s v="P008"/>
    <s v="Headphones Pro"/>
    <x v="2"/>
    <n v="1"/>
    <n v="4500"/>
    <n v="4500"/>
  </r>
  <r>
    <n v="10429"/>
    <d v="2025-09-18T00:00:00"/>
    <s v="C038"/>
    <s v="Customer_38"/>
    <s v="Guwahati"/>
    <s v="East"/>
    <s v="P024"/>
    <s v="Hoodie"/>
    <x v="3"/>
    <n v="1"/>
    <n v="3000"/>
    <n v="3000"/>
  </r>
  <r>
    <n v="10430"/>
    <d v="2025-07-11T00:00:00"/>
    <s v="C048"/>
    <s v="Customer_48"/>
    <s v="Kochi"/>
    <s v="South"/>
    <s v="P024"/>
    <s v="Hoodie"/>
    <x v="3"/>
    <n v="2"/>
    <n v="3000"/>
    <n v="6000"/>
  </r>
  <r>
    <n v="10431"/>
    <d v="2025-03-08T00:00:00"/>
    <s v="C054"/>
    <s v="Customer_54"/>
    <s v="Guwahati"/>
    <s v="East"/>
    <s v="P027"/>
    <s v="Watch"/>
    <x v="1"/>
    <n v="1"/>
    <n v="5500"/>
    <n v="5500"/>
  </r>
  <r>
    <n v="10432"/>
    <d v="2025-09-25T00:00:00"/>
    <s v="C070"/>
    <s v="Customer_70"/>
    <s v="Guwahati"/>
    <s v="East"/>
    <s v="P021"/>
    <s v="Formal Shirt"/>
    <x v="3"/>
    <n v="3"/>
    <n v="2400"/>
    <n v="7200"/>
  </r>
  <r>
    <n v="10433"/>
    <d v="2025-09-30T00:00:00"/>
    <s v="C052"/>
    <s v="Customer_52"/>
    <s v="Chandigarh"/>
    <s v="North"/>
    <s v="P005"/>
    <s v="Tablet Pro"/>
    <x v="2"/>
    <n v="1"/>
    <n v="28000"/>
    <n v="28000"/>
  </r>
  <r>
    <n v="10434"/>
    <d v="2025-01-07T00:00:00"/>
    <s v="C029"/>
    <s v="Customer_29"/>
    <s v="Bengaluru"/>
    <s v="South"/>
    <s v="P008"/>
    <s v="Headphones Pro"/>
    <x v="2"/>
    <n v="1"/>
    <n v="4500"/>
    <n v="4500"/>
  </r>
  <r>
    <n v="10435"/>
    <d v="2025-07-18T00:00:00"/>
    <s v="C068"/>
    <s v="Customer_68"/>
    <s v="Chandigarh"/>
    <s v="North"/>
    <s v="P008"/>
    <s v="Headphones Pro"/>
    <x v="2"/>
    <n v="1"/>
    <n v="4500"/>
    <n v="4500"/>
  </r>
  <r>
    <n v="10436"/>
    <d v="2025-05-12T00:00:00"/>
    <s v="C024"/>
    <s v="Customer_24"/>
    <s v="Patna"/>
    <s v="East"/>
    <s v="P020"/>
    <s v="T-Shirt"/>
    <x v="3"/>
    <n v="1"/>
    <n v="1600"/>
    <n v="1600"/>
  </r>
  <r>
    <n v="10437"/>
    <d v="2025-02-06T00:00:00"/>
    <s v="C034"/>
    <s v="Customer_34"/>
    <s v="Jaipur"/>
    <s v="North"/>
    <s v="P007"/>
    <s v="Monitor 27"/>
    <x v="2"/>
    <n v="2"/>
    <n v="18000"/>
    <n v="36000"/>
  </r>
  <r>
    <n v="10438"/>
    <d v="2025-11-18T00:00:00"/>
    <s v="C011"/>
    <s v="Customer_11"/>
    <s v="Ahmedabad"/>
    <s v="West"/>
    <s v="P024"/>
    <s v="Hoodie"/>
    <x v="3"/>
    <n v="3"/>
    <n v="3000"/>
    <n v="9000"/>
  </r>
  <r>
    <n v="10439"/>
    <d v="2025-08-16T00:00:00"/>
    <s v="C023"/>
    <s v="Customer_23"/>
    <s v="Bhubaneswar"/>
    <s v="East"/>
    <s v="P022"/>
    <s v="Jacket"/>
    <x v="3"/>
    <n v="1"/>
    <n v="4800"/>
    <n v="4800"/>
  </r>
  <r>
    <n v="10440"/>
    <d v="2025-08-28T00:00:00"/>
    <s v="C003"/>
    <s v="Customer_03"/>
    <s v="Lucknow"/>
    <s v="North"/>
    <s v="P024"/>
    <s v="Hoodie"/>
    <x v="3"/>
    <n v="1"/>
    <n v="3000"/>
    <n v="3000"/>
  </r>
  <r>
    <n v="10441"/>
    <d v="2025-01-27T00:00:00"/>
    <s v="C046"/>
    <s v="Customer_46"/>
    <s v="Chennai"/>
    <s v="South"/>
    <s v="P011"/>
    <s v="Air Fryer"/>
    <x v="0"/>
    <n v="2"/>
    <n v="6500"/>
    <n v="13000"/>
  </r>
  <r>
    <n v="10442"/>
    <d v="2025-07-21T00:00:00"/>
    <s v="C024"/>
    <s v="Customer_24"/>
    <s v="Patna"/>
    <s v="East"/>
    <s v="P007"/>
    <s v="Monitor 27"/>
    <x v="2"/>
    <n v="1"/>
    <n v="18000"/>
    <n v="18000"/>
  </r>
  <r>
    <n v="10443"/>
    <d v="2025-01-25T00:00:00"/>
    <s v="C034"/>
    <s v="Customer_34"/>
    <s v="Jaipur"/>
    <s v="North"/>
    <s v="P017"/>
    <s v="Water Purifier"/>
    <x v="0"/>
    <n v="1"/>
    <n v="15000"/>
    <n v="15000"/>
  </r>
  <r>
    <n v="10444"/>
    <d v="2025-04-15T00:00:00"/>
    <s v="C019"/>
    <s v="Customer_19"/>
    <s v="Lucknow"/>
    <s v="North"/>
    <s v="P006"/>
    <s v="Monitor 24"/>
    <x v="2"/>
    <n v="1"/>
    <n v="12000"/>
    <n v="12000"/>
  </r>
  <r>
    <n v="10445"/>
    <d v="2025-11-05T00:00:00"/>
    <s v="C069"/>
    <s v="Customer_69"/>
    <s v="Kolkata"/>
    <s v="East"/>
    <s v="P025"/>
    <s v="Dress"/>
    <x v="3"/>
    <n v="1"/>
    <n v="3800"/>
    <n v="3800"/>
  </r>
  <r>
    <n v="10446"/>
    <d v="2025-02-25T00:00:00"/>
    <s v="C040"/>
    <s v="Customer_40"/>
    <s v="Patna"/>
    <s v="East"/>
    <s v="P014"/>
    <s v="Microwave"/>
    <x v="0"/>
    <n v="1"/>
    <n v="11000"/>
    <n v="11000"/>
  </r>
  <r>
    <n v="10447"/>
    <d v="2025-05-25T00:00:00"/>
    <s v="C056"/>
    <s v="Customer_56"/>
    <s v="Patna"/>
    <s v="East"/>
    <s v="P018"/>
    <s v="Induction Cooktop"/>
    <x v="0"/>
    <n v="1"/>
    <n v="3000"/>
    <n v="3000"/>
  </r>
  <r>
    <n v="10448"/>
    <d v="2025-01-23T00:00:00"/>
    <s v="C029"/>
    <s v="Customer_29"/>
    <s v="Bengaluru"/>
    <s v="South"/>
    <s v="P018"/>
    <s v="Induction Cooktop"/>
    <x v="0"/>
    <n v="3"/>
    <n v="3000"/>
    <n v="9000"/>
  </r>
  <r>
    <n v="10449"/>
    <d v="2025-08-02T00:00:00"/>
    <s v="C035"/>
    <s v="Customer_35"/>
    <s v="Lucknow"/>
    <s v="North"/>
    <s v="P001"/>
    <s v="Laptop Pro"/>
    <x v="2"/>
    <n v="2"/>
    <n v="65000"/>
    <n v="130000"/>
  </r>
  <r>
    <n v="10450"/>
    <d v="2025-08-04T00:00:00"/>
    <s v="C062"/>
    <s v="Customer_62"/>
    <s v="Chennai"/>
    <s v="South"/>
    <s v="P027"/>
    <s v="Watch"/>
    <x v="1"/>
    <n v="1"/>
    <n v="5500"/>
    <n v="5500"/>
  </r>
  <r>
    <n v="10451"/>
    <d v="2025-06-23T00:00:00"/>
    <s v="C051"/>
    <s v="Customer_51"/>
    <s v="Lucknow"/>
    <s v="North"/>
    <s v="P001"/>
    <s v="Laptop Pro"/>
    <x v="2"/>
    <n v="1"/>
    <n v="65000"/>
    <n v="65000"/>
  </r>
  <r>
    <n v="10452"/>
    <d v="2025-02-10T00:00:00"/>
    <s v="C043"/>
    <s v="Customer_43"/>
    <s v="Ahmedabad"/>
    <s v="West"/>
    <s v="P010"/>
    <s v="Keyboard"/>
    <x v="2"/>
    <n v="1"/>
    <n v="2200"/>
    <n v="2200"/>
  </r>
  <r>
    <n v="10453"/>
    <d v="2025-10-15T00:00:00"/>
    <s v="C022"/>
    <s v="Customer_22"/>
    <s v="Guwahati"/>
    <s v="East"/>
    <s v="P002"/>
    <s v="Laptop Air"/>
    <x v="2"/>
    <n v="2"/>
    <n v="52000"/>
    <n v="104000"/>
  </r>
  <r>
    <n v="10454"/>
    <d v="2025-05-08T00:00:00"/>
    <s v="C003"/>
    <s v="Customer_03"/>
    <s v="Lucknow"/>
    <s v="North"/>
    <s v="P028"/>
    <s v="Wallet"/>
    <x v="1"/>
    <n v="2"/>
    <n v="1400"/>
    <n v="2800"/>
  </r>
  <r>
    <n v="10455"/>
    <d v="2025-10-25T00:00:00"/>
    <s v="C011"/>
    <s v="Customer_11"/>
    <s v="Ahmedabad"/>
    <s v="West"/>
    <s v="P005"/>
    <s v="Tablet Pro"/>
    <x v="2"/>
    <n v="2"/>
    <n v="28000"/>
    <n v="56000"/>
  </r>
  <r>
    <n v="10456"/>
    <d v="2025-06-20T00:00:00"/>
    <s v="C067"/>
    <s v="Customer_67"/>
    <s v="Lucknow"/>
    <s v="North"/>
    <s v="P011"/>
    <s v="Air Fryer"/>
    <x v="0"/>
    <n v="1"/>
    <n v="6500"/>
    <n v="6500"/>
  </r>
  <r>
    <n v="10457"/>
    <d v="2025-09-12T00:00:00"/>
    <s v="C068"/>
    <s v="Customer_68"/>
    <s v="Chandigarh"/>
    <s v="North"/>
    <s v="P021"/>
    <s v="Formal Shirt"/>
    <x v="3"/>
    <n v="1"/>
    <n v="2400"/>
    <n v="2400"/>
  </r>
  <r>
    <n v="10458"/>
    <d v="2025-09-23T00:00:00"/>
    <s v="C001"/>
    <s v="Customer_01"/>
    <s v="Delhi"/>
    <s v="North"/>
    <s v="P023"/>
    <s v="Sneakers"/>
    <x v="3"/>
    <n v="2"/>
    <n v="4200"/>
    <n v="8400"/>
  </r>
  <r>
    <n v="10459"/>
    <d v="2025-01-16T00:00:00"/>
    <s v="C037"/>
    <s v="Customer_37"/>
    <s v="Kolkata"/>
    <s v="East"/>
    <s v="P020"/>
    <s v="T-Shirt"/>
    <x v="3"/>
    <n v="1"/>
    <n v="1600"/>
    <n v="1600"/>
  </r>
  <r>
    <n v="10460"/>
    <d v="2025-01-07T00:00:00"/>
    <s v="C037"/>
    <s v="Customer_37"/>
    <s v="Kolkata"/>
    <s v="East"/>
    <s v="P003"/>
    <s v="Smartphone X"/>
    <x v="2"/>
    <n v="3"/>
    <n v="30000"/>
    <n v="90000"/>
  </r>
  <r>
    <n v="10461"/>
    <d v="2025-08-06T00:00:00"/>
    <s v="C002"/>
    <s v="Customer_02"/>
    <s v="Jaipur"/>
    <s v="North"/>
    <s v="P003"/>
    <s v="Smartphone X"/>
    <x v="2"/>
    <n v="4"/>
    <n v="30000"/>
    <n v="120000"/>
  </r>
  <r>
    <n v="10462"/>
    <d v="2025-05-14T00:00:00"/>
    <s v="C011"/>
    <s v="Customer_11"/>
    <s v="Ahmedabad"/>
    <s v="West"/>
    <s v="P018"/>
    <s v="Induction Cooktop"/>
    <x v="0"/>
    <n v="1"/>
    <n v="3000"/>
    <n v="3000"/>
  </r>
  <r>
    <n v="10463"/>
    <d v="2025-01-27T00:00:00"/>
    <s v="C074"/>
    <s v="Customer_74"/>
    <s v="Pune"/>
    <s v="West"/>
    <s v="P015"/>
    <s v="Vacuum Cleaner"/>
    <x v="0"/>
    <n v="2"/>
    <n v="9000"/>
    <n v="18000"/>
  </r>
  <r>
    <n v="10464"/>
    <d v="2025-05-22T00:00:00"/>
    <s v="C054"/>
    <s v="Customer_54"/>
    <s v="Guwahati"/>
    <s v="East"/>
    <s v="P024"/>
    <s v="Hoodie"/>
    <x v="3"/>
    <n v="3"/>
    <n v="3000"/>
    <n v="9000"/>
  </r>
  <r>
    <n v="10465"/>
    <d v="2025-08-13T00:00:00"/>
    <s v="C015"/>
    <s v="Customer_15"/>
    <s v="Hyderabad"/>
    <s v="South"/>
    <s v="P025"/>
    <s v="Dress"/>
    <x v="3"/>
    <n v="1"/>
    <n v="3800"/>
    <n v="3800"/>
  </r>
  <r>
    <n v="10466"/>
    <d v="2025-04-18T00:00:00"/>
    <s v="C070"/>
    <s v="Customer_70"/>
    <s v="Guwahati"/>
    <s v="East"/>
    <s v="P010"/>
    <s v="Keyboard"/>
    <x v="2"/>
    <n v="1"/>
    <n v="2200"/>
    <n v="2200"/>
  </r>
  <r>
    <n v="10467"/>
    <d v="2025-08-31T00:00:00"/>
    <s v="C014"/>
    <s v="Customer_14"/>
    <s v="Chennai"/>
    <s v="South"/>
    <s v="P012"/>
    <s v="Mixer Grinder"/>
    <x v="0"/>
    <n v="3"/>
    <n v="5000"/>
    <n v="15000"/>
  </r>
  <r>
    <n v="10468"/>
    <d v="2025-05-27T00:00:00"/>
    <s v="C034"/>
    <s v="Customer_34"/>
    <s v="Jaipur"/>
    <s v="North"/>
    <s v="P004"/>
    <s v="Smartphone Y"/>
    <x v="2"/>
    <n v="1"/>
    <n v="22000"/>
    <n v="22000"/>
  </r>
  <r>
    <n v="10469"/>
    <d v="2025-05-29T00:00:00"/>
    <s v="C027"/>
    <s v="Customer_27"/>
    <s v="Ahmedabad"/>
    <s v="West"/>
    <s v="P029"/>
    <s v="Sunglasses"/>
    <x v="1"/>
    <n v="1"/>
    <n v="2000"/>
    <n v="2000"/>
  </r>
  <r>
    <n v="10470"/>
    <d v="2025-12-03T00:00:00"/>
    <s v="C049"/>
    <s v="Customer_49"/>
    <s v="Delhi"/>
    <s v="North"/>
    <s v="P018"/>
    <s v="Induction Cooktop"/>
    <x v="0"/>
    <n v="1"/>
    <n v="3000"/>
    <n v="3000"/>
  </r>
  <r>
    <n v="10471"/>
    <d v="2025-03-30T00:00:00"/>
    <s v="C010"/>
    <s v="Customer_10"/>
    <s v="Pune"/>
    <s v="West"/>
    <s v="P009"/>
    <s v="Wireless Earbuds"/>
    <x v="2"/>
    <n v="1"/>
    <n v="2500"/>
    <n v="2500"/>
  </r>
  <r>
    <n v="10472"/>
    <d v="2025-04-18T00:00:00"/>
    <s v="C069"/>
    <s v="Customer_69"/>
    <s v="Kolkata"/>
    <s v="East"/>
    <s v="P017"/>
    <s v="Water Purifier"/>
    <x v="0"/>
    <n v="1"/>
    <n v="15000"/>
    <n v="15000"/>
  </r>
  <r>
    <n v="10473"/>
    <d v="2025-12-28T00:00:00"/>
    <s v="C005"/>
    <s v="Customer_05"/>
    <s v="Kolkata"/>
    <s v="East"/>
    <s v="P022"/>
    <s v="Jacket"/>
    <x v="3"/>
    <n v="1"/>
    <n v="4800"/>
    <n v="4800"/>
  </r>
  <r>
    <n v="10474"/>
    <d v="2025-03-27T00:00:00"/>
    <s v="C031"/>
    <s v="Customer_31"/>
    <s v="Hyderabad"/>
    <s v="South"/>
    <s v="P018"/>
    <s v="Induction Cooktop"/>
    <x v="0"/>
    <n v="1"/>
    <n v="3000"/>
    <n v="3000"/>
  </r>
  <r>
    <n v="10475"/>
    <d v="2025-03-02T00:00:00"/>
    <s v="C007"/>
    <s v="Customer_07"/>
    <s v="Bhubaneswar"/>
    <s v="East"/>
    <s v="P015"/>
    <s v="Vacuum Cleaner"/>
    <x v="0"/>
    <n v="1"/>
    <n v="9000"/>
    <n v="9000"/>
  </r>
  <r>
    <n v="10476"/>
    <d v="2025-09-08T00:00:00"/>
    <s v="C042"/>
    <s v="Customer_42"/>
    <s v="Pune"/>
    <s v="West"/>
    <s v="P022"/>
    <s v="Jacket"/>
    <x v="3"/>
    <n v="1"/>
    <n v="4800"/>
    <n v="4800"/>
  </r>
  <r>
    <n v="10477"/>
    <d v="2025-12-10T00:00:00"/>
    <s v="C050"/>
    <s v="Customer_50"/>
    <s v="Jaipur"/>
    <s v="North"/>
    <s v="P026"/>
    <s v="Backpack"/>
    <x v="1"/>
    <n v="1"/>
    <n v="2400"/>
    <n v="2400"/>
  </r>
  <r>
    <n v="10478"/>
    <d v="2025-03-18T00:00:00"/>
    <s v="C056"/>
    <s v="Customer_56"/>
    <s v="Patna"/>
    <s v="East"/>
    <s v="P019"/>
    <s v="Jeans"/>
    <x v="3"/>
    <n v="2"/>
    <n v="3200"/>
    <n v="6400"/>
  </r>
  <r>
    <n v="10479"/>
    <d v="2025-06-22T00:00:00"/>
    <s v="C003"/>
    <s v="Customer_03"/>
    <s v="Lucknow"/>
    <s v="North"/>
    <s v="P008"/>
    <s v="Headphones Pro"/>
    <x v="2"/>
    <n v="1"/>
    <n v="4500"/>
    <n v="4500"/>
  </r>
  <r>
    <n v="10480"/>
    <d v="2025-04-07T00:00:00"/>
    <s v="C024"/>
    <s v="Customer_24"/>
    <s v="Patna"/>
    <s v="East"/>
    <s v="P017"/>
    <s v="Water Purifier"/>
    <x v="0"/>
    <n v="1"/>
    <n v="15000"/>
    <n v="15000"/>
  </r>
  <r>
    <n v="10481"/>
    <d v="2025-06-01T00:00:00"/>
    <s v="C036"/>
    <s v="Customer_36"/>
    <s v="Chandigarh"/>
    <s v="North"/>
    <s v="P011"/>
    <s v="Air Fryer"/>
    <x v="0"/>
    <n v="1"/>
    <n v="6500"/>
    <n v="6500"/>
  </r>
  <r>
    <n v="10482"/>
    <d v="2025-12-29T00:00:00"/>
    <s v="C032"/>
    <s v="Customer_32"/>
    <s v="Kochi"/>
    <s v="South"/>
    <s v="P023"/>
    <s v="Sneakers"/>
    <x v="3"/>
    <n v="1"/>
    <n v="4200"/>
    <n v="4200"/>
  </r>
  <r>
    <n v="10483"/>
    <d v="2025-02-06T00:00:00"/>
    <s v="C053"/>
    <s v="Customer_53"/>
    <s v="Kolkata"/>
    <s v="East"/>
    <s v="P008"/>
    <s v="Headphones Pro"/>
    <x v="2"/>
    <n v="1"/>
    <n v="4500"/>
    <n v="4500"/>
  </r>
  <r>
    <n v="10484"/>
    <d v="2025-05-27T00:00:00"/>
    <s v="C027"/>
    <s v="Customer_27"/>
    <s v="Ahmedabad"/>
    <s v="West"/>
    <s v="P029"/>
    <s v="Sunglasses"/>
    <x v="1"/>
    <n v="1"/>
    <n v="2000"/>
    <n v="2000"/>
  </r>
  <r>
    <n v="10485"/>
    <d v="2025-07-04T00:00:00"/>
    <s v="C063"/>
    <s v="Customer_63"/>
    <s v="Hyderabad"/>
    <s v="South"/>
    <s v="P017"/>
    <s v="Water Purifier"/>
    <x v="0"/>
    <n v="3"/>
    <n v="15000"/>
    <n v="45000"/>
  </r>
  <r>
    <n v="10486"/>
    <d v="2025-01-24T00:00:00"/>
    <s v="C038"/>
    <s v="Customer_38"/>
    <s v="Guwahati"/>
    <s v="East"/>
    <s v="P009"/>
    <s v="Wireless Earbuds"/>
    <x v="2"/>
    <n v="1"/>
    <n v="2500"/>
    <n v="2500"/>
  </r>
  <r>
    <n v="10487"/>
    <d v="2025-06-15T00:00:00"/>
    <s v="C048"/>
    <s v="Customer_48"/>
    <s v="Kochi"/>
    <s v="South"/>
    <s v="P021"/>
    <s v="Formal Shirt"/>
    <x v="3"/>
    <n v="1"/>
    <n v="2400"/>
    <n v="2400"/>
  </r>
  <r>
    <n v="10488"/>
    <d v="2025-01-01T00:00:00"/>
    <s v="C021"/>
    <s v="Customer_21"/>
    <s v="Kolkata"/>
    <s v="East"/>
    <s v="P003"/>
    <s v="Smartphone X"/>
    <x v="2"/>
    <n v="1"/>
    <n v="30000"/>
    <n v="30000"/>
  </r>
  <r>
    <n v="10489"/>
    <d v="2025-07-10T00:00:00"/>
    <s v="C060"/>
    <s v="Customer_60"/>
    <s v="Surat"/>
    <s v="West"/>
    <s v="P002"/>
    <s v="Laptop Air"/>
    <x v="2"/>
    <n v="1"/>
    <n v="52000"/>
    <n v="52000"/>
  </r>
  <r>
    <n v="10490"/>
    <d v="2025-10-11T00:00:00"/>
    <s v="C019"/>
    <s v="Customer_19"/>
    <s v="Lucknow"/>
    <s v="North"/>
    <s v="P020"/>
    <s v="T-Shirt"/>
    <x v="3"/>
    <n v="2"/>
    <n v="1600"/>
    <n v="3200"/>
  </r>
  <r>
    <n v="10491"/>
    <d v="2025-02-06T00:00:00"/>
    <s v="C014"/>
    <s v="Customer_14"/>
    <s v="Chennai"/>
    <s v="South"/>
    <s v="P013"/>
    <s v="Coffee Maker"/>
    <x v="0"/>
    <n v="2"/>
    <n v="4200"/>
    <n v="8400"/>
  </r>
  <r>
    <n v="10492"/>
    <d v="2025-11-15T00:00:00"/>
    <s v="C063"/>
    <s v="Customer_63"/>
    <s v="Hyderabad"/>
    <s v="South"/>
    <s v="P023"/>
    <s v="Sneakers"/>
    <x v="3"/>
    <n v="1"/>
    <n v="4200"/>
    <n v="4200"/>
  </r>
  <r>
    <n v="10493"/>
    <d v="2025-02-01T00:00:00"/>
    <s v="C068"/>
    <s v="Customer_68"/>
    <s v="Chandigarh"/>
    <s v="North"/>
    <s v="P001"/>
    <s v="Laptop Pro"/>
    <x v="2"/>
    <n v="1"/>
    <n v="65000"/>
    <n v="65000"/>
  </r>
  <r>
    <n v="10494"/>
    <d v="2025-06-22T00:00:00"/>
    <s v="C052"/>
    <s v="Customer_52"/>
    <s v="Chandigarh"/>
    <s v="North"/>
    <s v="P027"/>
    <s v="Watch"/>
    <x v="1"/>
    <n v="2"/>
    <n v="5500"/>
    <n v="11000"/>
  </r>
  <r>
    <n v="10495"/>
    <d v="2025-06-08T00:00:00"/>
    <s v="C070"/>
    <s v="Customer_70"/>
    <s v="Guwahati"/>
    <s v="East"/>
    <s v="P028"/>
    <s v="Wallet"/>
    <x v="1"/>
    <n v="1"/>
    <n v="1400"/>
    <n v="1400"/>
  </r>
  <r>
    <n v="10496"/>
    <d v="2025-09-07T00:00:00"/>
    <s v="C027"/>
    <s v="Customer_27"/>
    <s v="Ahmedabad"/>
    <s v="West"/>
    <s v="P030"/>
    <s v="Travel Bag"/>
    <x v="1"/>
    <n v="1"/>
    <n v="3500"/>
    <n v="3500"/>
  </r>
  <r>
    <n v="10497"/>
    <d v="2025-11-22T00:00:00"/>
    <s v="C050"/>
    <s v="Customer_50"/>
    <s v="Jaipur"/>
    <s v="North"/>
    <s v="P018"/>
    <s v="Induction Cooktop"/>
    <x v="0"/>
    <n v="1"/>
    <n v="3000"/>
    <n v="3000"/>
  </r>
  <r>
    <n v="10498"/>
    <d v="2025-06-29T00:00:00"/>
    <s v="C004"/>
    <s v="Customer_04"/>
    <s v="Chandigarh"/>
    <s v="North"/>
    <s v="P020"/>
    <s v="T-Shirt"/>
    <x v="3"/>
    <n v="1"/>
    <n v="1600"/>
    <n v="1600"/>
  </r>
  <r>
    <n v="10499"/>
    <d v="2025-11-18T00:00:00"/>
    <s v="C064"/>
    <s v="Customer_64"/>
    <s v="Kochi"/>
    <s v="South"/>
    <s v="P001"/>
    <s v="Laptop Pro"/>
    <x v="2"/>
    <n v="2"/>
    <n v="65000"/>
    <n v="130000"/>
  </r>
  <r>
    <n v="10500"/>
    <d v="2025-02-03T00:00:00"/>
    <s v="C063"/>
    <s v="Customer_63"/>
    <s v="Hyderabad"/>
    <s v="South"/>
    <s v="P028"/>
    <s v="Wallet"/>
    <x v="1"/>
    <n v="2"/>
    <n v="1400"/>
    <n v="2800"/>
  </r>
  <r>
    <n v="10501"/>
    <d v="2025-01-31T00:00:00"/>
    <s v="C037"/>
    <s v="Customer_37"/>
    <s v="Kolkata"/>
    <s v="East"/>
    <s v="P024"/>
    <s v="Hoodie"/>
    <x v="3"/>
    <n v="1"/>
    <n v="3000"/>
    <n v="3000"/>
  </r>
  <r>
    <n v="10502"/>
    <d v="2025-02-08T00:00:00"/>
    <s v="C044"/>
    <s v="Customer_44"/>
    <s v="Surat"/>
    <s v="West"/>
    <s v="P007"/>
    <s v="Monitor 27"/>
    <x v="2"/>
    <n v="2"/>
    <n v="18000"/>
    <n v="36000"/>
  </r>
  <r>
    <n v="10503"/>
    <d v="2025-04-28T00:00:00"/>
    <s v="C012"/>
    <s v="Customer_12"/>
    <s v="Surat"/>
    <s v="West"/>
    <s v="P014"/>
    <s v="Microwave"/>
    <x v="0"/>
    <n v="1"/>
    <n v="11000"/>
    <n v="11000"/>
  </r>
  <r>
    <n v="10504"/>
    <d v="2025-08-16T00:00:00"/>
    <s v="C028"/>
    <s v="Customer_28"/>
    <s v="Surat"/>
    <s v="West"/>
    <s v="P017"/>
    <s v="Water Purifier"/>
    <x v="0"/>
    <n v="2"/>
    <n v="15000"/>
    <n v="30000"/>
  </r>
  <r>
    <n v="10505"/>
    <d v="2025-09-26T00:00:00"/>
    <s v="C064"/>
    <s v="Customer_64"/>
    <s v="Kochi"/>
    <s v="South"/>
    <s v="P003"/>
    <s v="Smartphone X"/>
    <x v="2"/>
    <n v="1"/>
    <n v="30000"/>
    <n v="30000"/>
  </r>
  <r>
    <n v="10506"/>
    <d v="2025-08-25T00:00:00"/>
    <s v="C070"/>
    <s v="Customer_70"/>
    <s v="Guwahati"/>
    <s v="East"/>
    <s v="P004"/>
    <s v="Smartphone Y"/>
    <x v="2"/>
    <n v="1"/>
    <n v="22000"/>
    <n v="22000"/>
  </r>
  <r>
    <n v="10507"/>
    <d v="2025-06-20T00:00:00"/>
    <s v="C068"/>
    <s v="Customer_68"/>
    <s v="Chandigarh"/>
    <s v="North"/>
    <s v="P015"/>
    <s v="Vacuum Cleaner"/>
    <x v="0"/>
    <n v="2"/>
    <n v="9000"/>
    <n v="18000"/>
  </r>
  <r>
    <n v="10508"/>
    <d v="2025-07-13T00:00:00"/>
    <s v="C074"/>
    <s v="Customer_74"/>
    <s v="Pune"/>
    <s v="West"/>
    <s v="P014"/>
    <s v="Microwave"/>
    <x v="0"/>
    <n v="1"/>
    <n v="11000"/>
    <n v="11000"/>
  </r>
  <r>
    <n v="10509"/>
    <d v="2025-08-12T00:00:00"/>
    <s v="C037"/>
    <s v="Customer_37"/>
    <s v="Kolkata"/>
    <s v="East"/>
    <s v="P009"/>
    <s v="Wireless Earbuds"/>
    <x v="2"/>
    <n v="2"/>
    <n v="2500"/>
    <n v="5000"/>
  </r>
  <r>
    <n v="10510"/>
    <d v="2025-04-03T00:00:00"/>
    <s v="C057"/>
    <s v="Customer_57"/>
    <s v="Mumbai"/>
    <s v="West"/>
    <s v="P022"/>
    <s v="Jacket"/>
    <x v="3"/>
    <n v="2"/>
    <n v="4800"/>
    <n v="9600"/>
  </r>
  <r>
    <n v="10511"/>
    <d v="2025-02-08T00:00:00"/>
    <s v="C024"/>
    <s v="Customer_24"/>
    <s v="Patna"/>
    <s v="East"/>
    <s v="P023"/>
    <s v="Sneakers"/>
    <x v="3"/>
    <n v="5"/>
    <n v="4200"/>
    <n v="21000"/>
  </r>
  <r>
    <n v="10512"/>
    <d v="2025-04-20T00:00:00"/>
    <s v="C060"/>
    <s v="Customer_60"/>
    <s v="Surat"/>
    <s v="West"/>
    <s v="P012"/>
    <s v="Mixer Grinder"/>
    <x v="0"/>
    <n v="1"/>
    <n v="5000"/>
    <n v="5000"/>
  </r>
  <r>
    <n v="10513"/>
    <d v="2025-04-21T00:00:00"/>
    <s v="C049"/>
    <s v="Customer_49"/>
    <s v="Delhi"/>
    <s v="North"/>
    <s v="P011"/>
    <s v="Air Fryer"/>
    <x v="0"/>
    <n v="1"/>
    <n v="6500"/>
    <n v="6500"/>
  </r>
  <r>
    <n v="10514"/>
    <d v="2025-10-27T00:00:00"/>
    <s v="C059"/>
    <s v="Customer_59"/>
    <s v="Ahmedabad"/>
    <s v="West"/>
    <s v="P001"/>
    <s v="Laptop Pro"/>
    <x v="2"/>
    <n v="2"/>
    <n v="65000"/>
    <n v="130000"/>
  </r>
  <r>
    <n v="10515"/>
    <d v="2025-11-27T00:00:00"/>
    <s v="C011"/>
    <s v="Customer_11"/>
    <s v="Ahmedabad"/>
    <s v="West"/>
    <s v="P019"/>
    <s v="Jeans"/>
    <x v="3"/>
    <n v="2"/>
    <n v="3200"/>
    <n v="6400"/>
  </r>
  <r>
    <n v="10516"/>
    <d v="2025-12-03T00:00:00"/>
    <s v="C050"/>
    <s v="Customer_50"/>
    <s v="Jaipur"/>
    <s v="North"/>
    <s v="P019"/>
    <s v="Jeans"/>
    <x v="3"/>
    <n v="1"/>
    <n v="3200"/>
    <n v="3200"/>
  </r>
  <r>
    <n v="10517"/>
    <d v="2025-02-11T00:00:00"/>
    <s v="C005"/>
    <s v="Customer_05"/>
    <s v="Kolkata"/>
    <s v="East"/>
    <s v="P018"/>
    <s v="Induction Cooktop"/>
    <x v="0"/>
    <n v="4"/>
    <n v="3000"/>
    <n v="12000"/>
  </r>
  <r>
    <n v="10518"/>
    <d v="2025-05-21T00:00:00"/>
    <s v="C015"/>
    <s v="Customer_15"/>
    <s v="Hyderabad"/>
    <s v="South"/>
    <s v="P001"/>
    <s v="Laptop Pro"/>
    <x v="2"/>
    <n v="1"/>
    <n v="65000"/>
    <n v="65000"/>
  </r>
  <r>
    <n v="10519"/>
    <d v="2025-10-12T00:00:00"/>
    <s v="C033"/>
    <s v="Customer_33"/>
    <s v="Delhi"/>
    <s v="North"/>
    <s v="P005"/>
    <s v="Tablet Pro"/>
    <x v="2"/>
    <n v="1"/>
    <n v="28000"/>
    <n v="28000"/>
  </r>
  <r>
    <n v="10520"/>
    <d v="2025-10-03T00:00:00"/>
    <s v="C029"/>
    <s v="Customer_29"/>
    <s v="Bengaluru"/>
    <s v="South"/>
    <s v="P017"/>
    <s v="Water Purifier"/>
    <x v="0"/>
    <n v="1"/>
    <n v="15000"/>
    <n v="15000"/>
  </r>
  <r>
    <n v="10521"/>
    <d v="2025-05-20T00:00:00"/>
    <s v="C055"/>
    <s v="Customer_55"/>
    <s v="Bhubaneswar"/>
    <s v="East"/>
    <s v="P025"/>
    <s v="Dress"/>
    <x v="3"/>
    <n v="1"/>
    <n v="3800"/>
    <n v="3800"/>
  </r>
  <r>
    <n v="10522"/>
    <d v="2025-04-29T00:00:00"/>
    <s v="C032"/>
    <s v="Customer_32"/>
    <s v="Kochi"/>
    <s v="South"/>
    <s v="P002"/>
    <s v="Laptop Air"/>
    <x v="2"/>
    <n v="2"/>
    <n v="52000"/>
    <n v="104000"/>
  </r>
  <r>
    <n v="10523"/>
    <d v="2025-08-07T00:00:00"/>
    <s v="C049"/>
    <s v="Customer_49"/>
    <s v="Delhi"/>
    <s v="North"/>
    <s v="P002"/>
    <s v="Laptop Air"/>
    <x v="2"/>
    <n v="2"/>
    <n v="52000"/>
    <n v="104000"/>
  </r>
  <r>
    <n v="10524"/>
    <d v="2025-02-23T00:00:00"/>
    <s v="C023"/>
    <s v="Customer_23"/>
    <s v="Bhubaneswar"/>
    <s v="East"/>
    <s v="P028"/>
    <s v="Wallet"/>
    <x v="1"/>
    <n v="4"/>
    <n v="1400"/>
    <n v="5600"/>
  </r>
  <r>
    <n v="10525"/>
    <d v="2025-07-04T00:00:00"/>
    <s v="C013"/>
    <s v="Customer_13"/>
    <s v="Bengaluru"/>
    <s v="South"/>
    <s v="P017"/>
    <s v="Water Purifier"/>
    <x v="0"/>
    <n v="4"/>
    <n v="15000"/>
    <n v="60000"/>
  </r>
  <r>
    <n v="10526"/>
    <d v="2025-02-26T00:00:00"/>
    <s v="C054"/>
    <s v="Customer_54"/>
    <s v="Guwahati"/>
    <s v="East"/>
    <s v="P030"/>
    <s v="Travel Bag"/>
    <x v="1"/>
    <n v="1"/>
    <n v="3500"/>
    <n v="3500"/>
  </r>
  <r>
    <n v="10527"/>
    <d v="2025-06-29T00:00:00"/>
    <s v="C054"/>
    <s v="Customer_54"/>
    <s v="Guwahati"/>
    <s v="East"/>
    <s v="P028"/>
    <s v="Wallet"/>
    <x v="1"/>
    <n v="1"/>
    <n v="1400"/>
    <n v="1400"/>
  </r>
  <r>
    <n v="10528"/>
    <d v="2025-03-16T00:00:00"/>
    <s v="C038"/>
    <s v="Customer_38"/>
    <s v="Guwahati"/>
    <s v="East"/>
    <s v="P027"/>
    <s v="Watch"/>
    <x v="1"/>
    <n v="4"/>
    <n v="5500"/>
    <n v="22000"/>
  </r>
  <r>
    <n v="10529"/>
    <d v="2025-06-01T00:00:00"/>
    <s v="C021"/>
    <s v="Customer_21"/>
    <s v="Kolkata"/>
    <s v="East"/>
    <s v="P010"/>
    <s v="Keyboard"/>
    <x v="2"/>
    <n v="1"/>
    <n v="2200"/>
    <n v="2200"/>
  </r>
  <r>
    <n v="10530"/>
    <d v="2025-01-07T00:00:00"/>
    <s v="C066"/>
    <s v="Customer_66"/>
    <s v="Jaipur"/>
    <s v="North"/>
    <s v="P030"/>
    <s v="Travel Bag"/>
    <x v="1"/>
    <n v="1"/>
    <n v="3500"/>
    <n v="3500"/>
  </r>
  <r>
    <n v="10531"/>
    <d v="2025-03-07T00:00:00"/>
    <s v="C063"/>
    <s v="Customer_63"/>
    <s v="Hyderabad"/>
    <s v="South"/>
    <s v="P016"/>
    <s v="Electric Kettle"/>
    <x v="0"/>
    <n v="2"/>
    <n v="2200"/>
    <n v="4400"/>
  </r>
  <r>
    <n v="10532"/>
    <d v="2025-03-22T00:00:00"/>
    <s v="C024"/>
    <s v="Customer_24"/>
    <s v="Patna"/>
    <s v="East"/>
    <s v="P016"/>
    <s v="Electric Kettle"/>
    <x v="0"/>
    <n v="2"/>
    <n v="2200"/>
    <n v="4400"/>
  </r>
  <r>
    <n v="10533"/>
    <d v="2025-11-11T00:00:00"/>
    <s v="C068"/>
    <s v="Customer_68"/>
    <s v="Chandigarh"/>
    <s v="North"/>
    <s v="P013"/>
    <s v="Coffee Maker"/>
    <x v="0"/>
    <n v="3"/>
    <n v="4200"/>
    <n v="12600"/>
  </r>
  <r>
    <n v="10534"/>
    <d v="2025-09-06T00:00:00"/>
    <s v="C033"/>
    <s v="Customer_33"/>
    <s v="Delhi"/>
    <s v="North"/>
    <s v="P002"/>
    <s v="Laptop Air"/>
    <x v="2"/>
    <n v="1"/>
    <n v="52000"/>
    <n v="52000"/>
  </r>
  <r>
    <n v="10535"/>
    <d v="2025-10-20T00:00:00"/>
    <s v="C037"/>
    <s v="Customer_37"/>
    <s v="Kolkata"/>
    <s v="East"/>
    <s v="P015"/>
    <s v="Vacuum Cleaner"/>
    <x v="0"/>
    <n v="2"/>
    <n v="9000"/>
    <n v="18000"/>
  </r>
  <r>
    <n v="10536"/>
    <d v="2025-03-03T00:00:00"/>
    <s v="C071"/>
    <s v="Customer_71"/>
    <s v="Bhubaneswar"/>
    <s v="East"/>
    <s v="P023"/>
    <s v="Sneakers"/>
    <x v="3"/>
    <n v="1"/>
    <n v="4200"/>
    <n v="4200"/>
  </r>
  <r>
    <n v="10537"/>
    <d v="2025-11-28T00:00:00"/>
    <s v="C035"/>
    <s v="Customer_35"/>
    <s v="Lucknow"/>
    <s v="North"/>
    <s v="P025"/>
    <s v="Dress"/>
    <x v="3"/>
    <n v="1"/>
    <n v="3800"/>
    <n v="3800"/>
  </r>
  <r>
    <n v="10538"/>
    <d v="2025-01-06T00:00:00"/>
    <s v="C037"/>
    <s v="Customer_37"/>
    <s v="Kolkata"/>
    <s v="East"/>
    <s v="P011"/>
    <s v="Air Fryer"/>
    <x v="0"/>
    <n v="2"/>
    <n v="6500"/>
    <n v="13000"/>
  </r>
  <r>
    <n v="10539"/>
    <d v="2025-11-25T00:00:00"/>
    <s v="C026"/>
    <s v="Customer_26"/>
    <s v="Pune"/>
    <s v="West"/>
    <s v="P022"/>
    <s v="Jacket"/>
    <x v="3"/>
    <n v="2"/>
    <n v="4800"/>
    <n v="9600"/>
  </r>
  <r>
    <n v="10540"/>
    <d v="2025-12-07T00:00:00"/>
    <s v="C068"/>
    <s v="Customer_68"/>
    <s v="Chandigarh"/>
    <s v="North"/>
    <s v="P021"/>
    <s v="Formal Shirt"/>
    <x v="3"/>
    <n v="2"/>
    <n v="2400"/>
    <n v="4800"/>
  </r>
  <r>
    <n v="10541"/>
    <d v="2025-11-24T00:00:00"/>
    <s v="C068"/>
    <s v="Customer_68"/>
    <s v="Chandigarh"/>
    <s v="North"/>
    <s v="P022"/>
    <s v="Jacket"/>
    <x v="3"/>
    <n v="1"/>
    <n v="4800"/>
    <n v="4800"/>
  </r>
  <r>
    <n v="10542"/>
    <d v="2025-09-10T00:00:00"/>
    <s v="C003"/>
    <s v="Customer_03"/>
    <s v="Lucknow"/>
    <s v="North"/>
    <s v="P016"/>
    <s v="Electric Kettle"/>
    <x v="0"/>
    <n v="1"/>
    <n v="2200"/>
    <n v="2200"/>
  </r>
  <r>
    <n v="10543"/>
    <d v="2025-04-06T00:00:00"/>
    <s v="C013"/>
    <s v="Customer_13"/>
    <s v="Bengaluru"/>
    <s v="South"/>
    <s v="P011"/>
    <s v="Air Fryer"/>
    <x v="0"/>
    <n v="1"/>
    <n v="6500"/>
    <n v="6500"/>
  </r>
  <r>
    <n v="10544"/>
    <d v="2025-02-04T00:00:00"/>
    <s v="C022"/>
    <s v="Customer_22"/>
    <s v="Guwahati"/>
    <s v="East"/>
    <s v="P015"/>
    <s v="Vacuum Cleaner"/>
    <x v="0"/>
    <n v="1"/>
    <n v="9000"/>
    <n v="9000"/>
  </r>
  <r>
    <n v="10545"/>
    <d v="2025-04-13T00:00:00"/>
    <s v="C019"/>
    <s v="Customer_19"/>
    <s v="Lucknow"/>
    <s v="North"/>
    <s v="P027"/>
    <s v="Watch"/>
    <x v="1"/>
    <n v="1"/>
    <n v="5500"/>
    <n v="5500"/>
  </r>
  <r>
    <n v="10546"/>
    <d v="2025-03-13T00:00:00"/>
    <s v="C021"/>
    <s v="Customer_21"/>
    <s v="Kolkata"/>
    <s v="East"/>
    <s v="P024"/>
    <s v="Hoodie"/>
    <x v="3"/>
    <n v="1"/>
    <n v="3000"/>
    <n v="3000"/>
  </r>
  <r>
    <n v="10547"/>
    <d v="2025-03-12T00:00:00"/>
    <s v="C042"/>
    <s v="Customer_42"/>
    <s v="Pune"/>
    <s v="West"/>
    <s v="P012"/>
    <s v="Mixer Grinder"/>
    <x v="0"/>
    <n v="2"/>
    <n v="5000"/>
    <n v="10000"/>
  </r>
  <r>
    <n v="10548"/>
    <d v="2025-06-24T00:00:00"/>
    <s v="C014"/>
    <s v="Customer_14"/>
    <s v="Chennai"/>
    <s v="South"/>
    <s v="P009"/>
    <s v="Wireless Earbuds"/>
    <x v="2"/>
    <n v="1"/>
    <n v="2500"/>
    <n v="2500"/>
  </r>
  <r>
    <n v="10549"/>
    <d v="2025-09-09T00:00:00"/>
    <s v="C038"/>
    <s v="Customer_38"/>
    <s v="Guwahati"/>
    <s v="East"/>
    <s v="P014"/>
    <s v="Microwave"/>
    <x v="0"/>
    <n v="1"/>
    <n v="11000"/>
    <n v="11000"/>
  </r>
  <r>
    <n v="10550"/>
    <d v="2025-12-22T00:00:00"/>
    <s v="C073"/>
    <s v="Customer_73"/>
    <s v="Mumbai"/>
    <s v="West"/>
    <s v="P024"/>
    <s v="Hoodie"/>
    <x v="3"/>
    <n v="1"/>
    <n v="3000"/>
    <n v="3000"/>
  </r>
  <r>
    <n v="10551"/>
    <d v="2025-02-26T00:00:00"/>
    <s v="C036"/>
    <s v="Customer_36"/>
    <s v="Chandigarh"/>
    <s v="North"/>
    <s v="P003"/>
    <s v="Smartphone X"/>
    <x v="2"/>
    <n v="4"/>
    <n v="30000"/>
    <n v="120000"/>
  </r>
  <r>
    <n v="10552"/>
    <d v="2025-10-22T00:00:00"/>
    <s v="C065"/>
    <s v="Customer_65"/>
    <s v="Delhi"/>
    <s v="North"/>
    <s v="P017"/>
    <s v="Water Purifier"/>
    <x v="0"/>
    <n v="1"/>
    <n v="15000"/>
    <n v="15000"/>
  </r>
  <r>
    <n v="10553"/>
    <d v="2025-09-29T00:00:00"/>
    <s v="C046"/>
    <s v="Customer_46"/>
    <s v="Chennai"/>
    <s v="South"/>
    <s v="P022"/>
    <s v="Jacket"/>
    <x v="3"/>
    <n v="1"/>
    <n v="4800"/>
    <n v="4800"/>
  </r>
  <r>
    <n v="10554"/>
    <d v="2025-05-24T00:00:00"/>
    <s v="C033"/>
    <s v="Customer_33"/>
    <s v="Delhi"/>
    <s v="North"/>
    <s v="P029"/>
    <s v="Sunglasses"/>
    <x v="1"/>
    <n v="1"/>
    <n v="2000"/>
    <n v="2000"/>
  </r>
  <r>
    <n v="10555"/>
    <d v="2025-04-19T00:00:00"/>
    <s v="C009"/>
    <s v="Customer_09"/>
    <s v="Mumbai"/>
    <s v="West"/>
    <s v="P022"/>
    <s v="Jacket"/>
    <x v="3"/>
    <n v="1"/>
    <n v="4800"/>
    <n v="4800"/>
  </r>
  <r>
    <n v="10556"/>
    <d v="2025-04-17T00:00:00"/>
    <s v="C008"/>
    <s v="Customer_08"/>
    <s v="Patna"/>
    <s v="East"/>
    <s v="P009"/>
    <s v="Wireless Earbuds"/>
    <x v="2"/>
    <n v="1"/>
    <n v="2500"/>
    <n v="2500"/>
  </r>
  <r>
    <n v="10557"/>
    <d v="2025-07-27T00:00:00"/>
    <s v="C037"/>
    <s v="Customer_37"/>
    <s v="Kolkata"/>
    <s v="East"/>
    <s v="P005"/>
    <s v="Tablet Pro"/>
    <x v="2"/>
    <n v="1"/>
    <n v="28000"/>
    <n v="28000"/>
  </r>
  <r>
    <n v="10558"/>
    <d v="2025-06-06T00:00:00"/>
    <s v="C060"/>
    <s v="Customer_60"/>
    <s v="Surat"/>
    <s v="West"/>
    <s v="P021"/>
    <s v="Formal Shirt"/>
    <x v="3"/>
    <n v="1"/>
    <n v="2400"/>
    <n v="2400"/>
  </r>
  <r>
    <n v="10559"/>
    <d v="2025-03-12T00:00:00"/>
    <s v="C023"/>
    <s v="Customer_23"/>
    <s v="Bhubaneswar"/>
    <s v="East"/>
    <s v="P013"/>
    <s v="Coffee Maker"/>
    <x v="0"/>
    <n v="1"/>
    <n v="4200"/>
    <n v="4200"/>
  </r>
  <r>
    <n v="10560"/>
    <d v="2025-07-09T00:00:00"/>
    <s v="C011"/>
    <s v="Customer_11"/>
    <s v="Ahmedabad"/>
    <s v="West"/>
    <s v="P022"/>
    <s v="Jacket"/>
    <x v="3"/>
    <n v="1"/>
    <n v="4800"/>
    <n v="4800"/>
  </r>
  <r>
    <n v="10561"/>
    <d v="2025-10-09T00:00:00"/>
    <s v="C074"/>
    <s v="Customer_74"/>
    <s v="Pune"/>
    <s v="West"/>
    <s v="P023"/>
    <s v="Sneakers"/>
    <x v="3"/>
    <n v="3"/>
    <n v="4200"/>
    <n v="12600"/>
  </r>
  <r>
    <n v="10562"/>
    <d v="2025-03-30T00:00:00"/>
    <s v="C036"/>
    <s v="Customer_36"/>
    <s v="Chandigarh"/>
    <s v="North"/>
    <s v="P003"/>
    <s v="Smartphone X"/>
    <x v="2"/>
    <n v="2"/>
    <n v="30000"/>
    <n v="60000"/>
  </r>
  <r>
    <n v="10563"/>
    <d v="2025-01-07T00:00:00"/>
    <s v="C020"/>
    <s v="Customer_20"/>
    <s v="Chandigarh"/>
    <s v="North"/>
    <s v="P026"/>
    <s v="Backpack"/>
    <x v="1"/>
    <n v="1"/>
    <n v="2400"/>
    <n v="2400"/>
  </r>
  <r>
    <n v="10564"/>
    <d v="2025-08-01T00:00:00"/>
    <s v="C062"/>
    <s v="Customer_62"/>
    <s v="Chennai"/>
    <s v="South"/>
    <s v="P017"/>
    <s v="Water Purifier"/>
    <x v="0"/>
    <n v="1"/>
    <n v="15000"/>
    <n v="15000"/>
  </r>
  <r>
    <n v="10565"/>
    <d v="2025-04-16T00:00:00"/>
    <s v="C037"/>
    <s v="Customer_37"/>
    <s v="Kolkata"/>
    <s v="East"/>
    <s v="P008"/>
    <s v="Headphones Pro"/>
    <x v="2"/>
    <n v="3"/>
    <n v="4500"/>
    <n v="13500"/>
  </r>
  <r>
    <n v="10566"/>
    <d v="2025-04-11T00:00:00"/>
    <s v="C071"/>
    <s v="Customer_71"/>
    <s v="Bhubaneswar"/>
    <s v="East"/>
    <s v="P024"/>
    <s v="Hoodie"/>
    <x v="3"/>
    <n v="1"/>
    <n v="3000"/>
    <n v="3000"/>
  </r>
  <r>
    <n v="10567"/>
    <d v="2025-04-16T00:00:00"/>
    <s v="C007"/>
    <s v="Customer_07"/>
    <s v="Bhubaneswar"/>
    <s v="East"/>
    <s v="P023"/>
    <s v="Sneakers"/>
    <x v="3"/>
    <n v="3"/>
    <n v="4200"/>
    <n v="12600"/>
  </r>
  <r>
    <n v="10568"/>
    <d v="2025-11-12T00:00:00"/>
    <s v="C007"/>
    <s v="Customer_07"/>
    <s v="Bhubaneswar"/>
    <s v="East"/>
    <s v="P008"/>
    <s v="Headphones Pro"/>
    <x v="2"/>
    <n v="4"/>
    <n v="4500"/>
    <n v="18000"/>
  </r>
  <r>
    <n v="10569"/>
    <d v="2025-05-30T00:00:00"/>
    <s v="C059"/>
    <s v="Customer_59"/>
    <s v="Ahmedabad"/>
    <s v="West"/>
    <s v="P007"/>
    <s v="Monitor 27"/>
    <x v="2"/>
    <n v="1"/>
    <n v="18000"/>
    <n v="18000"/>
  </r>
  <r>
    <n v="10570"/>
    <d v="2025-07-15T00:00:00"/>
    <s v="C058"/>
    <s v="Customer_58"/>
    <s v="Pune"/>
    <s v="West"/>
    <s v="P028"/>
    <s v="Wallet"/>
    <x v="1"/>
    <n v="1"/>
    <n v="1400"/>
    <n v="1400"/>
  </r>
  <r>
    <n v="10571"/>
    <d v="2025-03-11T00:00:00"/>
    <s v="C064"/>
    <s v="Customer_64"/>
    <s v="Kochi"/>
    <s v="South"/>
    <s v="P013"/>
    <s v="Coffee Maker"/>
    <x v="0"/>
    <n v="1"/>
    <n v="4200"/>
    <n v="4200"/>
  </r>
  <r>
    <n v="10572"/>
    <d v="2025-12-30T00:00:00"/>
    <s v="C071"/>
    <s v="Customer_71"/>
    <s v="Bhubaneswar"/>
    <s v="East"/>
    <s v="P001"/>
    <s v="Laptop Pro"/>
    <x v="2"/>
    <n v="1"/>
    <n v="65000"/>
    <n v="65000"/>
  </r>
  <r>
    <n v="10573"/>
    <d v="2025-02-05T00:00:00"/>
    <s v="C011"/>
    <s v="Customer_11"/>
    <s v="Ahmedabad"/>
    <s v="West"/>
    <s v="P010"/>
    <s v="Keyboard"/>
    <x v="2"/>
    <n v="1"/>
    <n v="2200"/>
    <n v="2200"/>
  </r>
  <r>
    <n v="10574"/>
    <d v="2025-07-18T00:00:00"/>
    <s v="C051"/>
    <s v="Customer_51"/>
    <s v="Lucknow"/>
    <s v="North"/>
    <s v="P023"/>
    <s v="Sneakers"/>
    <x v="3"/>
    <n v="1"/>
    <n v="4200"/>
    <n v="4200"/>
  </r>
  <r>
    <n v="10575"/>
    <d v="2025-06-23T00:00:00"/>
    <s v="C068"/>
    <s v="Customer_68"/>
    <s v="Chandigarh"/>
    <s v="North"/>
    <s v="P019"/>
    <s v="Jeans"/>
    <x v="3"/>
    <n v="2"/>
    <n v="3200"/>
    <n v="6400"/>
  </r>
  <r>
    <n v="10576"/>
    <d v="2025-11-10T00:00:00"/>
    <s v="C026"/>
    <s v="Customer_26"/>
    <s v="Pune"/>
    <s v="West"/>
    <s v="P028"/>
    <s v="Wallet"/>
    <x v="1"/>
    <n v="4"/>
    <n v="1400"/>
    <n v="5600"/>
  </r>
  <r>
    <n v="10577"/>
    <d v="2025-01-25T00:00:00"/>
    <s v="C012"/>
    <s v="Customer_12"/>
    <s v="Surat"/>
    <s v="West"/>
    <s v="P024"/>
    <s v="Hoodie"/>
    <x v="3"/>
    <n v="5"/>
    <n v="3000"/>
    <n v="15000"/>
  </r>
  <r>
    <n v="10578"/>
    <d v="2025-07-23T00:00:00"/>
    <s v="C026"/>
    <s v="Customer_26"/>
    <s v="Pune"/>
    <s v="West"/>
    <s v="P016"/>
    <s v="Electric Kettle"/>
    <x v="0"/>
    <n v="1"/>
    <n v="2200"/>
    <n v="2200"/>
  </r>
  <r>
    <n v="10579"/>
    <d v="2025-06-15T00:00:00"/>
    <s v="C043"/>
    <s v="Customer_43"/>
    <s v="Ahmedabad"/>
    <s v="West"/>
    <s v="P012"/>
    <s v="Mixer Grinder"/>
    <x v="0"/>
    <n v="1"/>
    <n v="5000"/>
    <n v="5000"/>
  </r>
  <r>
    <n v="10580"/>
    <d v="2025-04-24T00:00:00"/>
    <s v="C072"/>
    <s v="Customer_72"/>
    <s v="Patna"/>
    <s v="East"/>
    <s v="P019"/>
    <s v="Jeans"/>
    <x v="3"/>
    <n v="1"/>
    <n v="3200"/>
    <n v="3200"/>
  </r>
  <r>
    <n v="10581"/>
    <d v="2025-08-20T00:00:00"/>
    <s v="C073"/>
    <s v="Customer_73"/>
    <s v="Mumbai"/>
    <s v="West"/>
    <s v="P019"/>
    <s v="Jeans"/>
    <x v="3"/>
    <n v="1"/>
    <n v="3200"/>
    <n v="3200"/>
  </r>
  <r>
    <n v="10582"/>
    <d v="2025-07-06T00:00:00"/>
    <s v="C062"/>
    <s v="Customer_62"/>
    <s v="Chennai"/>
    <s v="South"/>
    <s v="P009"/>
    <s v="Wireless Earbuds"/>
    <x v="2"/>
    <n v="4"/>
    <n v="2500"/>
    <n v="10000"/>
  </r>
  <r>
    <n v="10583"/>
    <d v="2025-03-28T00:00:00"/>
    <s v="C034"/>
    <s v="Customer_34"/>
    <s v="Jaipur"/>
    <s v="North"/>
    <s v="P005"/>
    <s v="Tablet Pro"/>
    <x v="2"/>
    <n v="1"/>
    <n v="28000"/>
    <n v="28000"/>
  </r>
  <r>
    <n v="10584"/>
    <d v="2025-04-29T00:00:00"/>
    <s v="C020"/>
    <s v="Customer_20"/>
    <s v="Chandigarh"/>
    <s v="North"/>
    <s v="P016"/>
    <s v="Electric Kettle"/>
    <x v="0"/>
    <n v="1"/>
    <n v="2200"/>
    <n v="2200"/>
  </r>
  <r>
    <n v="10585"/>
    <d v="2025-06-25T00:00:00"/>
    <s v="C056"/>
    <s v="Customer_56"/>
    <s v="Patna"/>
    <s v="East"/>
    <s v="P004"/>
    <s v="Smartphone Y"/>
    <x v="2"/>
    <n v="1"/>
    <n v="22000"/>
    <n v="22000"/>
  </r>
  <r>
    <n v="10586"/>
    <d v="2025-09-25T00:00:00"/>
    <s v="C060"/>
    <s v="Customer_60"/>
    <s v="Surat"/>
    <s v="West"/>
    <s v="P015"/>
    <s v="Vacuum Cleaner"/>
    <x v="0"/>
    <n v="1"/>
    <n v="9000"/>
    <n v="9000"/>
  </r>
  <r>
    <n v="10587"/>
    <d v="2025-04-17T00:00:00"/>
    <s v="C017"/>
    <s v="Customer_17"/>
    <s v="Delhi"/>
    <s v="North"/>
    <s v="P024"/>
    <s v="Hoodie"/>
    <x v="3"/>
    <n v="1"/>
    <n v="3000"/>
    <n v="3000"/>
  </r>
  <r>
    <n v="10588"/>
    <d v="2025-10-31T00:00:00"/>
    <s v="C074"/>
    <s v="Customer_74"/>
    <s v="Pune"/>
    <s v="West"/>
    <s v="P025"/>
    <s v="Dress"/>
    <x v="3"/>
    <n v="2"/>
    <n v="3800"/>
    <n v="7600"/>
  </r>
  <r>
    <n v="10589"/>
    <d v="2025-11-12T00:00:00"/>
    <s v="C001"/>
    <s v="Customer_01"/>
    <s v="Delhi"/>
    <s v="North"/>
    <s v="P012"/>
    <s v="Mixer Grinder"/>
    <x v="0"/>
    <n v="1"/>
    <n v="5000"/>
    <n v="5000"/>
  </r>
  <r>
    <n v="10590"/>
    <d v="2025-04-30T00:00:00"/>
    <s v="C061"/>
    <s v="Customer_61"/>
    <s v="Bengaluru"/>
    <s v="South"/>
    <s v="P010"/>
    <s v="Keyboard"/>
    <x v="2"/>
    <n v="3"/>
    <n v="2200"/>
    <n v="6600"/>
  </r>
  <r>
    <n v="10591"/>
    <d v="2025-05-15T00:00:00"/>
    <s v="C023"/>
    <s v="Customer_23"/>
    <s v="Bhubaneswar"/>
    <s v="East"/>
    <s v="P025"/>
    <s v="Dress"/>
    <x v="3"/>
    <n v="1"/>
    <n v="3800"/>
    <n v="3800"/>
  </r>
  <r>
    <n v="10592"/>
    <d v="2025-02-10T00:00:00"/>
    <s v="C020"/>
    <s v="Customer_20"/>
    <s v="Chandigarh"/>
    <s v="North"/>
    <s v="P020"/>
    <s v="T-Shirt"/>
    <x v="3"/>
    <n v="2"/>
    <n v="1600"/>
    <n v="3200"/>
  </r>
  <r>
    <n v="10593"/>
    <d v="2025-07-04T00:00:00"/>
    <s v="C068"/>
    <s v="Customer_68"/>
    <s v="Chandigarh"/>
    <s v="North"/>
    <s v="P009"/>
    <s v="Wireless Earbuds"/>
    <x v="2"/>
    <n v="2"/>
    <n v="2500"/>
    <n v="5000"/>
  </r>
  <r>
    <n v="10594"/>
    <d v="2025-03-26T00:00:00"/>
    <s v="C013"/>
    <s v="Customer_13"/>
    <s v="Bengaluru"/>
    <s v="South"/>
    <s v="P018"/>
    <s v="Induction Cooktop"/>
    <x v="0"/>
    <n v="2"/>
    <n v="3000"/>
    <n v="6000"/>
  </r>
  <r>
    <n v="10595"/>
    <d v="2025-08-26T00:00:00"/>
    <s v="C070"/>
    <s v="Customer_70"/>
    <s v="Guwahati"/>
    <s v="East"/>
    <s v="P016"/>
    <s v="Electric Kettle"/>
    <x v="0"/>
    <n v="1"/>
    <n v="2200"/>
    <n v="2200"/>
  </r>
  <r>
    <n v="10596"/>
    <d v="2025-02-16T00:00:00"/>
    <s v="C055"/>
    <s v="Customer_55"/>
    <s v="Bhubaneswar"/>
    <s v="East"/>
    <s v="P021"/>
    <s v="Formal Shirt"/>
    <x v="3"/>
    <n v="2"/>
    <n v="2400"/>
    <n v="4800"/>
  </r>
  <r>
    <n v="10597"/>
    <d v="2025-01-06T00:00:00"/>
    <s v="C052"/>
    <s v="Customer_52"/>
    <s v="Chandigarh"/>
    <s v="North"/>
    <s v="P012"/>
    <s v="Mixer Grinder"/>
    <x v="0"/>
    <n v="2"/>
    <n v="5000"/>
    <n v="10000"/>
  </r>
  <r>
    <n v="10598"/>
    <d v="2025-07-31T00:00:00"/>
    <s v="C034"/>
    <s v="Customer_34"/>
    <s v="Jaipur"/>
    <s v="North"/>
    <s v="P004"/>
    <s v="Smartphone Y"/>
    <x v="2"/>
    <n v="1"/>
    <n v="22000"/>
    <n v="22000"/>
  </r>
  <r>
    <n v="10599"/>
    <d v="2025-07-28T00:00:00"/>
    <s v="C024"/>
    <s v="Customer_24"/>
    <s v="Patna"/>
    <s v="East"/>
    <s v="P015"/>
    <s v="Vacuum Cleaner"/>
    <x v="0"/>
    <n v="1"/>
    <n v="9000"/>
    <n v="9000"/>
  </r>
  <r>
    <n v="10600"/>
    <d v="2025-12-16T00:00:00"/>
    <s v="C054"/>
    <s v="Customer_54"/>
    <s v="Guwahati"/>
    <s v="East"/>
    <s v="P003"/>
    <s v="Smartphone X"/>
    <x v="2"/>
    <n v="3"/>
    <n v="30000"/>
    <n v="90000"/>
  </r>
  <r>
    <n v="10601"/>
    <d v="2025-12-05T00:00:00"/>
    <s v="C041"/>
    <s v="Customer_41"/>
    <s v="Mumbai"/>
    <s v="West"/>
    <s v="P023"/>
    <s v="Sneakers"/>
    <x v="3"/>
    <n v="1"/>
    <n v="4200"/>
    <n v="4200"/>
  </r>
  <r>
    <n v="10602"/>
    <d v="2025-10-25T00:00:00"/>
    <s v="C008"/>
    <s v="Customer_08"/>
    <s v="Patna"/>
    <s v="East"/>
    <s v="P009"/>
    <s v="Wireless Earbuds"/>
    <x v="2"/>
    <n v="3"/>
    <n v="2500"/>
    <n v="7500"/>
  </r>
  <r>
    <n v="10603"/>
    <d v="2025-06-25T00:00:00"/>
    <s v="C061"/>
    <s v="Customer_61"/>
    <s v="Bengaluru"/>
    <s v="South"/>
    <s v="P021"/>
    <s v="Formal Shirt"/>
    <x v="3"/>
    <n v="1"/>
    <n v="2400"/>
    <n v="2400"/>
  </r>
  <r>
    <n v="10604"/>
    <d v="2025-08-30T00:00:00"/>
    <s v="C052"/>
    <s v="Customer_52"/>
    <s v="Chandigarh"/>
    <s v="North"/>
    <s v="P013"/>
    <s v="Coffee Maker"/>
    <x v="0"/>
    <n v="1"/>
    <n v="4200"/>
    <n v="4200"/>
  </r>
  <r>
    <n v="10605"/>
    <d v="2025-10-03T00:00:00"/>
    <s v="C037"/>
    <s v="Customer_37"/>
    <s v="Kolkata"/>
    <s v="East"/>
    <s v="P017"/>
    <s v="Water Purifier"/>
    <x v="0"/>
    <n v="1"/>
    <n v="15000"/>
    <n v="15000"/>
  </r>
  <r>
    <n v="10606"/>
    <d v="2025-03-09T00:00:00"/>
    <s v="C011"/>
    <s v="Customer_11"/>
    <s v="Ahmedabad"/>
    <s v="West"/>
    <s v="P013"/>
    <s v="Coffee Maker"/>
    <x v="0"/>
    <n v="1"/>
    <n v="4200"/>
    <n v="4200"/>
  </r>
  <r>
    <n v="10607"/>
    <d v="2025-09-10T00:00:00"/>
    <s v="C062"/>
    <s v="Customer_62"/>
    <s v="Chennai"/>
    <s v="South"/>
    <s v="P009"/>
    <s v="Wireless Earbuds"/>
    <x v="2"/>
    <n v="1"/>
    <n v="2500"/>
    <n v="2500"/>
  </r>
  <r>
    <n v="10608"/>
    <d v="2025-01-06T00:00:00"/>
    <s v="C016"/>
    <s v="Customer_16"/>
    <s v="Kochi"/>
    <s v="South"/>
    <s v="P019"/>
    <s v="Jeans"/>
    <x v="3"/>
    <n v="1"/>
    <n v="3200"/>
    <n v="3200"/>
  </r>
  <r>
    <n v="10609"/>
    <d v="2025-12-21T00:00:00"/>
    <s v="C008"/>
    <s v="Customer_08"/>
    <s v="Patna"/>
    <s v="East"/>
    <s v="P008"/>
    <s v="Headphones Pro"/>
    <x v="2"/>
    <n v="1"/>
    <n v="4500"/>
    <n v="4500"/>
  </r>
  <r>
    <n v="10610"/>
    <d v="2025-12-18T00:00:00"/>
    <s v="C011"/>
    <s v="Customer_11"/>
    <s v="Ahmedabad"/>
    <s v="West"/>
    <s v="P003"/>
    <s v="Smartphone X"/>
    <x v="2"/>
    <n v="2"/>
    <n v="30000"/>
    <n v="60000"/>
  </r>
  <r>
    <n v="10611"/>
    <d v="2025-02-22T00:00:00"/>
    <s v="C011"/>
    <s v="Customer_11"/>
    <s v="Ahmedabad"/>
    <s v="West"/>
    <s v="P029"/>
    <s v="Sunglasses"/>
    <x v="1"/>
    <n v="4"/>
    <n v="2000"/>
    <n v="8000"/>
  </r>
  <r>
    <n v="10612"/>
    <d v="2025-11-27T00:00:00"/>
    <s v="C011"/>
    <s v="Customer_11"/>
    <s v="Ahmedabad"/>
    <s v="West"/>
    <s v="P002"/>
    <s v="Laptop Air"/>
    <x v="2"/>
    <n v="1"/>
    <n v="52000"/>
    <n v="52000"/>
  </r>
  <r>
    <n v="10613"/>
    <d v="2025-07-03T00:00:00"/>
    <s v="C029"/>
    <s v="Customer_29"/>
    <s v="Bengaluru"/>
    <s v="South"/>
    <s v="P022"/>
    <s v="Jacket"/>
    <x v="3"/>
    <n v="2"/>
    <n v="4800"/>
    <n v="9600"/>
  </r>
  <r>
    <n v="10614"/>
    <d v="2025-01-11T00:00:00"/>
    <s v="C061"/>
    <s v="Customer_61"/>
    <s v="Bengaluru"/>
    <s v="South"/>
    <s v="P029"/>
    <s v="Sunglasses"/>
    <x v="1"/>
    <n v="1"/>
    <n v="2000"/>
    <n v="2000"/>
  </r>
  <r>
    <n v="10615"/>
    <d v="2025-09-26T00:00:00"/>
    <s v="C051"/>
    <s v="Customer_51"/>
    <s v="Lucknow"/>
    <s v="North"/>
    <s v="P021"/>
    <s v="Formal Shirt"/>
    <x v="3"/>
    <n v="4"/>
    <n v="2400"/>
    <n v="9600"/>
  </r>
  <r>
    <n v="10616"/>
    <d v="2025-10-23T00:00:00"/>
    <s v="C055"/>
    <s v="Customer_55"/>
    <s v="Bhubaneswar"/>
    <s v="East"/>
    <s v="P016"/>
    <s v="Electric Kettle"/>
    <x v="0"/>
    <n v="2"/>
    <n v="2200"/>
    <n v="4400"/>
  </r>
  <r>
    <n v="10617"/>
    <d v="2025-10-28T00:00:00"/>
    <s v="C037"/>
    <s v="Customer_37"/>
    <s v="Kolkata"/>
    <s v="East"/>
    <s v="P024"/>
    <s v="Hoodie"/>
    <x v="3"/>
    <n v="2"/>
    <n v="3000"/>
    <n v="6000"/>
  </r>
  <r>
    <n v="10618"/>
    <d v="2025-09-01T00:00:00"/>
    <s v="C003"/>
    <s v="Customer_03"/>
    <s v="Lucknow"/>
    <s v="North"/>
    <s v="P028"/>
    <s v="Wallet"/>
    <x v="1"/>
    <n v="1"/>
    <n v="1400"/>
    <n v="1400"/>
  </r>
  <r>
    <n v="10619"/>
    <d v="2025-08-18T00:00:00"/>
    <s v="C007"/>
    <s v="Customer_07"/>
    <s v="Bhubaneswar"/>
    <s v="East"/>
    <s v="P029"/>
    <s v="Sunglasses"/>
    <x v="1"/>
    <n v="1"/>
    <n v="2000"/>
    <n v="2000"/>
  </r>
  <r>
    <n v="10620"/>
    <d v="2025-07-19T00:00:00"/>
    <s v="C003"/>
    <s v="Customer_03"/>
    <s v="Lucknow"/>
    <s v="North"/>
    <s v="P030"/>
    <s v="Travel Bag"/>
    <x v="1"/>
    <n v="1"/>
    <n v="3500"/>
    <n v="3500"/>
  </r>
  <r>
    <n v="10621"/>
    <d v="2025-09-05T00:00:00"/>
    <s v="C029"/>
    <s v="Customer_29"/>
    <s v="Bengaluru"/>
    <s v="South"/>
    <s v="P010"/>
    <s v="Keyboard"/>
    <x v="2"/>
    <n v="4"/>
    <n v="2200"/>
    <n v="8800"/>
  </r>
  <r>
    <n v="10622"/>
    <d v="2025-08-18T00:00:00"/>
    <s v="C022"/>
    <s v="Customer_22"/>
    <s v="Guwahati"/>
    <s v="East"/>
    <s v="P007"/>
    <s v="Monitor 27"/>
    <x v="2"/>
    <n v="2"/>
    <n v="18000"/>
    <n v="36000"/>
  </r>
  <r>
    <n v="10623"/>
    <d v="2025-08-09T00:00:00"/>
    <s v="C070"/>
    <s v="Customer_70"/>
    <s v="Guwahati"/>
    <s v="East"/>
    <s v="P006"/>
    <s v="Monitor 24"/>
    <x v="2"/>
    <n v="1"/>
    <n v="12000"/>
    <n v="12000"/>
  </r>
  <r>
    <n v="10624"/>
    <d v="2025-08-27T00:00:00"/>
    <s v="C050"/>
    <s v="Customer_50"/>
    <s v="Jaipur"/>
    <s v="North"/>
    <s v="P028"/>
    <s v="Wallet"/>
    <x v="1"/>
    <n v="2"/>
    <n v="1400"/>
    <n v="2800"/>
  </r>
  <r>
    <n v="10625"/>
    <d v="2025-04-07T00:00:00"/>
    <s v="C052"/>
    <s v="Customer_52"/>
    <s v="Chandigarh"/>
    <s v="North"/>
    <s v="P021"/>
    <s v="Formal Shirt"/>
    <x v="3"/>
    <n v="3"/>
    <n v="2400"/>
    <n v="7200"/>
  </r>
  <r>
    <n v="10626"/>
    <d v="2025-06-10T00:00:00"/>
    <s v="C067"/>
    <s v="Customer_67"/>
    <s v="Lucknow"/>
    <s v="North"/>
    <s v="P005"/>
    <s v="Tablet Pro"/>
    <x v="2"/>
    <n v="5"/>
    <n v="28000"/>
    <n v="140000"/>
  </r>
  <r>
    <n v="10627"/>
    <d v="2025-07-13T00:00:00"/>
    <s v="C042"/>
    <s v="Customer_42"/>
    <s v="Pune"/>
    <s v="West"/>
    <s v="P029"/>
    <s v="Sunglasses"/>
    <x v="1"/>
    <n v="1"/>
    <n v="2000"/>
    <n v="2000"/>
  </r>
  <r>
    <n v="10628"/>
    <d v="2025-08-13T00:00:00"/>
    <s v="C032"/>
    <s v="Customer_32"/>
    <s v="Kochi"/>
    <s v="South"/>
    <s v="P016"/>
    <s v="Electric Kettle"/>
    <x v="0"/>
    <n v="1"/>
    <n v="2200"/>
    <n v="2200"/>
  </r>
  <r>
    <n v="10629"/>
    <d v="2025-06-18T00:00:00"/>
    <s v="C056"/>
    <s v="Customer_56"/>
    <s v="Patna"/>
    <s v="East"/>
    <s v="P007"/>
    <s v="Monitor 27"/>
    <x v="2"/>
    <n v="5"/>
    <n v="18000"/>
    <n v="90000"/>
  </r>
  <r>
    <n v="10630"/>
    <d v="2025-04-22T00:00:00"/>
    <s v="C037"/>
    <s v="Customer_37"/>
    <s v="Kolkata"/>
    <s v="East"/>
    <s v="P020"/>
    <s v="T-Shirt"/>
    <x v="3"/>
    <n v="2"/>
    <n v="1600"/>
    <n v="3200"/>
  </r>
  <r>
    <n v="10631"/>
    <d v="2025-04-30T00:00:00"/>
    <s v="C035"/>
    <s v="Customer_35"/>
    <s v="Lucknow"/>
    <s v="North"/>
    <s v="P023"/>
    <s v="Sneakers"/>
    <x v="3"/>
    <n v="1"/>
    <n v="4200"/>
    <n v="4200"/>
  </r>
  <r>
    <n v="10632"/>
    <d v="2025-04-07T00:00:00"/>
    <s v="C050"/>
    <s v="Customer_50"/>
    <s v="Jaipur"/>
    <s v="North"/>
    <s v="P020"/>
    <s v="T-Shirt"/>
    <x v="3"/>
    <n v="1"/>
    <n v="1600"/>
    <n v="1600"/>
  </r>
  <r>
    <n v="10633"/>
    <d v="2025-07-21T00:00:00"/>
    <s v="C062"/>
    <s v="Customer_62"/>
    <s v="Chennai"/>
    <s v="South"/>
    <s v="P008"/>
    <s v="Headphones Pro"/>
    <x v="2"/>
    <n v="1"/>
    <n v="4500"/>
    <n v="4500"/>
  </r>
  <r>
    <n v="10634"/>
    <d v="2025-09-17T00:00:00"/>
    <s v="C069"/>
    <s v="Customer_69"/>
    <s v="Kolkata"/>
    <s v="East"/>
    <s v="P003"/>
    <s v="Smartphone X"/>
    <x v="2"/>
    <n v="3"/>
    <n v="30000"/>
    <n v="90000"/>
  </r>
  <r>
    <n v="10635"/>
    <d v="2025-10-02T00:00:00"/>
    <s v="C017"/>
    <s v="Customer_17"/>
    <s v="Delhi"/>
    <s v="North"/>
    <s v="P003"/>
    <s v="Smartphone X"/>
    <x v="2"/>
    <n v="1"/>
    <n v="30000"/>
    <n v="30000"/>
  </r>
  <r>
    <n v="10636"/>
    <d v="2025-12-08T00:00:00"/>
    <s v="C003"/>
    <s v="Customer_03"/>
    <s v="Lucknow"/>
    <s v="North"/>
    <s v="P008"/>
    <s v="Headphones Pro"/>
    <x v="2"/>
    <n v="2"/>
    <n v="4500"/>
    <n v="9000"/>
  </r>
  <r>
    <n v="10637"/>
    <d v="2025-07-10T00:00:00"/>
    <s v="C048"/>
    <s v="Customer_48"/>
    <s v="Kochi"/>
    <s v="South"/>
    <s v="P017"/>
    <s v="Water Purifier"/>
    <x v="0"/>
    <n v="1"/>
    <n v="15000"/>
    <n v="15000"/>
  </r>
  <r>
    <n v="10638"/>
    <d v="2025-09-04T00:00:00"/>
    <s v="C007"/>
    <s v="Customer_07"/>
    <s v="Bhubaneswar"/>
    <s v="East"/>
    <s v="P020"/>
    <s v="T-Shirt"/>
    <x v="3"/>
    <n v="1"/>
    <n v="1600"/>
    <n v="1600"/>
  </r>
  <r>
    <n v="10639"/>
    <d v="2025-05-15T00:00:00"/>
    <s v="C037"/>
    <s v="Customer_37"/>
    <s v="Kolkata"/>
    <s v="East"/>
    <s v="P022"/>
    <s v="Jacket"/>
    <x v="3"/>
    <n v="2"/>
    <n v="4800"/>
    <n v="9600"/>
  </r>
  <r>
    <n v="10640"/>
    <d v="2025-11-27T00:00:00"/>
    <s v="C050"/>
    <s v="Customer_50"/>
    <s v="Jaipur"/>
    <s v="North"/>
    <s v="P030"/>
    <s v="Travel Bag"/>
    <x v="1"/>
    <n v="2"/>
    <n v="3500"/>
    <n v="7000"/>
  </r>
  <r>
    <n v="10641"/>
    <d v="2025-09-03T00:00:00"/>
    <s v="C034"/>
    <s v="Customer_34"/>
    <s v="Jaipur"/>
    <s v="North"/>
    <s v="P012"/>
    <s v="Mixer Grinder"/>
    <x v="0"/>
    <n v="1"/>
    <n v="5000"/>
    <n v="5000"/>
  </r>
  <r>
    <n v="10642"/>
    <d v="2025-09-12T00:00:00"/>
    <s v="C060"/>
    <s v="Customer_60"/>
    <s v="Surat"/>
    <s v="West"/>
    <s v="P026"/>
    <s v="Backpack"/>
    <x v="1"/>
    <n v="2"/>
    <n v="2400"/>
    <n v="4800"/>
  </r>
  <r>
    <n v="10643"/>
    <d v="2025-12-14T00:00:00"/>
    <s v="C027"/>
    <s v="Customer_27"/>
    <s v="Ahmedabad"/>
    <s v="West"/>
    <s v="P019"/>
    <s v="Jeans"/>
    <x v="3"/>
    <n v="1"/>
    <n v="3200"/>
    <n v="3200"/>
  </r>
  <r>
    <n v="10644"/>
    <d v="2025-09-13T00:00:00"/>
    <s v="C008"/>
    <s v="Customer_08"/>
    <s v="Patna"/>
    <s v="East"/>
    <s v="P008"/>
    <s v="Headphones Pro"/>
    <x v="2"/>
    <n v="1"/>
    <n v="4500"/>
    <n v="4500"/>
  </r>
  <r>
    <n v="10645"/>
    <d v="2025-02-13T00:00:00"/>
    <s v="C030"/>
    <s v="Customer_30"/>
    <s v="Chennai"/>
    <s v="South"/>
    <s v="P001"/>
    <s v="Laptop Pro"/>
    <x v="2"/>
    <n v="1"/>
    <n v="65000"/>
    <n v="65000"/>
  </r>
  <r>
    <n v="10646"/>
    <d v="2025-07-19T00:00:00"/>
    <s v="C049"/>
    <s v="Customer_49"/>
    <s v="Delhi"/>
    <s v="North"/>
    <s v="P005"/>
    <s v="Tablet Pro"/>
    <x v="2"/>
    <n v="4"/>
    <n v="28000"/>
    <n v="112000"/>
  </r>
  <r>
    <n v="10647"/>
    <d v="2025-08-03T00:00:00"/>
    <s v="C033"/>
    <s v="Customer_33"/>
    <s v="Delhi"/>
    <s v="North"/>
    <s v="P013"/>
    <s v="Coffee Maker"/>
    <x v="0"/>
    <n v="1"/>
    <n v="4200"/>
    <n v="4200"/>
  </r>
  <r>
    <n v="10648"/>
    <d v="2025-11-09T00:00:00"/>
    <s v="C032"/>
    <s v="Customer_32"/>
    <s v="Kochi"/>
    <s v="South"/>
    <s v="P027"/>
    <s v="Watch"/>
    <x v="1"/>
    <n v="1"/>
    <n v="5500"/>
    <n v="5500"/>
  </r>
  <r>
    <n v="10649"/>
    <d v="2025-09-05T00:00:00"/>
    <s v="C071"/>
    <s v="Customer_71"/>
    <s v="Bhubaneswar"/>
    <s v="East"/>
    <s v="P018"/>
    <s v="Induction Cooktop"/>
    <x v="0"/>
    <n v="2"/>
    <n v="3000"/>
    <n v="6000"/>
  </r>
  <r>
    <n v="10650"/>
    <d v="2025-10-18T00:00:00"/>
    <s v="C004"/>
    <s v="Customer_04"/>
    <s v="Chandigarh"/>
    <s v="North"/>
    <s v="P007"/>
    <s v="Monitor 27"/>
    <x v="2"/>
    <n v="2"/>
    <n v="18000"/>
    <n v="36000"/>
  </r>
  <r>
    <n v="10651"/>
    <d v="2025-01-16T00:00:00"/>
    <s v="C042"/>
    <s v="Customer_42"/>
    <s v="Pune"/>
    <s v="West"/>
    <s v="P020"/>
    <s v="T-Shirt"/>
    <x v="3"/>
    <n v="2"/>
    <n v="1600"/>
    <n v="3200"/>
  </r>
  <r>
    <n v="10652"/>
    <d v="2025-08-30T00:00:00"/>
    <s v="C044"/>
    <s v="Customer_44"/>
    <s v="Surat"/>
    <s v="West"/>
    <s v="P024"/>
    <s v="Hoodie"/>
    <x v="3"/>
    <n v="2"/>
    <n v="3000"/>
    <n v="6000"/>
  </r>
  <r>
    <n v="10653"/>
    <d v="2025-05-29T00:00:00"/>
    <s v="C070"/>
    <s v="Customer_70"/>
    <s v="Guwahati"/>
    <s v="East"/>
    <s v="P024"/>
    <s v="Hoodie"/>
    <x v="3"/>
    <n v="2"/>
    <n v="3000"/>
    <n v="6000"/>
  </r>
  <r>
    <n v="10654"/>
    <d v="2025-07-03T00:00:00"/>
    <s v="C067"/>
    <s v="Customer_67"/>
    <s v="Lucknow"/>
    <s v="North"/>
    <s v="P004"/>
    <s v="Smartphone Y"/>
    <x v="2"/>
    <n v="2"/>
    <n v="22000"/>
    <n v="44000"/>
  </r>
  <r>
    <n v="10655"/>
    <d v="2025-08-17T00:00:00"/>
    <s v="C047"/>
    <s v="Customer_47"/>
    <s v="Hyderabad"/>
    <s v="South"/>
    <s v="P002"/>
    <s v="Laptop Air"/>
    <x v="2"/>
    <n v="1"/>
    <n v="52000"/>
    <n v="52000"/>
  </r>
  <r>
    <n v="10656"/>
    <d v="2025-10-08T00:00:00"/>
    <s v="C058"/>
    <s v="Customer_58"/>
    <s v="Pune"/>
    <s v="West"/>
    <s v="P008"/>
    <s v="Headphones Pro"/>
    <x v="2"/>
    <n v="1"/>
    <n v="4500"/>
    <n v="4500"/>
  </r>
  <r>
    <n v="10657"/>
    <d v="2025-11-06T00:00:00"/>
    <s v="C061"/>
    <s v="Customer_61"/>
    <s v="Bengaluru"/>
    <s v="South"/>
    <s v="P004"/>
    <s v="Smartphone Y"/>
    <x v="2"/>
    <n v="1"/>
    <n v="22000"/>
    <n v="22000"/>
  </r>
  <r>
    <n v="10658"/>
    <d v="2025-04-21T00:00:00"/>
    <s v="C026"/>
    <s v="Customer_26"/>
    <s v="Pune"/>
    <s v="West"/>
    <s v="P001"/>
    <s v="Laptop Pro"/>
    <x v="2"/>
    <n v="2"/>
    <n v="65000"/>
    <n v="130000"/>
  </r>
  <r>
    <n v="10659"/>
    <d v="2025-05-10T00:00:00"/>
    <s v="C068"/>
    <s v="Customer_68"/>
    <s v="Chandigarh"/>
    <s v="North"/>
    <s v="P030"/>
    <s v="Travel Bag"/>
    <x v="1"/>
    <n v="1"/>
    <n v="3500"/>
    <n v="3500"/>
  </r>
  <r>
    <n v="10660"/>
    <d v="2025-02-21T00:00:00"/>
    <s v="C071"/>
    <s v="Customer_71"/>
    <s v="Bhubaneswar"/>
    <s v="East"/>
    <s v="P009"/>
    <s v="Wireless Earbuds"/>
    <x v="2"/>
    <n v="2"/>
    <n v="2500"/>
    <n v="5000"/>
  </r>
  <r>
    <n v="10661"/>
    <d v="2025-05-06T00:00:00"/>
    <s v="C003"/>
    <s v="Customer_03"/>
    <s v="Lucknow"/>
    <s v="North"/>
    <s v="P012"/>
    <s v="Mixer Grinder"/>
    <x v="0"/>
    <n v="2"/>
    <n v="5000"/>
    <n v="10000"/>
  </r>
  <r>
    <n v="10662"/>
    <d v="2025-02-26T00:00:00"/>
    <s v="C031"/>
    <s v="Customer_31"/>
    <s v="Hyderabad"/>
    <s v="South"/>
    <s v="P006"/>
    <s v="Monitor 24"/>
    <x v="2"/>
    <n v="2"/>
    <n v="12000"/>
    <n v="24000"/>
  </r>
  <r>
    <n v="10663"/>
    <d v="2025-01-25T00:00:00"/>
    <s v="C067"/>
    <s v="Customer_67"/>
    <s v="Lucknow"/>
    <s v="North"/>
    <s v="P008"/>
    <s v="Headphones Pro"/>
    <x v="2"/>
    <n v="2"/>
    <n v="4500"/>
    <n v="9000"/>
  </r>
  <r>
    <n v="10664"/>
    <d v="2025-02-14T00:00:00"/>
    <s v="C068"/>
    <s v="Customer_68"/>
    <s v="Chandigarh"/>
    <s v="North"/>
    <s v="P029"/>
    <s v="Sunglasses"/>
    <x v="1"/>
    <n v="2"/>
    <n v="2000"/>
    <n v="4000"/>
  </r>
  <r>
    <n v="10665"/>
    <d v="2025-11-03T00:00:00"/>
    <s v="C036"/>
    <s v="Customer_36"/>
    <s v="Chandigarh"/>
    <s v="North"/>
    <s v="P002"/>
    <s v="Laptop Air"/>
    <x v="2"/>
    <n v="2"/>
    <n v="52000"/>
    <n v="104000"/>
  </r>
  <r>
    <n v="10666"/>
    <d v="2025-02-24T00:00:00"/>
    <s v="C036"/>
    <s v="Customer_36"/>
    <s v="Chandigarh"/>
    <s v="North"/>
    <s v="P024"/>
    <s v="Hoodie"/>
    <x v="3"/>
    <n v="1"/>
    <n v="3000"/>
    <n v="3000"/>
  </r>
  <r>
    <n v="10667"/>
    <d v="2025-07-19T00:00:00"/>
    <s v="C071"/>
    <s v="Customer_71"/>
    <s v="Bhubaneswar"/>
    <s v="East"/>
    <s v="P004"/>
    <s v="Smartphone Y"/>
    <x v="2"/>
    <n v="2"/>
    <n v="22000"/>
    <n v="44000"/>
  </r>
  <r>
    <n v="10668"/>
    <d v="2025-12-05T00:00:00"/>
    <s v="C021"/>
    <s v="Customer_21"/>
    <s v="Kolkata"/>
    <s v="East"/>
    <s v="P005"/>
    <s v="Tablet Pro"/>
    <x v="2"/>
    <n v="1"/>
    <n v="28000"/>
    <n v="28000"/>
  </r>
  <r>
    <n v="10669"/>
    <d v="2025-09-16T00:00:00"/>
    <s v="C049"/>
    <s v="Customer_49"/>
    <s v="Delhi"/>
    <s v="North"/>
    <s v="P013"/>
    <s v="Coffee Maker"/>
    <x v="0"/>
    <n v="2"/>
    <n v="4200"/>
    <n v="8400"/>
  </r>
  <r>
    <n v="10670"/>
    <d v="2025-10-21T00:00:00"/>
    <s v="C022"/>
    <s v="Customer_22"/>
    <s v="Guwahati"/>
    <s v="East"/>
    <s v="P022"/>
    <s v="Jacket"/>
    <x v="3"/>
    <n v="2"/>
    <n v="4800"/>
    <n v="9600"/>
  </r>
  <r>
    <n v="10671"/>
    <d v="2025-11-18T00:00:00"/>
    <s v="C010"/>
    <s v="Customer_10"/>
    <s v="Pune"/>
    <s v="West"/>
    <s v="P020"/>
    <s v="T-Shirt"/>
    <x v="3"/>
    <n v="3"/>
    <n v="1600"/>
    <n v="4800"/>
  </r>
  <r>
    <n v="10672"/>
    <d v="2025-06-15T00:00:00"/>
    <s v="C068"/>
    <s v="Customer_68"/>
    <s v="Chandigarh"/>
    <s v="North"/>
    <s v="P007"/>
    <s v="Monitor 27"/>
    <x v="2"/>
    <n v="1"/>
    <n v="18000"/>
    <n v="18000"/>
  </r>
  <r>
    <n v="10673"/>
    <d v="2025-01-13T00:00:00"/>
    <s v="C011"/>
    <s v="Customer_11"/>
    <s v="Ahmedabad"/>
    <s v="West"/>
    <s v="P019"/>
    <s v="Jeans"/>
    <x v="3"/>
    <n v="2"/>
    <n v="3200"/>
    <n v="6400"/>
  </r>
  <r>
    <n v="10674"/>
    <d v="2025-02-13T00:00:00"/>
    <s v="C073"/>
    <s v="Customer_73"/>
    <s v="Mumbai"/>
    <s v="West"/>
    <s v="P022"/>
    <s v="Jacket"/>
    <x v="3"/>
    <n v="3"/>
    <n v="4800"/>
    <n v="14400"/>
  </r>
  <r>
    <n v="10675"/>
    <d v="2025-01-23T00:00:00"/>
    <s v="C042"/>
    <s v="Customer_42"/>
    <s v="Pune"/>
    <s v="West"/>
    <s v="P012"/>
    <s v="Mixer Grinder"/>
    <x v="0"/>
    <n v="1"/>
    <n v="5000"/>
    <n v="5000"/>
  </r>
  <r>
    <n v="10676"/>
    <d v="2025-08-15T00:00:00"/>
    <s v="C021"/>
    <s v="Customer_21"/>
    <s v="Kolkata"/>
    <s v="East"/>
    <s v="P016"/>
    <s v="Electric Kettle"/>
    <x v="0"/>
    <n v="1"/>
    <n v="2200"/>
    <n v="2200"/>
  </r>
  <r>
    <n v="10677"/>
    <d v="2025-04-09T00:00:00"/>
    <s v="C006"/>
    <s v="Customer_06"/>
    <s v="Guwahati"/>
    <s v="East"/>
    <s v="P027"/>
    <s v="Watch"/>
    <x v="1"/>
    <n v="2"/>
    <n v="5500"/>
    <n v="11000"/>
  </r>
  <r>
    <n v="10678"/>
    <d v="2025-02-21T00:00:00"/>
    <s v="C058"/>
    <s v="Customer_58"/>
    <s v="Pune"/>
    <s v="West"/>
    <s v="P010"/>
    <s v="Keyboard"/>
    <x v="2"/>
    <n v="2"/>
    <n v="2200"/>
    <n v="4400"/>
  </r>
  <r>
    <n v="10679"/>
    <d v="2025-02-09T00:00:00"/>
    <s v="C074"/>
    <s v="Customer_74"/>
    <s v="Pune"/>
    <s v="West"/>
    <s v="P029"/>
    <s v="Sunglasses"/>
    <x v="1"/>
    <n v="3"/>
    <n v="2000"/>
    <n v="6000"/>
  </r>
  <r>
    <n v="10680"/>
    <d v="2025-05-01T00:00:00"/>
    <s v="C019"/>
    <s v="Customer_19"/>
    <s v="Lucknow"/>
    <s v="North"/>
    <s v="P003"/>
    <s v="Smartphone X"/>
    <x v="2"/>
    <n v="3"/>
    <n v="30000"/>
    <n v="90000"/>
  </r>
  <r>
    <n v="10681"/>
    <d v="2025-09-20T00:00:00"/>
    <s v="C061"/>
    <s v="Customer_61"/>
    <s v="Bengaluru"/>
    <s v="South"/>
    <s v="P007"/>
    <s v="Monitor 27"/>
    <x v="2"/>
    <n v="1"/>
    <n v="18000"/>
    <n v="18000"/>
  </r>
  <r>
    <n v="10682"/>
    <d v="2025-01-23T00:00:00"/>
    <s v="C014"/>
    <s v="Customer_14"/>
    <s v="Chennai"/>
    <s v="South"/>
    <s v="P001"/>
    <s v="Laptop Pro"/>
    <x v="2"/>
    <n v="1"/>
    <n v="65000"/>
    <n v="65000"/>
  </r>
  <r>
    <n v="10683"/>
    <d v="2025-11-18T00:00:00"/>
    <s v="C052"/>
    <s v="Customer_52"/>
    <s v="Chandigarh"/>
    <s v="North"/>
    <s v="P014"/>
    <s v="Microwave"/>
    <x v="0"/>
    <n v="5"/>
    <n v="11000"/>
    <n v="55000"/>
  </r>
  <r>
    <n v="10684"/>
    <d v="2025-07-10T00:00:00"/>
    <s v="C054"/>
    <s v="Customer_54"/>
    <s v="Guwahati"/>
    <s v="East"/>
    <s v="P027"/>
    <s v="Watch"/>
    <x v="1"/>
    <n v="1"/>
    <n v="5500"/>
    <n v="5500"/>
  </r>
  <r>
    <n v="10685"/>
    <d v="2025-02-12T00:00:00"/>
    <s v="C037"/>
    <s v="Customer_37"/>
    <s v="Kolkata"/>
    <s v="East"/>
    <s v="P014"/>
    <s v="Microwave"/>
    <x v="0"/>
    <n v="1"/>
    <n v="11000"/>
    <n v="11000"/>
  </r>
  <r>
    <n v="10686"/>
    <d v="2025-01-23T00:00:00"/>
    <s v="C005"/>
    <s v="Customer_05"/>
    <s v="Kolkata"/>
    <s v="East"/>
    <s v="P015"/>
    <s v="Vacuum Cleaner"/>
    <x v="0"/>
    <n v="1"/>
    <n v="9000"/>
    <n v="9000"/>
  </r>
  <r>
    <n v="10687"/>
    <d v="2025-04-16T00:00:00"/>
    <s v="C014"/>
    <s v="Customer_14"/>
    <s v="Chennai"/>
    <s v="South"/>
    <s v="P001"/>
    <s v="Laptop Pro"/>
    <x v="2"/>
    <n v="1"/>
    <n v="65000"/>
    <n v="65000"/>
  </r>
  <r>
    <n v="10688"/>
    <d v="2025-09-13T00:00:00"/>
    <s v="C027"/>
    <s v="Customer_27"/>
    <s v="Ahmedabad"/>
    <s v="West"/>
    <s v="P007"/>
    <s v="Monitor 27"/>
    <x v="2"/>
    <n v="3"/>
    <n v="18000"/>
    <n v="54000"/>
  </r>
  <r>
    <n v="10689"/>
    <d v="2025-05-01T00:00:00"/>
    <s v="C037"/>
    <s v="Customer_37"/>
    <s v="Kolkata"/>
    <s v="East"/>
    <s v="P003"/>
    <s v="Smartphone X"/>
    <x v="2"/>
    <n v="1"/>
    <n v="30000"/>
    <n v="30000"/>
  </r>
  <r>
    <n v="10690"/>
    <d v="2025-10-01T00:00:00"/>
    <s v="C032"/>
    <s v="Customer_32"/>
    <s v="Kochi"/>
    <s v="South"/>
    <s v="P026"/>
    <s v="Backpack"/>
    <x v="1"/>
    <n v="2"/>
    <n v="2400"/>
    <n v="4800"/>
  </r>
  <r>
    <n v="10691"/>
    <d v="2025-03-30T00:00:00"/>
    <s v="C063"/>
    <s v="Customer_63"/>
    <s v="Hyderabad"/>
    <s v="South"/>
    <s v="P028"/>
    <s v="Wallet"/>
    <x v="1"/>
    <n v="1"/>
    <n v="1400"/>
    <n v="1400"/>
  </r>
  <r>
    <n v="10692"/>
    <d v="2025-05-08T00:00:00"/>
    <s v="C020"/>
    <s v="Customer_20"/>
    <s v="Chandigarh"/>
    <s v="North"/>
    <s v="P025"/>
    <s v="Dress"/>
    <x v="3"/>
    <n v="1"/>
    <n v="3800"/>
    <n v="3800"/>
  </r>
  <r>
    <n v="10693"/>
    <d v="2025-09-28T00:00:00"/>
    <s v="C069"/>
    <s v="Customer_69"/>
    <s v="Kolkata"/>
    <s v="East"/>
    <s v="P011"/>
    <s v="Air Fryer"/>
    <x v="0"/>
    <n v="2"/>
    <n v="6500"/>
    <n v="13000"/>
  </r>
  <r>
    <n v="10694"/>
    <d v="2025-04-12T00:00:00"/>
    <s v="C019"/>
    <s v="Customer_19"/>
    <s v="Lucknow"/>
    <s v="North"/>
    <s v="P023"/>
    <s v="Sneakers"/>
    <x v="3"/>
    <n v="1"/>
    <n v="4200"/>
    <n v="4200"/>
  </r>
  <r>
    <n v="10695"/>
    <d v="2025-01-17T00:00:00"/>
    <s v="C029"/>
    <s v="Customer_29"/>
    <s v="Bengaluru"/>
    <s v="South"/>
    <s v="P025"/>
    <s v="Dress"/>
    <x v="3"/>
    <n v="5"/>
    <n v="3800"/>
    <n v="19000"/>
  </r>
  <r>
    <n v="10696"/>
    <d v="2025-11-17T00:00:00"/>
    <s v="C068"/>
    <s v="Customer_68"/>
    <s v="Chandigarh"/>
    <s v="North"/>
    <s v="P002"/>
    <s v="Laptop Air"/>
    <x v="2"/>
    <n v="1"/>
    <n v="52000"/>
    <n v="52000"/>
  </r>
  <r>
    <n v="10697"/>
    <d v="2025-02-28T00:00:00"/>
    <s v="C028"/>
    <s v="Customer_28"/>
    <s v="Surat"/>
    <s v="West"/>
    <s v="P026"/>
    <s v="Backpack"/>
    <x v="1"/>
    <n v="1"/>
    <n v="2400"/>
    <n v="2400"/>
  </r>
  <r>
    <n v="10698"/>
    <d v="2025-06-21T00:00:00"/>
    <s v="C001"/>
    <s v="Customer_01"/>
    <s v="Delhi"/>
    <s v="North"/>
    <s v="P009"/>
    <s v="Wireless Earbuds"/>
    <x v="2"/>
    <n v="3"/>
    <n v="2500"/>
    <n v="7500"/>
  </r>
  <r>
    <n v="10699"/>
    <d v="2025-12-28T00:00:00"/>
    <s v="C048"/>
    <s v="Customer_48"/>
    <s v="Kochi"/>
    <s v="South"/>
    <s v="P024"/>
    <s v="Hoodie"/>
    <x v="3"/>
    <n v="1"/>
    <n v="3000"/>
    <n v="3000"/>
  </r>
  <r>
    <n v="10700"/>
    <d v="2025-01-11T00:00:00"/>
    <s v="C010"/>
    <s v="Customer_10"/>
    <s v="Pune"/>
    <s v="West"/>
    <s v="P030"/>
    <s v="Travel Bag"/>
    <x v="1"/>
    <n v="1"/>
    <n v="3500"/>
    <n v="3500"/>
  </r>
  <r>
    <n v="10701"/>
    <d v="2025-05-09T00:00:00"/>
    <s v="C056"/>
    <s v="Customer_56"/>
    <s v="Patna"/>
    <s v="East"/>
    <s v="P002"/>
    <s v="Laptop Air"/>
    <x v="2"/>
    <n v="1"/>
    <n v="52000"/>
    <n v="52000"/>
  </r>
  <r>
    <n v="10702"/>
    <d v="2025-08-06T00:00:00"/>
    <s v="C033"/>
    <s v="Customer_33"/>
    <s v="Delhi"/>
    <s v="North"/>
    <s v="P002"/>
    <s v="Laptop Air"/>
    <x v="2"/>
    <n v="1"/>
    <n v="52000"/>
    <n v="52000"/>
  </r>
  <r>
    <n v="10703"/>
    <d v="2025-04-14T00:00:00"/>
    <s v="C010"/>
    <s v="Customer_10"/>
    <s v="Pune"/>
    <s v="West"/>
    <s v="P017"/>
    <s v="Water Purifier"/>
    <x v="0"/>
    <n v="2"/>
    <n v="15000"/>
    <n v="30000"/>
  </r>
  <r>
    <n v="10704"/>
    <d v="2025-12-27T00:00:00"/>
    <s v="C041"/>
    <s v="Customer_41"/>
    <s v="Mumbai"/>
    <s v="West"/>
    <s v="P003"/>
    <s v="Smartphone X"/>
    <x v="2"/>
    <n v="1"/>
    <n v="30000"/>
    <n v="30000"/>
  </r>
  <r>
    <n v="10705"/>
    <d v="2025-01-23T00:00:00"/>
    <s v="C068"/>
    <s v="Customer_68"/>
    <s v="Chandigarh"/>
    <s v="North"/>
    <s v="P022"/>
    <s v="Jacket"/>
    <x v="3"/>
    <n v="1"/>
    <n v="4800"/>
    <n v="4800"/>
  </r>
  <r>
    <n v="10706"/>
    <d v="2025-11-26T00:00:00"/>
    <s v="C059"/>
    <s v="Customer_59"/>
    <s v="Ahmedabad"/>
    <s v="West"/>
    <s v="P009"/>
    <s v="Wireless Earbuds"/>
    <x v="2"/>
    <n v="4"/>
    <n v="2500"/>
    <n v="10000"/>
  </r>
  <r>
    <n v="10707"/>
    <d v="2025-03-11T00:00:00"/>
    <s v="C056"/>
    <s v="Customer_56"/>
    <s v="Patna"/>
    <s v="East"/>
    <s v="P007"/>
    <s v="Monitor 27"/>
    <x v="2"/>
    <n v="1"/>
    <n v="18000"/>
    <n v="18000"/>
  </r>
  <r>
    <n v="10708"/>
    <d v="2025-04-07T00:00:00"/>
    <s v="C027"/>
    <s v="Customer_27"/>
    <s v="Ahmedabad"/>
    <s v="West"/>
    <s v="P023"/>
    <s v="Sneakers"/>
    <x v="3"/>
    <n v="1"/>
    <n v="4200"/>
    <n v="4200"/>
  </r>
  <r>
    <n v="10709"/>
    <d v="2025-02-25T00:00:00"/>
    <s v="C043"/>
    <s v="Customer_43"/>
    <s v="Ahmedabad"/>
    <s v="West"/>
    <s v="P016"/>
    <s v="Electric Kettle"/>
    <x v="0"/>
    <n v="1"/>
    <n v="2200"/>
    <n v="2200"/>
  </r>
  <r>
    <n v="10710"/>
    <d v="2025-11-09T00:00:00"/>
    <s v="C003"/>
    <s v="Customer_03"/>
    <s v="Lucknow"/>
    <s v="North"/>
    <s v="P017"/>
    <s v="Water Purifier"/>
    <x v="0"/>
    <n v="1"/>
    <n v="15000"/>
    <n v="15000"/>
  </r>
  <r>
    <n v="10711"/>
    <d v="2025-03-04T00:00:00"/>
    <s v="C021"/>
    <s v="Customer_21"/>
    <s v="Kolkata"/>
    <s v="East"/>
    <s v="P004"/>
    <s v="Smartphone Y"/>
    <x v="2"/>
    <n v="3"/>
    <n v="22000"/>
    <n v="66000"/>
  </r>
  <r>
    <n v="10712"/>
    <d v="2025-06-12T00:00:00"/>
    <s v="C018"/>
    <s v="Customer_18"/>
    <s v="Jaipur"/>
    <s v="North"/>
    <s v="P023"/>
    <s v="Sneakers"/>
    <x v="3"/>
    <n v="4"/>
    <n v="4200"/>
    <n v="16800"/>
  </r>
  <r>
    <n v="10713"/>
    <d v="2025-01-08T00:00:00"/>
    <s v="C054"/>
    <s v="Customer_54"/>
    <s v="Guwahati"/>
    <s v="East"/>
    <s v="P004"/>
    <s v="Smartphone Y"/>
    <x v="2"/>
    <n v="4"/>
    <n v="22000"/>
    <n v="88000"/>
  </r>
  <r>
    <n v="10714"/>
    <d v="2025-06-20T00:00:00"/>
    <s v="C040"/>
    <s v="Customer_40"/>
    <s v="Patna"/>
    <s v="East"/>
    <s v="P024"/>
    <s v="Hoodie"/>
    <x v="3"/>
    <n v="1"/>
    <n v="3000"/>
    <n v="3000"/>
  </r>
  <r>
    <n v="10715"/>
    <d v="2025-10-30T00:00:00"/>
    <s v="C056"/>
    <s v="Customer_56"/>
    <s v="Patna"/>
    <s v="East"/>
    <s v="P022"/>
    <s v="Jacket"/>
    <x v="3"/>
    <n v="3"/>
    <n v="4800"/>
    <n v="14400"/>
  </r>
  <r>
    <n v="10716"/>
    <d v="2025-12-25T00:00:00"/>
    <s v="C029"/>
    <s v="Customer_29"/>
    <s v="Bengaluru"/>
    <s v="South"/>
    <s v="P029"/>
    <s v="Sunglasses"/>
    <x v="1"/>
    <n v="1"/>
    <n v="2000"/>
    <n v="2000"/>
  </r>
  <r>
    <n v="10717"/>
    <d v="2025-07-05T00:00:00"/>
    <s v="C003"/>
    <s v="Customer_03"/>
    <s v="Lucknow"/>
    <s v="North"/>
    <s v="P025"/>
    <s v="Dress"/>
    <x v="3"/>
    <n v="1"/>
    <n v="3800"/>
    <n v="3800"/>
  </r>
  <r>
    <n v="10718"/>
    <d v="2025-02-12T00:00:00"/>
    <s v="C008"/>
    <s v="Customer_08"/>
    <s v="Patna"/>
    <s v="East"/>
    <s v="P019"/>
    <s v="Jeans"/>
    <x v="3"/>
    <n v="2"/>
    <n v="3200"/>
    <n v="6400"/>
  </r>
  <r>
    <n v="10719"/>
    <d v="2025-03-13T00:00:00"/>
    <s v="C030"/>
    <s v="Customer_30"/>
    <s v="Chennai"/>
    <s v="South"/>
    <s v="P014"/>
    <s v="Microwave"/>
    <x v="0"/>
    <n v="2"/>
    <n v="11000"/>
    <n v="22000"/>
  </r>
  <r>
    <n v="10720"/>
    <d v="2025-12-28T00:00:00"/>
    <s v="C024"/>
    <s v="Customer_24"/>
    <s v="Patna"/>
    <s v="East"/>
    <s v="P001"/>
    <s v="Laptop Pro"/>
    <x v="2"/>
    <n v="1"/>
    <n v="65000"/>
    <n v="65000"/>
  </r>
  <r>
    <n v="10721"/>
    <d v="2025-08-05T00:00:00"/>
    <s v="C030"/>
    <s v="Customer_30"/>
    <s v="Chennai"/>
    <s v="South"/>
    <s v="P005"/>
    <s v="Tablet Pro"/>
    <x v="2"/>
    <n v="3"/>
    <n v="28000"/>
    <n v="84000"/>
  </r>
  <r>
    <n v="10722"/>
    <d v="2025-12-14T00:00:00"/>
    <s v="C008"/>
    <s v="Customer_08"/>
    <s v="Patna"/>
    <s v="East"/>
    <s v="P025"/>
    <s v="Dress"/>
    <x v="3"/>
    <n v="1"/>
    <n v="3800"/>
    <n v="3800"/>
  </r>
  <r>
    <n v="10723"/>
    <d v="2025-07-21T00:00:00"/>
    <s v="C058"/>
    <s v="Customer_58"/>
    <s v="Pune"/>
    <s v="West"/>
    <s v="P003"/>
    <s v="Smartphone X"/>
    <x v="2"/>
    <n v="2"/>
    <n v="30000"/>
    <n v="60000"/>
  </r>
  <r>
    <n v="10724"/>
    <d v="2025-11-17T00:00:00"/>
    <s v="C021"/>
    <s v="Customer_21"/>
    <s v="Kolkata"/>
    <s v="East"/>
    <s v="P009"/>
    <s v="Wireless Earbuds"/>
    <x v="2"/>
    <n v="4"/>
    <n v="2500"/>
    <n v="10000"/>
  </r>
  <r>
    <n v="10725"/>
    <d v="2025-11-16T00:00:00"/>
    <s v="C067"/>
    <s v="Customer_67"/>
    <s v="Lucknow"/>
    <s v="North"/>
    <s v="P019"/>
    <s v="Jeans"/>
    <x v="3"/>
    <n v="1"/>
    <n v="3200"/>
    <n v="3200"/>
  </r>
  <r>
    <n v="10726"/>
    <d v="2025-05-21T00:00:00"/>
    <s v="C003"/>
    <s v="Customer_03"/>
    <s v="Lucknow"/>
    <s v="North"/>
    <s v="P023"/>
    <s v="Sneakers"/>
    <x v="3"/>
    <n v="3"/>
    <n v="4200"/>
    <n v="12600"/>
  </r>
  <r>
    <n v="10727"/>
    <d v="2025-10-30T00:00:00"/>
    <s v="C046"/>
    <s v="Customer_46"/>
    <s v="Chennai"/>
    <s v="South"/>
    <s v="P006"/>
    <s v="Monitor 24"/>
    <x v="2"/>
    <n v="3"/>
    <n v="12000"/>
    <n v="36000"/>
  </r>
  <r>
    <n v="10728"/>
    <d v="2025-10-30T00:00:00"/>
    <s v="C073"/>
    <s v="Customer_73"/>
    <s v="Mumbai"/>
    <s v="West"/>
    <s v="P006"/>
    <s v="Monitor 24"/>
    <x v="2"/>
    <n v="1"/>
    <n v="12000"/>
    <n v="12000"/>
  </r>
  <r>
    <n v="10729"/>
    <d v="2025-02-22T00:00:00"/>
    <s v="C047"/>
    <s v="Customer_47"/>
    <s v="Hyderabad"/>
    <s v="South"/>
    <s v="P025"/>
    <s v="Dress"/>
    <x v="3"/>
    <n v="2"/>
    <n v="3800"/>
    <n v="7600"/>
  </r>
  <r>
    <n v="10730"/>
    <d v="2025-05-15T00:00:00"/>
    <s v="C036"/>
    <s v="Customer_36"/>
    <s v="Chandigarh"/>
    <s v="North"/>
    <s v="P002"/>
    <s v="Laptop Air"/>
    <x v="2"/>
    <n v="1"/>
    <n v="52000"/>
    <n v="52000"/>
  </r>
  <r>
    <n v="10731"/>
    <d v="2025-12-02T00:00:00"/>
    <s v="C019"/>
    <s v="Customer_19"/>
    <s v="Lucknow"/>
    <s v="North"/>
    <s v="P024"/>
    <s v="Hoodie"/>
    <x v="3"/>
    <n v="1"/>
    <n v="3000"/>
    <n v="3000"/>
  </r>
  <r>
    <n v="10732"/>
    <d v="2025-01-16T00:00:00"/>
    <s v="C070"/>
    <s v="Customer_70"/>
    <s v="Guwahati"/>
    <s v="East"/>
    <s v="P008"/>
    <s v="Headphones Pro"/>
    <x v="2"/>
    <n v="2"/>
    <n v="4500"/>
    <n v="9000"/>
  </r>
  <r>
    <n v="10733"/>
    <d v="2025-02-02T00:00:00"/>
    <s v="C021"/>
    <s v="Customer_21"/>
    <s v="Kolkata"/>
    <s v="East"/>
    <s v="P021"/>
    <s v="Formal Shirt"/>
    <x v="3"/>
    <n v="4"/>
    <n v="2400"/>
    <n v="9600"/>
  </r>
  <r>
    <n v="10734"/>
    <d v="2025-04-30T00:00:00"/>
    <s v="C002"/>
    <s v="Customer_02"/>
    <s v="Jaipur"/>
    <s v="North"/>
    <s v="P020"/>
    <s v="T-Shirt"/>
    <x v="3"/>
    <n v="1"/>
    <n v="1600"/>
    <n v="1600"/>
  </r>
  <r>
    <n v="10735"/>
    <d v="2025-02-23T00:00:00"/>
    <s v="C056"/>
    <s v="Customer_56"/>
    <s v="Patna"/>
    <s v="East"/>
    <s v="P002"/>
    <s v="Laptop Air"/>
    <x v="2"/>
    <n v="3"/>
    <n v="52000"/>
    <n v="156000"/>
  </r>
  <r>
    <n v="10736"/>
    <d v="2025-01-31T00:00:00"/>
    <s v="C058"/>
    <s v="Customer_58"/>
    <s v="Pune"/>
    <s v="West"/>
    <s v="P008"/>
    <s v="Headphones Pro"/>
    <x v="2"/>
    <n v="1"/>
    <n v="4500"/>
    <n v="4500"/>
  </r>
  <r>
    <n v="10737"/>
    <d v="2025-05-21T00:00:00"/>
    <s v="C049"/>
    <s v="Customer_49"/>
    <s v="Delhi"/>
    <s v="North"/>
    <s v="P011"/>
    <s v="Air Fryer"/>
    <x v="0"/>
    <n v="1"/>
    <n v="6500"/>
    <n v="6500"/>
  </r>
  <r>
    <n v="10738"/>
    <d v="2025-08-24T00:00:00"/>
    <s v="C068"/>
    <s v="Customer_68"/>
    <s v="Chandigarh"/>
    <s v="North"/>
    <s v="P008"/>
    <s v="Headphones Pro"/>
    <x v="2"/>
    <n v="1"/>
    <n v="4500"/>
    <n v="4500"/>
  </r>
  <r>
    <n v="10739"/>
    <d v="2025-10-24T00:00:00"/>
    <s v="C007"/>
    <s v="Customer_07"/>
    <s v="Bhubaneswar"/>
    <s v="East"/>
    <s v="P003"/>
    <s v="Smartphone X"/>
    <x v="2"/>
    <n v="1"/>
    <n v="30000"/>
    <n v="30000"/>
  </r>
  <r>
    <n v="10740"/>
    <d v="2025-04-29T00:00:00"/>
    <s v="C034"/>
    <s v="Customer_34"/>
    <s v="Jaipur"/>
    <s v="North"/>
    <s v="P009"/>
    <s v="Wireless Earbuds"/>
    <x v="2"/>
    <n v="1"/>
    <n v="2500"/>
    <n v="2500"/>
  </r>
  <r>
    <n v="10741"/>
    <d v="2025-12-29T00:00:00"/>
    <s v="C028"/>
    <s v="Customer_28"/>
    <s v="Surat"/>
    <s v="West"/>
    <s v="P029"/>
    <s v="Sunglasses"/>
    <x v="1"/>
    <n v="1"/>
    <n v="2000"/>
    <n v="2000"/>
  </r>
  <r>
    <n v="10742"/>
    <d v="2025-10-11T00:00:00"/>
    <s v="C008"/>
    <s v="Customer_08"/>
    <s v="Patna"/>
    <s v="East"/>
    <s v="P003"/>
    <s v="Smartphone X"/>
    <x v="2"/>
    <n v="3"/>
    <n v="30000"/>
    <n v="90000"/>
  </r>
  <r>
    <n v="10743"/>
    <d v="2025-09-13T00:00:00"/>
    <s v="C024"/>
    <s v="Customer_24"/>
    <s v="Patna"/>
    <s v="East"/>
    <s v="P006"/>
    <s v="Monitor 24"/>
    <x v="2"/>
    <n v="4"/>
    <n v="12000"/>
    <n v="48000"/>
  </r>
  <r>
    <n v="10744"/>
    <d v="2025-11-27T00:00:00"/>
    <s v="C056"/>
    <s v="Customer_56"/>
    <s v="Patna"/>
    <s v="East"/>
    <s v="P023"/>
    <s v="Sneakers"/>
    <x v="3"/>
    <n v="1"/>
    <n v="4200"/>
    <n v="4200"/>
  </r>
  <r>
    <n v="10745"/>
    <d v="2025-02-20T00:00:00"/>
    <s v="C052"/>
    <s v="Customer_52"/>
    <s v="Chandigarh"/>
    <s v="North"/>
    <s v="P014"/>
    <s v="Microwave"/>
    <x v="0"/>
    <n v="1"/>
    <n v="11000"/>
    <n v="11000"/>
  </r>
  <r>
    <n v="10746"/>
    <d v="2025-03-05T00:00:00"/>
    <s v="C034"/>
    <s v="Customer_34"/>
    <s v="Jaipur"/>
    <s v="North"/>
    <s v="P027"/>
    <s v="Watch"/>
    <x v="1"/>
    <n v="2"/>
    <n v="5500"/>
    <n v="11000"/>
  </r>
  <r>
    <n v="10747"/>
    <d v="2025-06-13T00:00:00"/>
    <s v="C011"/>
    <s v="Customer_11"/>
    <s v="Ahmedabad"/>
    <s v="West"/>
    <s v="P008"/>
    <s v="Headphones Pro"/>
    <x v="2"/>
    <n v="3"/>
    <n v="4500"/>
    <n v="13500"/>
  </r>
  <r>
    <n v="10748"/>
    <d v="2025-01-29T00:00:00"/>
    <s v="C061"/>
    <s v="Customer_61"/>
    <s v="Bengaluru"/>
    <s v="South"/>
    <s v="P007"/>
    <s v="Monitor 27"/>
    <x v="2"/>
    <n v="1"/>
    <n v="18000"/>
    <n v="18000"/>
  </r>
  <r>
    <n v="10749"/>
    <d v="2025-12-01T00:00:00"/>
    <s v="C011"/>
    <s v="Customer_11"/>
    <s v="Ahmedabad"/>
    <s v="West"/>
    <s v="P021"/>
    <s v="Formal Shirt"/>
    <x v="3"/>
    <n v="1"/>
    <n v="2400"/>
    <n v="2400"/>
  </r>
  <r>
    <n v="10750"/>
    <d v="2025-01-16T00:00:00"/>
    <s v="C013"/>
    <s v="Customer_13"/>
    <s v="Bengaluru"/>
    <s v="South"/>
    <s v="P005"/>
    <s v="Tablet Pro"/>
    <x v="2"/>
    <n v="1"/>
    <n v="28000"/>
    <n v="28000"/>
  </r>
  <r>
    <n v="10751"/>
    <d v="2025-05-18T00:00:00"/>
    <s v="C049"/>
    <s v="Customer_49"/>
    <s v="Delhi"/>
    <s v="North"/>
    <s v="P004"/>
    <s v="Smartphone Y"/>
    <x v="2"/>
    <n v="2"/>
    <n v="22000"/>
    <n v="44000"/>
  </r>
  <r>
    <n v="10752"/>
    <d v="2025-09-25T00:00:00"/>
    <s v="C003"/>
    <s v="Customer_03"/>
    <s v="Lucknow"/>
    <s v="North"/>
    <s v="P017"/>
    <s v="Water Purifier"/>
    <x v="0"/>
    <n v="1"/>
    <n v="15000"/>
    <n v="15000"/>
  </r>
  <r>
    <n v="10753"/>
    <d v="2025-01-19T00:00:00"/>
    <s v="C024"/>
    <s v="Customer_24"/>
    <s v="Patna"/>
    <s v="East"/>
    <s v="P005"/>
    <s v="Tablet Pro"/>
    <x v="2"/>
    <n v="3"/>
    <n v="28000"/>
    <n v="84000"/>
  </r>
  <r>
    <n v="10754"/>
    <d v="2025-03-02T00:00:00"/>
    <s v="C064"/>
    <s v="Customer_64"/>
    <s v="Kochi"/>
    <s v="South"/>
    <s v="P023"/>
    <s v="Sneakers"/>
    <x v="3"/>
    <n v="1"/>
    <n v="4200"/>
    <n v="4200"/>
  </r>
  <r>
    <n v="10755"/>
    <d v="2025-07-14T00:00:00"/>
    <s v="C063"/>
    <s v="Customer_63"/>
    <s v="Hyderabad"/>
    <s v="South"/>
    <s v="P018"/>
    <s v="Induction Cooktop"/>
    <x v="0"/>
    <n v="2"/>
    <n v="3000"/>
    <n v="6000"/>
  </r>
  <r>
    <n v="10756"/>
    <d v="2025-12-07T00:00:00"/>
    <s v="C068"/>
    <s v="Customer_68"/>
    <s v="Chandigarh"/>
    <s v="North"/>
    <s v="P024"/>
    <s v="Hoodie"/>
    <x v="3"/>
    <n v="2"/>
    <n v="3000"/>
    <n v="6000"/>
  </r>
  <r>
    <n v="10757"/>
    <d v="2025-11-17T00:00:00"/>
    <s v="C036"/>
    <s v="Customer_36"/>
    <s v="Chandigarh"/>
    <s v="North"/>
    <s v="P017"/>
    <s v="Water Purifier"/>
    <x v="0"/>
    <n v="1"/>
    <n v="15000"/>
    <n v="15000"/>
  </r>
  <r>
    <n v="10758"/>
    <d v="2025-05-05T00:00:00"/>
    <s v="C042"/>
    <s v="Customer_42"/>
    <s v="Pune"/>
    <s v="West"/>
    <s v="P012"/>
    <s v="Mixer Grinder"/>
    <x v="0"/>
    <n v="4"/>
    <n v="5000"/>
    <n v="20000"/>
  </r>
  <r>
    <n v="10759"/>
    <d v="2025-08-28T00:00:00"/>
    <s v="C008"/>
    <s v="Customer_08"/>
    <s v="Patna"/>
    <s v="East"/>
    <s v="P001"/>
    <s v="Laptop Pro"/>
    <x v="2"/>
    <n v="4"/>
    <n v="65000"/>
    <n v="260000"/>
  </r>
  <r>
    <n v="10760"/>
    <d v="2025-09-06T00:00:00"/>
    <s v="C009"/>
    <s v="Customer_09"/>
    <s v="Mumbai"/>
    <s v="West"/>
    <s v="P024"/>
    <s v="Hoodie"/>
    <x v="3"/>
    <n v="1"/>
    <n v="3000"/>
    <n v="3000"/>
  </r>
  <r>
    <n v="10761"/>
    <d v="2025-11-03T00:00:00"/>
    <s v="C026"/>
    <s v="Customer_26"/>
    <s v="Pune"/>
    <s v="West"/>
    <s v="P020"/>
    <s v="T-Shirt"/>
    <x v="3"/>
    <n v="1"/>
    <n v="1600"/>
    <n v="1600"/>
  </r>
  <r>
    <n v="10762"/>
    <d v="2025-01-20T00:00:00"/>
    <s v="C062"/>
    <s v="Customer_62"/>
    <s v="Chennai"/>
    <s v="South"/>
    <s v="P016"/>
    <s v="Electric Kettle"/>
    <x v="0"/>
    <n v="4"/>
    <n v="2200"/>
    <n v="8800"/>
  </r>
  <r>
    <n v="10763"/>
    <d v="2025-04-23T00:00:00"/>
    <s v="C022"/>
    <s v="Customer_22"/>
    <s v="Guwahati"/>
    <s v="East"/>
    <s v="P007"/>
    <s v="Monitor 27"/>
    <x v="2"/>
    <n v="1"/>
    <n v="18000"/>
    <n v="18000"/>
  </r>
  <r>
    <n v="10764"/>
    <d v="2025-06-25T00:00:00"/>
    <s v="C046"/>
    <s v="Customer_46"/>
    <s v="Chennai"/>
    <s v="South"/>
    <s v="P029"/>
    <s v="Sunglasses"/>
    <x v="1"/>
    <n v="1"/>
    <n v="2000"/>
    <n v="2000"/>
  </r>
  <r>
    <n v="10765"/>
    <d v="2025-10-31T00:00:00"/>
    <s v="C035"/>
    <s v="Customer_35"/>
    <s v="Lucknow"/>
    <s v="North"/>
    <s v="P005"/>
    <s v="Tablet Pro"/>
    <x v="2"/>
    <n v="1"/>
    <n v="28000"/>
    <n v="28000"/>
  </r>
  <r>
    <n v="10766"/>
    <d v="2025-06-02T00:00:00"/>
    <s v="C059"/>
    <s v="Customer_59"/>
    <s v="Ahmedabad"/>
    <s v="West"/>
    <s v="P010"/>
    <s v="Keyboard"/>
    <x v="2"/>
    <n v="2"/>
    <n v="2200"/>
    <n v="4400"/>
  </r>
  <r>
    <n v="10767"/>
    <d v="2025-07-26T00:00:00"/>
    <s v="C037"/>
    <s v="Customer_37"/>
    <s v="Kolkata"/>
    <s v="East"/>
    <s v="P009"/>
    <s v="Wireless Earbuds"/>
    <x v="2"/>
    <n v="1"/>
    <n v="2500"/>
    <n v="2500"/>
  </r>
  <r>
    <n v="10768"/>
    <d v="2025-04-07T00:00:00"/>
    <s v="C052"/>
    <s v="Customer_52"/>
    <s v="Chandigarh"/>
    <s v="North"/>
    <s v="P002"/>
    <s v="Laptop Air"/>
    <x v="2"/>
    <n v="2"/>
    <n v="52000"/>
    <n v="104000"/>
  </r>
  <r>
    <n v="10769"/>
    <d v="2025-06-21T00:00:00"/>
    <s v="C073"/>
    <s v="Customer_73"/>
    <s v="Mumbai"/>
    <s v="West"/>
    <s v="P001"/>
    <s v="Laptop Pro"/>
    <x v="2"/>
    <n v="1"/>
    <n v="65000"/>
    <n v="65000"/>
  </r>
  <r>
    <n v="10770"/>
    <d v="2025-11-28T00:00:00"/>
    <s v="C011"/>
    <s v="Customer_11"/>
    <s v="Ahmedabad"/>
    <s v="West"/>
    <s v="P026"/>
    <s v="Backpack"/>
    <x v="1"/>
    <n v="1"/>
    <n v="2400"/>
    <n v="2400"/>
  </r>
  <r>
    <n v="10771"/>
    <d v="2025-08-09T00:00:00"/>
    <s v="C053"/>
    <s v="Customer_53"/>
    <s v="Kolkata"/>
    <s v="East"/>
    <s v="P029"/>
    <s v="Sunglasses"/>
    <x v="1"/>
    <n v="2"/>
    <n v="2000"/>
    <n v="4000"/>
  </r>
  <r>
    <n v="10772"/>
    <d v="2025-07-13T00:00:00"/>
    <s v="C047"/>
    <s v="Customer_47"/>
    <s v="Hyderabad"/>
    <s v="South"/>
    <s v="P002"/>
    <s v="Laptop Air"/>
    <x v="2"/>
    <n v="3"/>
    <n v="52000"/>
    <n v="156000"/>
  </r>
  <r>
    <n v="10773"/>
    <d v="2025-08-09T00:00:00"/>
    <s v="C021"/>
    <s v="Customer_21"/>
    <s v="Kolkata"/>
    <s v="East"/>
    <s v="P010"/>
    <s v="Keyboard"/>
    <x v="2"/>
    <n v="3"/>
    <n v="2200"/>
    <n v="6600"/>
  </r>
  <r>
    <n v="10774"/>
    <d v="2025-06-22T00:00:00"/>
    <s v="C050"/>
    <s v="Customer_50"/>
    <s v="Jaipur"/>
    <s v="North"/>
    <s v="P014"/>
    <s v="Microwave"/>
    <x v="0"/>
    <n v="2"/>
    <n v="11000"/>
    <n v="22000"/>
  </r>
  <r>
    <n v="10775"/>
    <d v="2025-02-26T00:00:00"/>
    <s v="C049"/>
    <s v="Customer_49"/>
    <s v="Delhi"/>
    <s v="North"/>
    <s v="P013"/>
    <s v="Coffee Maker"/>
    <x v="0"/>
    <n v="1"/>
    <n v="4200"/>
    <n v="4200"/>
  </r>
  <r>
    <n v="10776"/>
    <d v="2025-11-28T00:00:00"/>
    <s v="C027"/>
    <s v="Customer_27"/>
    <s v="Ahmedabad"/>
    <s v="West"/>
    <s v="P012"/>
    <s v="Mixer Grinder"/>
    <x v="0"/>
    <n v="2"/>
    <n v="5000"/>
    <n v="10000"/>
  </r>
  <r>
    <n v="10777"/>
    <d v="2025-06-23T00:00:00"/>
    <s v="C029"/>
    <s v="Customer_29"/>
    <s v="Bengaluru"/>
    <s v="South"/>
    <s v="P010"/>
    <s v="Keyboard"/>
    <x v="2"/>
    <n v="1"/>
    <n v="2200"/>
    <n v="2200"/>
  </r>
  <r>
    <n v="10778"/>
    <d v="2025-02-15T00:00:00"/>
    <s v="C052"/>
    <s v="Customer_52"/>
    <s v="Chandigarh"/>
    <s v="North"/>
    <s v="P011"/>
    <s v="Air Fryer"/>
    <x v="0"/>
    <n v="2"/>
    <n v="6500"/>
    <n v="13000"/>
  </r>
  <r>
    <n v="10779"/>
    <d v="2025-11-21T00:00:00"/>
    <s v="C003"/>
    <s v="Customer_03"/>
    <s v="Lucknow"/>
    <s v="North"/>
    <s v="P006"/>
    <s v="Monitor 24"/>
    <x v="2"/>
    <n v="1"/>
    <n v="12000"/>
    <n v="12000"/>
  </r>
  <r>
    <n v="10780"/>
    <d v="2025-07-02T00:00:00"/>
    <s v="C050"/>
    <s v="Customer_50"/>
    <s v="Jaipur"/>
    <s v="North"/>
    <s v="P019"/>
    <s v="Jeans"/>
    <x v="3"/>
    <n v="1"/>
    <n v="3200"/>
    <n v="3200"/>
  </r>
  <r>
    <n v="10781"/>
    <d v="2025-04-08T00:00:00"/>
    <s v="C029"/>
    <s v="Customer_29"/>
    <s v="Bengaluru"/>
    <s v="South"/>
    <s v="P016"/>
    <s v="Electric Kettle"/>
    <x v="0"/>
    <n v="1"/>
    <n v="2200"/>
    <n v="2200"/>
  </r>
  <r>
    <n v="10782"/>
    <d v="2025-10-06T00:00:00"/>
    <s v="C031"/>
    <s v="Customer_31"/>
    <s v="Hyderabad"/>
    <s v="South"/>
    <s v="P009"/>
    <s v="Wireless Earbuds"/>
    <x v="2"/>
    <n v="2"/>
    <n v="2500"/>
    <n v="5000"/>
  </r>
  <r>
    <n v="10783"/>
    <d v="2025-09-12T00:00:00"/>
    <s v="C015"/>
    <s v="Customer_15"/>
    <s v="Hyderabad"/>
    <s v="South"/>
    <s v="P025"/>
    <s v="Dress"/>
    <x v="3"/>
    <n v="1"/>
    <n v="3800"/>
    <n v="3800"/>
  </r>
  <r>
    <n v="10784"/>
    <d v="2025-12-18T00:00:00"/>
    <s v="C063"/>
    <s v="Customer_63"/>
    <s v="Hyderabad"/>
    <s v="South"/>
    <s v="P011"/>
    <s v="Air Fryer"/>
    <x v="0"/>
    <n v="1"/>
    <n v="6500"/>
    <n v="6500"/>
  </r>
  <r>
    <n v="10785"/>
    <d v="2025-12-26T00:00:00"/>
    <s v="C064"/>
    <s v="Customer_64"/>
    <s v="Kochi"/>
    <s v="South"/>
    <s v="P017"/>
    <s v="Water Purifier"/>
    <x v="0"/>
    <n v="1"/>
    <n v="15000"/>
    <n v="15000"/>
  </r>
  <r>
    <n v="10786"/>
    <d v="2025-03-19T00:00:00"/>
    <s v="C070"/>
    <s v="Customer_70"/>
    <s v="Guwahati"/>
    <s v="East"/>
    <s v="P006"/>
    <s v="Monitor 24"/>
    <x v="2"/>
    <n v="2"/>
    <n v="12000"/>
    <n v="24000"/>
  </r>
  <r>
    <n v="10787"/>
    <d v="2025-12-14T00:00:00"/>
    <s v="C052"/>
    <s v="Customer_52"/>
    <s v="Chandigarh"/>
    <s v="North"/>
    <s v="P010"/>
    <s v="Keyboard"/>
    <x v="2"/>
    <n v="1"/>
    <n v="2200"/>
    <n v="2200"/>
  </r>
  <r>
    <n v="10788"/>
    <d v="2025-11-21T00:00:00"/>
    <s v="C007"/>
    <s v="Customer_07"/>
    <s v="Bhubaneswar"/>
    <s v="East"/>
    <s v="P016"/>
    <s v="Electric Kettle"/>
    <x v="0"/>
    <n v="1"/>
    <n v="2200"/>
    <n v="2200"/>
  </r>
  <r>
    <n v="10789"/>
    <d v="2025-03-28T00:00:00"/>
    <s v="C068"/>
    <s v="Customer_68"/>
    <s v="Chandigarh"/>
    <s v="North"/>
    <s v="P026"/>
    <s v="Backpack"/>
    <x v="1"/>
    <n v="1"/>
    <n v="2400"/>
    <n v="2400"/>
  </r>
  <r>
    <n v="10790"/>
    <d v="2025-09-08T00:00:00"/>
    <s v="C008"/>
    <s v="Customer_08"/>
    <s v="Patna"/>
    <s v="East"/>
    <s v="P015"/>
    <s v="Vacuum Cleaner"/>
    <x v="0"/>
    <n v="2"/>
    <n v="9000"/>
    <n v="18000"/>
  </r>
  <r>
    <n v="10791"/>
    <d v="2025-12-12T00:00:00"/>
    <s v="C024"/>
    <s v="Customer_24"/>
    <s v="Patna"/>
    <s v="East"/>
    <s v="P004"/>
    <s v="Smartphone Y"/>
    <x v="2"/>
    <n v="2"/>
    <n v="22000"/>
    <n v="44000"/>
  </r>
  <r>
    <n v="10792"/>
    <d v="2025-04-07T00:00:00"/>
    <s v="C057"/>
    <s v="Customer_57"/>
    <s v="Mumbai"/>
    <s v="West"/>
    <s v="P009"/>
    <s v="Wireless Earbuds"/>
    <x v="2"/>
    <n v="2"/>
    <n v="2500"/>
    <n v="5000"/>
  </r>
  <r>
    <n v="10793"/>
    <d v="2025-11-13T00:00:00"/>
    <s v="C043"/>
    <s v="Customer_43"/>
    <s v="Ahmedabad"/>
    <s v="West"/>
    <s v="P015"/>
    <s v="Vacuum Cleaner"/>
    <x v="0"/>
    <n v="1"/>
    <n v="9000"/>
    <n v="9000"/>
  </r>
  <r>
    <n v="10794"/>
    <d v="2025-07-13T00:00:00"/>
    <s v="C053"/>
    <s v="Customer_53"/>
    <s v="Kolkata"/>
    <s v="East"/>
    <s v="P004"/>
    <s v="Smartphone Y"/>
    <x v="2"/>
    <n v="2"/>
    <n v="22000"/>
    <n v="44000"/>
  </r>
  <r>
    <n v="10795"/>
    <d v="2025-06-24T00:00:00"/>
    <s v="C015"/>
    <s v="Customer_15"/>
    <s v="Hyderabad"/>
    <s v="South"/>
    <s v="P002"/>
    <s v="Laptop Air"/>
    <x v="2"/>
    <n v="1"/>
    <n v="52000"/>
    <n v="52000"/>
  </r>
  <r>
    <n v="10796"/>
    <d v="2025-01-06T00:00:00"/>
    <s v="C004"/>
    <s v="Customer_04"/>
    <s v="Chandigarh"/>
    <s v="North"/>
    <s v="P017"/>
    <s v="Water Purifier"/>
    <x v="0"/>
    <n v="2"/>
    <n v="15000"/>
    <n v="30000"/>
  </r>
  <r>
    <n v="10797"/>
    <d v="2025-03-14T00:00:00"/>
    <s v="C034"/>
    <s v="Customer_34"/>
    <s v="Jaipur"/>
    <s v="North"/>
    <s v="P025"/>
    <s v="Dress"/>
    <x v="3"/>
    <n v="1"/>
    <n v="3800"/>
    <n v="3800"/>
  </r>
  <r>
    <n v="10798"/>
    <d v="2025-05-19T00:00:00"/>
    <s v="C030"/>
    <s v="Customer_30"/>
    <s v="Chennai"/>
    <s v="South"/>
    <s v="P004"/>
    <s v="Smartphone Y"/>
    <x v="2"/>
    <n v="3"/>
    <n v="22000"/>
    <n v="66000"/>
  </r>
  <r>
    <n v="10799"/>
    <d v="2025-05-24T00:00:00"/>
    <s v="C053"/>
    <s v="Customer_53"/>
    <s v="Kolkata"/>
    <s v="East"/>
    <s v="P003"/>
    <s v="Smartphone X"/>
    <x v="2"/>
    <n v="3"/>
    <n v="30000"/>
    <n v="90000"/>
  </r>
  <r>
    <n v="10800"/>
    <d v="2025-12-17T00:00:00"/>
    <s v="C015"/>
    <s v="Customer_15"/>
    <s v="Hyderabad"/>
    <s v="South"/>
    <s v="P024"/>
    <s v="Hoodie"/>
    <x v="3"/>
    <n v="3"/>
    <n v="3000"/>
    <n v="9000"/>
  </r>
  <r>
    <n v="10801"/>
    <d v="2025-12-12T00:00:00"/>
    <s v="C046"/>
    <s v="Customer_46"/>
    <s v="Chennai"/>
    <s v="South"/>
    <s v="P017"/>
    <s v="Water Purifier"/>
    <x v="0"/>
    <n v="3"/>
    <n v="15000"/>
    <n v="45000"/>
  </r>
  <r>
    <n v="10802"/>
    <d v="2025-06-23T00:00:00"/>
    <s v="C024"/>
    <s v="Customer_24"/>
    <s v="Patna"/>
    <s v="East"/>
    <s v="P017"/>
    <s v="Water Purifier"/>
    <x v="0"/>
    <n v="4"/>
    <n v="15000"/>
    <n v="60000"/>
  </r>
  <r>
    <n v="10803"/>
    <d v="2025-01-17T00:00:00"/>
    <s v="C057"/>
    <s v="Customer_57"/>
    <s v="Mumbai"/>
    <s v="West"/>
    <s v="P012"/>
    <s v="Mixer Grinder"/>
    <x v="0"/>
    <n v="1"/>
    <n v="5000"/>
    <n v="5000"/>
  </r>
  <r>
    <n v="10804"/>
    <d v="2025-06-15T00:00:00"/>
    <s v="C068"/>
    <s v="Customer_68"/>
    <s v="Chandigarh"/>
    <s v="North"/>
    <s v="P016"/>
    <s v="Electric Kettle"/>
    <x v="0"/>
    <n v="3"/>
    <n v="2200"/>
    <n v="6600"/>
  </r>
  <r>
    <n v="10805"/>
    <d v="2025-03-15T00:00:00"/>
    <s v="C037"/>
    <s v="Customer_37"/>
    <s v="Kolkata"/>
    <s v="East"/>
    <s v="P007"/>
    <s v="Monitor 27"/>
    <x v="2"/>
    <n v="1"/>
    <n v="18000"/>
    <n v="18000"/>
  </r>
  <r>
    <n v="10806"/>
    <d v="2025-02-21T00:00:00"/>
    <s v="C048"/>
    <s v="Customer_48"/>
    <s v="Kochi"/>
    <s v="South"/>
    <s v="P016"/>
    <s v="Electric Kettle"/>
    <x v="0"/>
    <n v="1"/>
    <n v="2200"/>
    <n v="2200"/>
  </r>
  <r>
    <n v="10807"/>
    <d v="2025-10-21T00:00:00"/>
    <s v="C061"/>
    <s v="Customer_61"/>
    <s v="Bengaluru"/>
    <s v="South"/>
    <s v="P009"/>
    <s v="Wireless Earbuds"/>
    <x v="2"/>
    <n v="1"/>
    <n v="2500"/>
    <n v="2500"/>
  </r>
  <r>
    <n v="10808"/>
    <d v="2025-10-31T00:00:00"/>
    <s v="C028"/>
    <s v="Customer_28"/>
    <s v="Surat"/>
    <s v="West"/>
    <s v="P008"/>
    <s v="Headphones Pro"/>
    <x v="2"/>
    <n v="2"/>
    <n v="4500"/>
    <n v="9000"/>
  </r>
  <r>
    <n v="10809"/>
    <d v="2025-02-09T00:00:00"/>
    <s v="C057"/>
    <s v="Customer_57"/>
    <s v="Mumbai"/>
    <s v="West"/>
    <s v="P028"/>
    <s v="Wallet"/>
    <x v="1"/>
    <n v="1"/>
    <n v="1400"/>
    <n v="1400"/>
  </r>
  <r>
    <n v="10810"/>
    <d v="2025-10-16T00:00:00"/>
    <s v="C017"/>
    <s v="Customer_17"/>
    <s v="Delhi"/>
    <s v="North"/>
    <s v="P030"/>
    <s v="Travel Bag"/>
    <x v="1"/>
    <n v="2"/>
    <n v="3500"/>
    <n v="7000"/>
  </r>
  <r>
    <n v="10811"/>
    <d v="2025-04-30T00:00:00"/>
    <s v="C028"/>
    <s v="Customer_28"/>
    <s v="Surat"/>
    <s v="West"/>
    <s v="P016"/>
    <s v="Electric Kettle"/>
    <x v="0"/>
    <n v="1"/>
    <n v="2200"/>
    <n v="2200"/>
  </r>
  <r>
    <n v="10812"/>
    <d v="2025-10-06T00:00:00"/>
    <s v="C055"/>
    <s v="Customer_55"/>
    <s v="Bhubaneswar"/>
    <s v="East"/>
    <s v="P021"/>
    <s v="Formal Shirt"/>
    <x v="3"/>
    <n v="3"/>
    <n v="2400"/>
    <n v="7200"/>
  </r>
  <r>
    <n v="10813"/>
    <d v="2025-08-26T00:00:00"/>
    <s v="C003"/>
    <s v="Customer_03"/>
    <s v="Lucknow"/>
    <s v="North"/>
    <s v="P008"/>
    <s v="Headphones Pro"/>
    <x v="2"/>
    <n v="1"/>
    <n v="4500"/>
    <n v="4500"/>
  </r>
  <r>
    <n v="10814"/>
    <d v="2025-06-09T00:00:00"/>
    <s v="C070"/>
    <s v="Customer_70"/>
    <s v="Guwahati"/>
    <s v="East"/>
    <s v="P017"/>
    <s v="Water Purifier"/>
    <x v="0"/>
    <n v="1"/>
    <n v="15000"/>
    <n v="15000"/>
  </r>
  <r>
    <n v="10815"/>
    <d v="2025-09-28T00:00:00"/>
    <s v="C011"/>
    <s v="Customer_11"/>
    <s v="Ahmedabad"/>
    <s v="West"/>
    <s v="P025"/>
    <s v="Dress"/>
    <x v="3"/>
    <n v="1"/>
    <n v="3800"/>
    <n v="3800"/>
  </r>
  <r>
    <n v="10816"/>
    <d v="2025-03-12T00:00:00"/>
    <s v="C037"/>
    <s v="Customer_37"/>
    <s v="Kolkata"/>
    <s v="East"/>
    <s v="P022"/>
    <s v="Jacket"/>
    <x v="3"/>
    <n v="1"/>
    <n v="4800"/>
    <n v="4800"/>
  </r>
  <r>
    <n v="10817"/>
    <d v="2025-11-12T00:00:00"/>
    <s v="C032"/>
    <s v="Customer_32"/>
    <s v="Kochi"/>
    <s v="South"/>
    <s v="P007"/>
    <s v="Monitor 27"/>
    <x v="2"/>
    <n v="1"/>
    <n v="18000"/>
    <n v="18000"/>
  </r>
  <r>
    <n v="10818"/>
    <d v="2025-01-07T00:00:00"/>
    <s v="C057"/>
    <s v="Customer_57"/>
    <s v="Mumbai"/>
    <s v="West"/>
    <s v="P003"/>
    <s v="Smartphone X"/>
    <x v="2"/>
    <n v="1"/>
    <n v="30000"/>
    <n v="30000"/>
  </r>
  <r>
    <n v="10819"/>
    <d v="2025-10-19T00:00:00"/>
    <s v="C011"/>
    <s v="Customer_11"/>
    <s v="Ahmedabad"/>
    <s v="West"/>
    <s v="P024"/>
    <s v="Hoodie"/>
    <x v="3"/>
    <n v="1"/>
    <n v="3000"/>
    <n v="3000"/>
  </r>
  <r>
    <n v="10820"/>
    <d v="2025-05-14T00:00:00"/>
    <s v="C035"/>
    <s v="Customer_35"/>
    <s v="Lucknow"/>
    <s v="North"/>
    <s v="P023"/>
    <s v="Sneakers"/>
    <x v="3"/>
    <n v="2"/>
    <n v="4200"/>
    <n v="8400"/>
  </r>
  <r>
    <n v="10821"/>
    <d v="2025-12-01T00:00:00"/>
    <s v="C011"/>
    <s v="Customer_11"/>
    <s v="Ahmedabad"/>
    <s v="West"/>
    <s v="P007"/>
    <s v="Monitor 27"/>
    <x v="2"/>
    <n v="2"/>
    <n v="18000"/>
    <n v="36000"/>
  </r>
  <r>
    <n v="10822"/>
    <d v="2025-10-15T00:00:00"/>
    <s v="C068"/>
    <s v="Customer_68"/>
    <s v="Chandigarh"/>
    <s v="North"/>
    <s v="P003"/>
    <s v="Smartphone X"/>
    <x v="2"/>
    <n v="1"/>
    <n v="30000"/>
    <n v="30000"/>
  </r>
  <r>
    <n v="10823"/>
    <d v="2025-05-25T00:00:00"/>
    <s v="C003"/>
    <s v="Customer_03"/>
    <s v="Lucknow"/>
    <s v="North"/>
    <s v="P014"/>
    <s v="Microwave"/>
    <x v="0"/>
    <n v="1"/>
    <n v="11000"/>
    <n v="11000"/>
  </r>
  <r>
    <n v="10824"/>
    <d v="2025-07-17T00:00:00"/>
    <s v="C070"/>
    <s v="Customer_70"/>
    <s v="Guwahati"/>
    <s v="East"/>
    <s v="P030"/>
    <s v="Travel Bag"/>
    <x v="1"/>
    <n v="1"/>
    <n v="3500"/>
    <n v="3500"/>
  </r>
  <r>
    <n v="10825"/>
    <d v="2025-10-27T00:00:00"/>
    <s v="C070"/>
    <s v="Customer_70"/>
    <s v="Guwahati"/>
    <s v="East"/>
    <s v="P002"/>
    <s v="Laptop Air"/>
    <x v="2"/>
    <n v="1"/>
    <n v="52000"/>
    <n v="52000"/>
  </r>
  <r>
    <n v="10826"/>
    <d v="2025-09-18T00:00:00"/>
    <s v="C029"/>
    <s v="Customer_29"/>
    <s v="Bengaluru"/>
    <s v="South"/>
    <s v="P024"/>
    <s v="Hoodie"/>
    <x v="3"/>
    <n v="2"/>
    <n v="3000"/>
    <n v="6000"/>
  </r>
  <r>
    <n v="10827"/>
    <d v="2025-07-04T00:00:00"/>
    <s v="C008"/>
    <s v="Customer_08"/>
    <s v="Patna"/>
    <s v="East"/>
    <s v="P026"/>
    <s v="Backpack"/>
    <x v="1"/>
    <n v="1"/>
    <n v="2400"/>
    <n v="2400"/>
  </r>
  <r>
    <n v="10828"/>
    <d v="2025-05-19T00:00:00"/>
    <s v="C052"/>
    <s v="Customer_52"/>
    <s v="Chandigarh"/>
    <s v="North"/>
    <s v="P021"/>
    <s v="Formal Shirt"/>
    <x v="3"/>
    <n v="1"/>
    <n v="2400"/>
    <n v="2400"/>
  </r>
  <r>
    <n v="10829"/>
    <d v="2025-06-05T00:00:00"/>
    <s v="C070"/>
    <s v="Customer_70"/>
    <s v="Guwahati"/>
    <s v="East"/>
    <s v="P004"/>
    <s v="Smartphone Y"/>
    <x v="2"/>
    <n v="1"/>
    <n v="22000"/>
    <n v="22000"/>
  </r>
  <r>
    <n v="10830"/>
    <d v="2025-02-19T00:00:00"/>
    <s v="C047"/>
    <s v="Customer_47"/>
    <s v="Hyderabad"/>
    <s v="South"/>
    <s v="P002"/>
    <s v="Laptop Air"/>
    <x v="2"/>
    <n v="1"/>
    <n v="52000"/>
    <n v="52000"/>
  </r>
  <r>
    <n v="10831"/>
    <d v="2025-06-13T00:00:00"/>
    <s v="C056"/>
    <s v="Customer_56"/>
    <s v="Patna"/>
    <s v="East"/>
    <s v="P001"/>
    <s v="Laptop Pro"/>
    <x v="2"/>
    <n v="1"/>
    <n v="65000"/>
    <n v="65000"/>
  </r>
  <r>
    <n v="10832"/>
    <d v="2025-01-05T00:00:00"/>
    <s v="C038"/>
    <s v="Customer_38"/>
    <s v="Guwahati"/>
    <s v="East"/>
    <s v="P004"/>
    <s v="Smartphone Y"/>
    <x v="2"/>
    <n v="1"/>
    <n v="22000"/>
    <n v="22000"/>
  </r>
  <r>
    <n v="10833"/>
    <d v="2025-10-01T00:00:00"/>
    <s v="C051"/>
    <s v="Customer_51"/>
    <s v="Lucknow"/>
    <s v="North"/>
    <s v="P007"/>
    <s v="Monitor 27"/>
    <x v="2"/>
    <n v="1"/>
    <n v="18000"/>
    <n v="18000"/>
  </r>
  <r>
    <n v="10834"/>
    <d v="2025-03-04T00:00:00"/>
    <s v="C044"/>
    <s v="Customer_44"/>
    <s v="Surat"/>
    <s v="West"/>
    <s v="P001"/>
    <s v="Laptop Pro"/>
    <x v="2"/>
    <n v="1"/>
    <n v="65000"/>
    <n v="65000"/>
  </r>
  <r>
    <n v="10835"/>
    <d v="2025-09-02T00:00:00"/>
    <s v="C008"/>
    <s v="Customer_08"/>
    <s v="Patna"/>
    <s v="East"/>
    <s v="P024"/>
    <s v="Hoodie"/>
    <x v="3"/>
    <n v="4"/>
    <n v="3000"/>
    <n v="12000"/>
  </r>
  <r>
    <n v="10836"/>
    <d v="2025-12-15T00:00:00"/>
    <s v="C038"/>
    <s v="Customer_38"/>
    <s v="Guwahati"/>
    <s v="East"/>
    <s v="P013"/>
    <s v="Coffee Maker"/>
    <x v="0"/>
    <n v="3"/>
    <n v="4200"/>
    <n v="12600"/>
  </r>
  <r>
    <n v="10837"/>
    <d v="2025-05-13T00:00:00"/>
    <s v="C051"/>
    <s v="Customer_51"/>
    <s v="Lucknow"/>
    <s v="North"/>
    <s v="P014"/>
    <s v="Microwave"/>
    <x v="0"/>
    <n v="1"/>
    <n v="11000"/>
    <n v="11000"/>
  </r>
  <r>
    <n v="10838"/>
    <d v="2025-10-12T00:00:00"/>
    <s v="C060"/>
    <s v="Customer_60"/>
    <s v="Surat"/>
    <s v="West"/>
    <s v="P013"/>
    <s v="Coffee Maker"/>
    <x v="0"/>
    <n v="2"/>
    <n v="4200"/>
    <n v="8400"/>
  </r>
  <r>
    <n v="10839"/>
    <d v="2025-05-13T00:00:00"/>
    <s v="C068"/>
    <s v="Customer_68"/>
    <s v="Chandigarh"/>
    <s v="North"/>
    <s v="P030"/>
    <s v="Travel Bag"/>
    <x v="1"/>
    <n v="4"/>
    <n v="3500"/>
    <n v="14000"/>
  </r>
  <r>
    <n v="10840"/>
    <d v="2025-07-11T00:00:00"/>
    <s v="C048"/>
    <s v="Customer_48"/>
    <s v="Kochi"/>
    <s v="South"/>
    <s v="P026"/>
    <s v="Backpack"/>
    <x v="1"/>
    <n v="2"/>
    <n v="2400"/>
    <n v="4800"/>
  </r>
  <r>
    <n v="10841"/>
    <d v="2025-04-27T00:00:00"/>
    <s v="C043"/>
    <s v="Customer_43"/>
    <s v="Ahmedabad"/>
    <s v="West"/>
    <s v="P021"/>
    <s v="Formal Shirt"/>
    <x v="3"/>
    <n v="1"/>
    <n v="2400"/>
    <n v="2400"/>
  </r>
  <r>
    <n v="10842"/>
    <d v="2025-11-12T00:00:00"/>
    <s v="C035"/>
    <s v="Customer_35"/>
    <s v="Lucknow"/>
    <s v="North"/>
    <s v="P015"/>
    <s v="Vacuum Cleaner"/>
    <x v="0"/>
    <n v="1"/>
    <n v="9000"/>
    <n v="9000"/>
  </r>
  <r>
    <n v="10843"/>
    <d v="2025-01-21T00:00:00"/>
    <s v="C036"/>
    <s v="Customer_36"/>
    <s v="Chandigarh"/>
    <s v="North"/>
    <s v="P009"/>
    <s v="Wireless Earbuds"/>
    <x v="2"/>
    <n v="1"/>
    <n v="2500"/>
    <n v="2500"/>
  </r>
  <r>
    <n v="10844"/>
    <d v="2025-11-04T00:00:00"/>
    <s v="C026"/>
    <s v="Customer_26"/>
    <s v="Pune"/>
    <s v="West"/>
    <s v="P011"/>
    <s v="Air Fryer"/>
    <x v="0"/>
    <n v="3"/>
    <n v="6500"/>
    <n v="19500"/>
  </r>
  <r>
    <n v="10845"/>
    <d v="2025-10-07T00:00:00"/>
    <s v="C061"/>
    <s v="Customer_61"/>
    <s v="Bengaluru"/>
    <s v="South"/>
    <s v="P028"/>
    <s v="Wallet"/>
    <x v="1"/>
    <n v="1"/>
    <n v="1400"/>
    <n v="1400"/>
  </r>
  <r>
    <n v="10846"/>
    <d v="2025-10-16T00:00:00"/>
    <s v="C050"/>
    <s v="Customer_50"/>
    <s v="Jaipur"/>
    <s v="North"/>
    <s v="P011"/>
    <s v="Air Fryer"/>
    <x v="0"/>
    <n v="1"/>
    <n v="6500"/>
    <n v="6500"/>
  </r>
  <r>
    <n v="10847"/>
    <d v="2025-02-24T00:00:00"/>
    <s v="C014"/>
    <s v="Customer_14"/>
    <s v="Chennai"/>
    <s v="South"/>
    <s v="P007"/>
    <s v="Monitor 27"/>
    <x v="2"/>
    <n v="1"/>
    <n v="18000"/>
    <n v="18000"/>
  </r>
  <r>
    <n v="10848"/>
    <d v="2025-04-13T00:00:00"/>
    <s v="C035"/>
    <s v="Customer_35"/>
    <s v="Lucknow"/>
    <s v="North"/>
    <s v="P030"/>
    <s v="Travel Bag"/>
    <x v="1"/>
    <n v="2"/>
    <n v="3500"/>
    <n v="7000"/>
  </r>
  <r>
    <n v="10849"/>
    <d v="2025-05-04T00:00:00"/>
    <s v="C063"/>
    <s v="Customer_63"/>
    <s v="Hyderabad"/>
    <s v="South"/>
    <s v="P018"/>
    <s v="Induction Cooktop"/>
    <x v="0"/>
    <n v="1"/>
    <n v="3000"/>
    <n v="3000"/>
  </r>
  <r>
    <n v="10850"/>
    <d v="2025-07-17T00:00:00"/>
    <s v="C029"/>
    <s v="Customer_29"/>
    <s v="Bengaluru"/>
    <s v="South"/>
    <s v="P019"/>
    <s v="Jeans"/>
    <x v="3"/>
    <n v="1"/>
    <n v="3200"/>
    <n v="3200"/>
  </r>
  <r>
    <n v="10851"/>
    <d v="2025-03-01T00:00:00"/>
    <s v="C003"/>
    <s v="Customer_03"/>
    <s v="Lucknow"/>
    <s v="North"/>
    <s v="P020"/>
    <s v="T-Shirt"/>
    <x v="3"/>
    <n v="3"/>
    <n v="1600"/>
    <n v="4800"/>
  </r>
  <r>
    <n v="10852"/>
    <d v="2025-09-20T00:00:00"/>
    <s v="C061"/>
    <s v="Customer_61"/>
    <s v="Bengaluru"/>
    <s v="South"/>
    <s v="P027"/>
    <s v="Watch"/>
    <x v="1"/>
    <n v="1"/>
    <n v="5500"/>
    <n v="5500"/>
  </r>
  <r>
    <n v="10853"/>
    <d v="2025-05-20T00:00:00"/>
    <s v="C006"/>
    <s v="Customer_06"/>
    <s v="Guwahati"/>
    <s v="East"/>
    <s v="P020"/>
    <s v="T-Shirt"/>
    <x v="3"/>
    <n v="2"/>
    <n v="1600"/>
    <n v="3200"/>
  </r>
  <r>
    <n v="10854"/>
    <d v="2025-08-27T00:00:00"/>
    <s v="C056"/>
    <s v="Customer_56"/>
    <s v="Patna"/>
    <s v="East"/>
    <s v="P010"/>
    <s v="Keyboard"/>
    <x v="2"/>
    <n v="1"/>
    <n v="2200"/>
    <n v="2200"/>
  </r>
  <r>
    <n v="10855"/>
    <d v="2025-12-29T00:00:00"/>
    <s v="C061"/>
    <s v="Customer_61"/>
    <s v="Bengaluru"/>
    <s v="South"/>
    <s v="P029"/>
    <s v="Sunglasses"/>
    <x v="1"/>
    <n v="2"/>
    <n v="2000"/>
    <n v="4000"/>
  </r>
  <r>
    <n v="10856"/>
    <d v="2025-09-11T00:00:00"/>
    <s v="C003"/>
    <s v="Customer_03"/>
    <s v="Lucknow"/>
    <s v="North"/>
    <s v="P005"/>
    <s v="Tablet Pro"/>
    <x v="2"/>
    <n v="1"/>
    <n v="28000"/>
    <n v="28000"/>
  </r>
  <r>
    <n v="10857"/>
    <d v="2025-02-28T00:00:00"/>
    <s v="C046"/>
    <s v="Customer_46"/>
    <s v="Chennai"/>
    <s v="South"/>
    <s v="P006"/>
    <s v="Monitor 24"/>
    <x v="2"/>
    <n v="2"/>
    <n v="12000"/>
    <n v="24000"/>
  </r>
  <r>
    <n v="10858"/>
    <d v="2025-03-30T00:00:00"/>
    <s v="C017"/>
    <s v="Customer_17"/>
    <s v="Delhi"/>
    <s v="North"/>
    <s v="P026"/>
    <s v="Backpack"/>
    <x v="1"/>
    <n v="1"/>
    <n v="2400"/>
    <n v="2400"/>
  </r>
  <r>
    <n v="10859"/>
    <d v="2025-03-25T00:00:00"/>
    <s v="C006"/>
    <s v="Customer_06"/>
    <s v="Guwahati"/>
    <s v="East"/>
    <s v="P004"/>
    <s v="Smartphone Y"/>
    <x v="2"/>
    <n v="3"/>
    <n v="22000"/>
    <n v="66000"/>
  </r>
  <r>
    <n v="10860"/>
    <d v="2025-12-04T00:00:00"/>
    <s v="C019"/>
    <s v="Customer_19"/>
    <s v="Lucknow"/>
    <s v="North"/>
    <s v="P006"/>
    <s v="Monitor 24"/>
    <x v="2"/>
    <n v="1"/>
    <n v="12000"/>
    <n v="12000"/>
  </r>
  <r>
    <n v="10861"/>
    <d v="2025-09-23T00:00:00"/>
    <s v="C074"/>
    <s v="Customer_74"/>
    <s v="Pune"/>
    <s v="West"/>
    <s v="P018"/>
    <s v="Induction Cooktop"/>
    <x v="0"/>
    <n v="2"/>
    <n v="3000"/>
    <n v="6000"/>
  </r>
  <r>
    <n v="10862"/>
    <d v="2025-11-18T00:00:00"/>
    <s v="C029"/>
    <s v="Customer_29"/>
    <s v="Bengaluru"/>
    <s v="South"/>
    <s v="P030"/>
    <s v="Travel Bag"/>
    <x v="1"/>
    <n v="2"/>
    <n v="3500"/>
    <n v="7000"/>
  </r>
  <r>
    <n v="10863"/>
    <d v="2025-07-18T00:00:00"/>
    <s v="C035"/>
    <s v="Customer_35"/>
    <s v="Lucknow"/>
    <s v="North"/>
    <s v="P006"/>
    <s v="Monitor 24"/>
    <x v="2"/>
    <n v="1"/>
    <n v="12000"/>
    <n v="12000"/>
  </r>
  <r>
    <n v="10864"/>
    <d v="2025-09-08T00:00:00"/>
    <s v="C053"/>
    <s v="Customer_53"/>
    <s v="Kolkata"/>
    <s v="East"/>
    <s v="P001"/>
    <s v="Laptop Pro"/>
    <x v="2"/>
    <n v="3"/>
    <n v="65000"/>
    <n v="195000"/>
  </r>
  <r>
    <n v="10865"/>
    <d v="2025-02-14T00:00:00"/>
    <s v="C024"/>
    <s v="Customer_24"/>
    <s v="Patna"/>
    <s v="East"/>
    <s v="P001"/>
    <s v="Laptop Pro"/>
    <x v="2"/>
    <n v="4"/>
    <n v="65000"/>
    <n v="260000"/>
  </r>
  <r>
    <n v="10866"/>
    <d v="2025-01-02T00:00:00"/>
    <s v="C046"/>
    <s v="Customer_46"/>
    <s v="Chennai"/>
    <s v="South"/>
    <s v="P029"/>
    <s v="Sunglasses"/>
    <x v="1"/>
    <n v="1"/>
    <n v="2000"/>
    <n v="2000"/>
  </r>
  <r>
    <n v="10867"/>
    <d v="2025-03-15T00:00:00"/>
    <s v="C046"/>
    <s v="Customer_46"/>
    <s v="Chennai"/>
    <s v="South"/>
    <s v="P005"/>
    <s v="Tablet Pro"/>
    <x v="2"/>
    <n v="1"/>
    <n v="28000"/>
    <n v="28000"/>
  </r>
  <r>
    <n v="10868"/>
    <d v="2025-02-06T00:00:00"/>
    <s v="C009"/>
    <s v="Customer_09"/>
    <s v="Mumbai"/>
    <s v="West"/>
    <s v="P005"/>
    <s v="Tablet Pro"/>
    <x v="2"/>
    <n v="1"/>
    <n v="28000"/>
    <n v="28000"/>
  </r>
  <r>
    <n v="10869"/>
    <d v="2025-01-25T00:00:00"/>
    <s v="C003"/>
    <s v="Customer_03"/>
    <s v="Lucknow"/>
    <s v="North"/>
    <s v="P027"/>
    <s v="Watch"/>
    <x v="1"/>
    <n v="3"/>
    <n v="5500"/>
    <n v="16500"/>
  </r>
  <r>
    <n v="10870"/>
    <d v="2025-05-15T00:00:00"/>
    <s v="C026"/>
    <s v="Customer_26"/>
    <s v="Pune"/>
    <s v="West"/>
    <s v="P025"/>
    <s v="Dress"/>
    <x v="3"/>
    <n v="3"/>
    <n v="3800"/>
    <n v="11400"/>
  </r>
  <r>
    <n v="10871"/>
    <d v="2025-08-04T00:00:00"/>
    <s v="C036"/>
    <s v="Customer_36"/>
    <s v="Chandigarh"/>
    <s v="North"/>
    <s v="P003"/>
    <s v="Smartphone X"/>
    <x v="2"/>
    <n v="2"/>
    <n v="30000"/>
    <n v="60000"/>
  </r>
  <r>
    <n v="10872"/>
    <d v="2025-10-30T00:00:00"/>
    <s v="C040"/>
    <s v="Customer_40"/>
    <s v="Patna"/>
    <s v="East"/>
    <s v="P003"/>
    <s v="Smartphone X"/>
    <x v="2"/>
    <n v="2"/>
    <n v="30000"/>
    <n v="60000"/>
  </r>
  <r>
    <n v="10873"/>
    <d v="2025-04-18T00:00:00"/>
    <s v="C040"/>
    <s v="Customer_40"/>
    <s v="Patna"/>
    <s v="East"/>
    <s v="P001"/>
    <s v="Laptop Pro"/>
    <x v="2"/>
    <n v="1"/>
    <n v="65000"/>
    <n v="65000"/>
  </r>
  <r>
    <n v="10874"/>
    <d v="2025-05-26T00:00:00"/>
    <s v="C012"/>
    <s v="Customer_12"/>
    <s v="Surat"/>
    <s v="West"/>
    <s v="P006"/>
    <s v="Monitor 24"/>
    <x v="2"/>
    <n v="1"/>
    <n v="12000"/>
    <n v="12000"/>
  </r>
  <r>
    <n v="10875"/>
    <d v="2025-08-20T00:00:00"/>
    <s v="C024"/>
    <s v="Customer_24"/>
    <s v="Patna"/>
    <s v="East"/>
    <s v="P002"/>
    <s v="Laptop Air"/>
    <x v="2"/>
    <n v="2"/>
    <n v="52000"/>
    <n v="104000"/>
  </r>
  <r>
    <n v="10876"/>
    <d v="2025-10-03T00:00:00"/>
    <s v="C016"/>
    <s v="Customer_16"/>
    <s v="Kochi"/>
    <s v="South"/>
    <s v="P019"/>
    <s v="Jeans"/>
    <x v="3"/>
    <n v="4"/>
    <n v="3200"/>
    <n v="12800"/>
  </r>
  <r>
    <n v="10877"/>
    <d v="2025-03-28T00:00:00"/>
    <s v="C022"/>
    <s v="Customer_22"/>
    <s v="Guwahati"/>
    <s v="East"/>
    <s v="P006"/>
    <s v="Monitor 24"/>
    <x v="2"/>
    <n v="1"/>
    <n v="12000"/>
    <n v="12000"/>
  </r>
  <r>
    <n v="10878"/>
    <d v="2025-09-04T00:00:00"/>
    <s v="C011"/>
    <s v="Customer_11"/>
    <s v="Ahmedabad"/>
    <s v="West"/>
    <s v="P020"/>
    <s v="T-Shirt"/>
    <x v="3"/>
    <n v="2"/>
    <n v="1600"/>
    <n v="3200"/>
  </r>
  <r>
    <n v="10879"/>
    <d v="2025-02-17T00:00:00"/>
    <s v="C031"/>
    <s v="Customer_31"/>
    <s v="Hyderabad"/>
    <s v="South"/>
    <s v="P014"/>
    <s v="Microwave"/>
    <x v="0"/>
    <n v="1"/>
    <n v="11000"/>
    <n v="11000"/>
  </r>
  <r>
    <n v="10880"/>
    <d v="2025-05-22T00:00:00"/>
    <s v="C036"/>
    <s v="Customer_36"/>
    <s v="Chandigarh"/>
    <s v="North"/>
    <s v="P020"/>
    <s v="T-Shirt"/>
    <x v="3"/>
    <n v="1"/>
    <n v="1600"/>
    <n v="1600"/>
  </r>
  <r>
    <n v="10881"/>
    <d v="2025-12-25T00:00:00"/>
    <s v="C057"/>
    <s v="Customer_57"/>
    <s v="Mumbai"/>
    <s v="West"/>
    <s v="P003"/>
    <s v="Smartphone X"/>
    <x v="2"/>
    <n v="1"/>
    <n v="30000"/>
    <n v="30000"/>
  </r>
  <r>
    <n v="10882"/>
    <d v="2025-11-16T00:00:00"/>
    <s v="C011"/>
    <s v="Customer_11"/>
    <s v="Ahmedabad"/>
    <s v="West"/>
    <s v="P021"/>
    <s v="Formal Shirt"/>
    <x v="3"/>
    <n v="1"/>
    <n v="2400"/>
    <n v="2400"/>
  </r>
  <r>
    <n v="10883"/>
    <d v="2025-07-18T00:00:00"/>
    <s v="C006"/>
    <s v="Customer_06"/>
    <s v="Guwahati"/>
    <s v="East"/>
    <s v="P006"/>
    <s v="Monitor 24"/>
    <x v="2"/>
    <n v="1"/>
    <n v="12000"/>
    <n v="12000"/>
  </r>
  <r>
    <n v="10884"/>
    <d v="2025-06-24T00:00:00"/>
    <s v="C037"/>
    <s v="Customer_37"/>
    <s v="Kolkata"/>
    <s v="East"/>
    <s v="P025"/>
    <s v="Dress"/>
    <x v="3"/>
    <n v="3"/>
    <n v="3800"/>
    <n v="11400"/>
  </r>
  <r>
    <n v="10885"/>
    <d v="2025-08-08T00:00:00"/>
    <s v="C024"/>
    <s v="Customer_24"/>
    <s v="Patna"/>
    <s v="East"/>
    <s v="P015"/>
    <s v="Vacuum Cleaner"/>
    <x v="0"/>
    <n v="1"/>
    <n v="9000"/>
    <n v="9000"/>
  </r>
  <r>
    <n v="10886"/>
    <d v="2025-12-08T00:00:00"/>
    <s v="C039"/>
    <s v="Customer_39"/>
    <s v="Bhubaneswar"/>
    <s v="East"/>
    <s v="P019"/>
    <s v="Jeans"/>
    <x v="3"/>
    <n v="3"/>
    <n v="3200"/>
    <n v="9600"/>
  </r>
  <r>
    <n v="10887"/>
    <d v="2025-11-27T00:00:00"/>
    <s v="C054"/>
    <s v="Customer_54"/>
    <s v="Guwahati"/>
    <s v="East"/>
    <s v="P023"/>
    <s v="Sneakers"/>
    <x v="3"/>
    <n v="1"/>
    <n v="4200"/>
    <n v="4200"/>
  </r>
  <r>
    <n v="10888"/>
    <d v="2025-06-10T00:00:00"/>
    <s v="C013"/>
    <s v="Customer_13"/>
    <s v="Bengaluru"/>
    <s v="South"/>
    <s v="P021"/>
    <s v="Formal Shirt"/>
    <x v="3"/>
    <n v="3"/>
    <n v="2400"/>
    <n v="7200"/>
  </r>
  <r>
    <n v="10889"/>
    <d v="2025-05-13T00:00:00"/>
    <s v="C024"/>
    <s v="Customer_24"/>
    <s v="Patna"/>
    <s v="East"/>
    <s v="P001"/>
    <s v="Laptop Pro"/>
    <x v="2"/>
    <n v="1"/>
    <n v="65000"/>
    <n v="65000"/>
  </r>
  <r>
    <n v="10890"/>
    <d v="2025-05-08T00:00:00"/>
    <s v="C019"/>
    <s v="Customer_19"/>
    <s v="Lucknow"/>
    <s v="North"/>
    <s v="P004"/>
    <s v="Smartphone Y"/>
    <x v="2"/>
    <n v="1"/>
    <n v="22000"/>
    <n v="22000"/>
  </r>
  <r>
    <n v="10891"/>
    <d v="2025-12-26T00:00:00"/>
    <s v="C072"/>
    <s v="Customer_72"/>
    <s v="Patna"/>
    <s v="East"/>
    <s v="P001"/>
    <s v="Laptop Pro"/>
    <x v="2"/>
    <n v="1"/>
    <n v="65000"/>
    <n v="65000"/>
  </r>
  <r>
    <n v="10892"/>
    <d v="2025-05-20T00:00:00"/>
    <s v="C072"/>
    <s v="Customer_72"/>
    <s v="Patna"/>
    <s v="East"/>
    <s v="P004"/>
    <s v="Smartphone Y"/>
    <x v="2"/>
    <n v="1"/>
    <n v="22000"/>
    <n v="22000"/>
  </r>
  <r>
    <n v="10893"/>
    <d v="2025-05-23T00:00:00"/>
    <s v="C052"/>
    <s v="Customer_52"/>
    <s v="Chandigarh"/>
    <s v="North"/>
    <s v="P023"/>
    <s v="Sneakers"/>
    <x v="3"/>
    <n v="1"/>
    <n v="4200"/>
    <n v="4200"/>
  </r>
  <r>
    <n v="10894"/>
    <d v="2025-12-01T00:00:00"/>
    <s v="C029"/>
    <s v="Customer_29"/>
    <s v="Bengaluru"/>
    <s v="South"/>
    <s v="P005"/>
    <s v="Tablet Pro"/>
    <x v="2"/>
    <n v="1"/>
    <n v="28000"/>
    <n v="28000"/>
  </r>
  <r>
    <n v="10895"/>
    <d v="2025-04-16T00:00:00"/>
    <s v="C052"/>
    <s v="Customer_52"/>
    <s v="Chandigarh"/>
    <s v="North"/>
    <s v="P028"/>
    <s v="Wallet"/>
    <x v="1"/>
    <n v="2"/>
    <n v="1400"/>
    <n v="2800"/>
  </r>
  <r>
    <n v="10896"/>
    <d v="2025-04-23T00:00:00"/>
    <s v="C055"/>
    <s v="Customer_55"/>
    <s v="Bhubaneswar"/>
    <s v="East"/>
    <s v="P015"/>
    <s v="Vacuum Cleaner"/>
    <x v="0"/>
    <n v="1"/>
    <n v="9000"/>
    <n v="9000"/>
  </r>
  <r>
    <n v="10897"/>
    <d v="2025-07-11T00:00:00"/>
    <s v="C022"/>
    <s v="Customer_22"/>
    <s v="Guwahati"/>
    <s v="East"/>
    <s v="P029"/>
    <s v="Sunglasses"/>
    <x v="1"/>
    <n v="1"/>
    <n v="2000"/>
    <n v="2000"/>
  </r>
  <r>
    <n v="10898"/>
    <d v="2025-03-16T00:00:00"/>
    <s v="C006"/>
    <s v="Customer_06"/>
    <s v="Guwahati"/>
    <s v="East"/>
    <s v="P005"/>
    <s v="Tablet Pro"/>
    <x v="2"/>
    <n v="1"/>
    <n v="28000"/>
    <n v="28000"/>
  </r>
  <r>
    <n v="10899"/>
    <d v="2025-10-11T00:00:00"/>
    <s v="C065"/>
    <s v="Customer_65"/>
    <s v="Delhi"/>
    <s v="North"/>
    <s v="P008"/>
    <s v="Headphones Pro"/>
    <x v="2"/>
    <n v="1"/>
    <n v="4500"/>
    <n v="4500"/>
  </r>
  <r>
    <n v="10900"/>
    <d v="2025-05-11T00:00:00"/>
    <s v="C059"/>
    <s v="Customer_59"/>
    <s v="Ahmedabad"/>
    <s v="West"/>
    <s v="P006"/>
    <s v="Monitor 24"/>
    <x v="2"/>
    <n v="3"/>
    <n v="12000"/>
    <n v="36000"/>
  </r>
  <r>
    <n v="10901"/>
    <d v="2025-04-27T00:00:00"/>
    <s v="C057"/>
    <s v="Customer_57"/>
    <s v="Mumbai"/>
    <s v="West"/>
    <s v="P009"/>
    <s v="Wireless Earbuds"/>
    <x v="2"/>
    <n v="2"/>
    <n v="2500"/>
    <n v="5000"/>
  </r>
  <r>
    <n v="10902"/>
    <d v="2025-01-07T00:00:00"/>
    <s v="C056"/>
    <s v="Customer_56"/>
    <s v="Patna"/>
    <s v="East"/>
    <s v="P009"/>
    <s v="Wireless Earbuds"/>
    <x v="2"/>
    <n v="2"/>
    <n v="2500"/>
    <n v="5000"/>
  </r>
  <r>
    <n v="10903"/>
    <d v="2025-08-15T00:00:00"/>
    <s v="C024"/>
    <s v="Customer_24"/>
    <s v="Patna"/>
    <s v="East"/>
    <s v="P020"/>
    <s v="T-Shirt"/>
    <x v="3"/>
    <n v="2"/>
    <n v="1600"/>
    <n v="3200"/>
  </r>
  <r>
    <n v="10904"/>
    <d v="2025-05-09T00:00:00"/>
    <s v="C058"/>
    <s v="Customer_58"/>
    <s v="Pune"/>
    <s v="West"/>
    <s v="P008"/>
    <s v="Headphones Pro"/>
    <x v="2"/>
    <n v="1"/>
    <n v="4500"/>
    <n v="4500"/>
  </r>
  <r>
    <n v="10905"/>
    <d v="2025-10-26T00:00:00"/>
    <s v="C039"/>
    <s v="Customer_39"/>
    <s v="Bhubaneswar"/>
    <s v="East"/>
    <s v="P006"/>
    <s v="Monitor 24"/>
    <x v="2"/>
    <n v="2"/>
    <n v="12000"/>
    <n v="24000"/>
  </r>
  <r>
    <n v="10906"/>
    <d v="2025-08-11T00:00:00"/>
    <s v="C037"/>
    <s v="Customer_37"/>
    <s v="Kolkata"/>
    <s v="East"/>
    <s v="P008"/>
    <s v="Headphones Pro"/>
    <x v="2"/>
    <n v="1"/>
    <n v="4500"/>
    <n v="4500"/>
  </r>
  <r>
    <n v="10907"/>
    <d v="2025-02-06T00:00:00"/>
    <s v="C061"/>
    <s v="Customer_61"/>
    <s v="Bengaluru"/>
    <s v="South"/>
    <s v="P026"/>
    <s v="Backpack"/>
    <x v="1"/>
    <n v="2"/>
    <n v="2400"/>
    <n v="4800"/>
  </r>
  <r>
    <n v="10908"/>
    <d v="2025-08-08T00:00:00"/>
    <s v="C070"/>
    <s v="Customer_70"/>
    <s v="Guwahati"/>
    <s v="East"/>
    <s v="P001"/>
    <s v="Laptop Pro"/>
    <x v="2"/>
    <n v="1"/>
    <n v="65000"/>
    <n v="65000"/>
  </r>
  <r>
    <n v="10909"/>
    <d v="2025-01-26T00:00:00"/>
    <s v="C018"/>
    <s v="Customer_18"/>
    <s v="Jaipur"/>
    <s v="North"/>
    <s v="P007"/>
    <s v="Monitor 27"/>
    <x v="2"/>
    <n v="1"/>
    <n v="18000"/>
    <n v="18000"/>
  </r>
  <r>
    <n v="10910"/>
    <d v="2025-02-16T00:00:00"/>
    <s v="C037"/>
    <s v="Customer_37"/>
    <s v="Kolkata"/>
    <s v="East"/>
    <s v="P021"/>
    <s v="Formal Shirt"/>
    <x v="3"/>
    <n v="1"/>
    <n v="2400"/>
    <n v="2400"/>
  </r>
  <r>
    <n v="10911"/>
    <d v="2025-05-17T00:00:00"/>
    <s v="C041"/>
    <s v="Customer_41"/>
    <s v="Mumbai"/>
    <s v="West"/>
    <s v="P001"/>
    <s v="Laptop Pro"/>
    <x v="2"/>
    <n v="3"/>
    <n v="65000"/>
    <n v="195000"/>
  </r>
  <r>
    <n v="10912"/>
    <d v="2025-01-27T00:00:00"/>
    <s v="C046"/>
    <s v="Customer_46"/>
    <s v="Chennai"/>
    <s v="South"/>
    <s v="P007"/>
    <s v="Monitor 27"/>
    <x v="2"/>
    <n v="4"/>
    <n v="18000"/>
    <n v="72000"/>
  </r>
  <r>
    <n v="10913"/>
    <d v="2025-09-14T00:00:00"/>
    <s v="C027"/>
    <s v="Customer_27"/>
    <s v="Ahmedabad"/>
    <s v="West"/>
    <s v="P004"/>
    <s v="Smartphone Y"/>
    <x v="2"/>
    <n v="1"/>
    <n v="22000"/>
    <n v="22000"/>
  </r>
  <r>
    <n v="10914"/>
    <d v="2025-02-24T00:00:00"/>
    <s v="C037"/>
    <s v="Customer_37"/>
    <s v="Kolkata"/>
    <s v="East"/>
    <s v="P009"/>
    <s v="Wireless Earbuds"/>
    <x v="2"/>
    <n v="2"/>
    <n v="2500"/>
    <n v="5000"/>
  </r>
  <r>
    <n v="10915"/>
    <d v="2025-06-15T00:00:00"/>
    <s v="C056"/>
    <s v="Customer_56"/>
    <s v="Patna"/>
    <s v="East"/>
    <s v="P022"/>
    <s v="Jacket"/>
    <x v="3"/>
    <n v="2"/>
    <n v="4800"/>
    <n v="9600"/>
  </r>
  <r>
    <n v="10916"/>
    <d v="2025-06-22T00:00:00"/>
    <s v="C008"/>
    <s v="Customer_08"/>
    <s v="Patna"/>
    <s v="East"/>
    <s v="P022"/>
    <s v="Jacket"/>
    <x v="3"/>
    <n v="1"/>
    <n v="4800"/>
    <n v="4800"/>
  </r>
  <r>
    <n v="10917"/>
    <d v="2025-02-13T00:00:00"/>
    <s v="C057"/>
    <s v="Customer_57"/>
    <s v="Mumbai"/>
    <s v="West"/>
    <s v="P001"/>
    <s v="Laptop Pro"/>
    <x v="2"/>
    <n v="3"/>
    <n v="65000"/>
    <n v="195000"/>
  </r>
  <r>
    <n v="10918"/>
    <d v="2025-05-14T00:00:00"/>
    <s v="C015"/>
    <s v="Customer_15"/>
    <s v="Hyderabad"/>
    <s v="South"/>
    <s v="P002"/>
    <s v="Laptop Air"/>
    <x v="2"/>
    <n v="1"/>
    <n v="52000"/>
    <n v="52000"/>
  </r>
  <r>
    <n v="10919"/>
    <d v="2025-06-16T00:00:00"/>
    <s v="C047"/>
    <s v="Customer_47"/>
    <s v="Hyderabad"/>
    <s v="South"/>
    <s v="P008"/>
    <s v="Headphones Pro"/>
    <x v="2"/>
    <n v="2"/>
    <n v="4500"/>
    <n v="9000"/>
  </r>
  <r>
    <n v="10920"/>
    <d v="2025-02-20T00:00:00"/>
    <s v="C056"/>
    <s v="Customer_56"/>
    <s v="Patna"/>
    <s v="East"/>
    <s v="P020"/>
    <s v="T-Shirt"/>
    <x v="3"/>
    <n v="2"/>
    <n v="1600"/>
    <n v="3200"/>
  </r>
  <r>
    <n v="10921"/>
    <d v="2025-04-16T00:00:00"/>
    <s v="C032"/>
    <s v="Customer_32"/>
    <s v="Kochi"/>
    <s v="South"/>
    <s v="P012"/>
    <s v="Mixer Grinder"/>
    <x v="0"/>
    <n v="1"/>
    <n v="5000"/>
    <n v="5000"/>
  </r>
  <r>
    <n v="10922"/>
    <d v="2025-05-10T00:00:00"/>
    <s v="C060"/>
    <s v="Customer_60"/>
    <s v="Surat"/>
    <s v="West"/>
    <s v="P011"/>
    <s v="Air Fryer"/>
    <x v="0"/>
    <n v="1"/>
    <n v="6500"/>
    <n v="6500"/>
  </r>
  <r>
    <n v="10923"/>
    <d v="2025-05-13T00:00:00"/>
    <s v="C043"/>
    <s v="Customer_43"/>
    <s v="Ahmedabad"/>
    <s v="West"/>
    <s v="P015"/>
    <s v="Vacuum Cleaner"/>
    <x v="0"/>
    <n v="1"/>
    <n v="9000"/>
    <n v="9000"/>
  </r>
  <r>
    <n v="10924"/>
    <d v="2025-09-06T00:00:00"/>
    <s v="C024"/>
    <s v="Customer_24"/>
    <s v="Patna"/>
    <s v="East"/>
    <s v="P030"/>
    <s v="Travel Bag"/>
    <x v="1"/>
    <n v="1"/>
    <n v="3500"/>
    <n v="3500"/>
  </r>
  <r>
    <n v="10925"/>
    <d v="2025-07-15T00:00:00"/>
    <s v="C001"/>
    <s v="Customer_01"/>
    <s v="Delhi"/>
    <s v="North"/>
    <s v="P024"/>
    <s v="Hoodie"/>
    <x v="3"/>
    <n v="1"/>
    <n v="3000"/>
    <n v="3000"/>
  </r>
  <r>
    <n v="10926"/>
    <d v="2025-04-16T00:00:00"/>
    <s v="C070"/>
    <s v="Customer_70"/>
    <s v="Guwahati"/>
    <s v="East"/>
    <s v="P030"/>
    <s v="Travel Bag"/>
    <x v="1"/>
    <n v="2"/>
    <n v="3500"/>
    <n v="7000"/>
  </r>
  <r>
    <n v="10927"/>
    <d v="2025-03-09T00:00:00"/>
    <s v="C063"/>
    <s v="Customer_63"/>
    <s v="Hyderabad"/>
    <s v="South"/>
    <s v="P008"/>
    <s v="Headphones Pro"/>
    <x v="2"/>
    <n v="3"/>
    <n v="4500"/>
    <n v="13500"/>
  </r>
  <r>
    <n v="10928"/>
    <d v="2025-01-30T00:00:00"/>
    <s v="C011"/>
    <s v="Customer_11"/>
    <s v="Ahmedabad"/>
    <s v="West"/>
    <s v="P009"/>
    <s v="Wireless Earbuds"/>
    <x v="2"/>
    <n v="1"/>
    <n v="2500"/>
    <n v="2500"/>
  </r>
  <r>
    <n v="10929"/>
    <d v="2025-09-23T00:00:00"/>
    <s v="C069"/>
    <s v="Customer_69"/>
    <s v="Kolkata"/>
    <s v="East"/>
    <s v="P030"/>
    <s v="Travel Bag"/>
    <x v="1"/>
    <n v="1"/>
    <n v="3500"/>
    <n v="3500"/>
  </r>
  <r>
    <n v="10930"/>
    <d v="2025-11-26T00:00:00"/>
    <s v="C011"/>
    <s v="Customer_11"/>
    <s v="Ahmedabad"/>
    <s v="West"/>
    <s v="P029"/>
    <s v="Sunglasses"/>
    <x v="1"/>
    <n v="2"/>
    <n v="2000"/>
    <n v="4000"/>
  </r>
  <r>
    <n v="10931"/>
    <d v="2025-07-27T00:00:00"/>
    <s v="C071"/>
    <s v="Customer_71"/>
    <s v="Bhubaneswar"/>
    <s v="East"/>
    <s v="P030"/>
    <s v="Travel Bag"/>
    <x v="1"/>
    <n v="2"/>
    <n v="3500"/>
    <n v="7000"/>
  </r>
  <r>
    <n v="10932"/>
    <d v="2025-06-09T00:00:00"/>
    <s v="C034"/>
    <s v="Customer_34"/>
    <s v="Jaipur"/>
    <s v="North"/>
    <s v="P019"/>
    <s v="Jeans"/>
    <x v="3"/>
    <n v="3"/>
    <n v="3200"/>
    <n v="9600"/>
  </r>
  <r>
    <n v="10933"/>
    <d v="2025-08-30T00:00:00"/>
    <s v="C058"/>
    <s v="Customer_58"/>
    <s v="Pune"/>
    <s v="West"/>
    <s v="P025"/>
    <s v="Dress"/>
    <x v="3"/>
    <n v="2"/>
    <n v="3800"/>
    <n v="7600"/>
  </r>
  <r>
    <n v="10934"/>
    <d v="2025-05-07T00:00:00"/>
    <s v="C053"/>
    <s v="Customer_53"/>
    <s v="Kolkata"/>
    <s v="East"/>
    <s v="P021"/>
    <s v="Formal Shirt"/>
    <x v="3"/>
    <n v="3"/>
    <n v="2400"/>
    <n v="7200"/>
  </r>
  <r>
    <n v="10935"/>
    <d v="2025-08-13T00:00:00"/>
    <s v="C011"/>
    <s v="Customer_11"/>
    <s v="Ahmedabad"/>
    <s v="West"/>
    <s v="P014"/>
    <s v="Microwave"/>
    <x v="0"/>
    <n v="4"/>
    <n v="11000"/>
    <n v="44000"/>
  </r>
  <r>
    <n v="10936"/>
    <d v="2025-05-15T00:00:00"/>
    <s v="C075"/>
    <s v="Customer_75"/>
    <s v="Ahmedabad"/>
    <s v="West"/>
    <s v="P030"/>
    <s v="Travel Bag"/>
    <x v="1"/>
    <n v="1"/>
    <n v="3500"/>
    <n v="3500"/>
  </r>
  <r>
    <n v="10937"/>
    <d v="2025-03-08T00:00:00"/>
    <s v="C028"/>
    <s v="Customer_28"/>
    <s v="Surat"/>
    <s v="West"/>
    <s v="P009"/>
    <s v="Wireless Earbuds"/>
    <x v="2"/>
    <n v="1"/>
    <n v="2500"/>
    <n v="2500"/>
  </r>
  <r>
    <n v="10938"/>
    <d v="2025-12-14T00:00:00"/>
    <s v="C074"/>
    <s v="Customer_74"/>
    <s v="Pune"/>
    <s v="West"/>
    <s v="P014"/>
    <s v="Microwave"/>
    <x v="0"/>
    <n v="1"/>
    <n v="11000"/>
    <n v="11000"/>
  </r>
  <r>
    <n v="10939"/>
    <d v="2025-04-30T00:00:00"/>
    <s v="C037"/>
    <s v="Customer_37"/>
    <s v="Kolkata"/>
    <s v="East"/>
    <s v="P010"/>
    <s v="Keyboard"/>
    <x v="2"/>
    <n v="1"/>
    <n v="2200"/>
    <n v="2200"/>
  </r>
  <r>
    <n v="10940"/>
    <d v="2025-03-04T00:00:00"/>
    <s v="C068"/>
    <s v="Customer_68"/>
    <s v="Chandigarh"/>
    <s v="North"/>
    <s v="P015"/>
    <s v="Vacuum Cleaner"/>
    <x v="0"/>
    <n v="1"/>
    <n v="9000"/>
    <n v="9000"/>
  </r>
  <r>
    <n v="10941"/>
    <d v="2025-04-23T00:00:00"/>
    <s v="C056"/>
    <s v="Customer_56"/>
    <s v="Patna"/>
    <s v="East"/>
    <s v="P017"/>
    <s v="Water Purifier"/>
    <x v="0"/>
    <n v="1"/>
    <n v="15000"/>
    <n v="15000"/>
  </r>
  <r>
    <n v="10942"/>
    <d v="2025-10-04T00:00:00"/>
    <s v="C050"/>
    <s v="Customer_50"/>
    <s v="Jaipur"/>
    <s v="North"/>
    <s v="P002"/>
    <s v="Laptop Air"/>
    <x v="2"/>
    <n v="2"/>
    <n v="52000"/>
    <n v="104000"/>
  </r>
  <r>
    <n v="10943"/>
    <d v="2025-06-05T00:00:00"/>
    <s v="C031"/>
    <s v="Customer_31"/>
    <s v="Hyderabad"/>
    <s v="South"/>
    <s v="P024"/>
    <s v="Hoodie"/>
    <x v="3"/>
    <n v="1"/>
    <n v="3000"/>
    <n v="3000"/>
  </r>
  <r>
    <n v="10944"/>
    <d v="2025-04-11T00:00:00"/>
    <s v="C018"/>
    <s v="Customer_18"/>
    <s v="Jaipur"/>
    <s v="North"/>
    <s v="P025"/>
    <s v="Dress"/>
    <x v="3"/>
    <n v="1"/>
    <n v="3800"/>
    <n v="3800"/>
  </r>
  <r>
    <n v="10945"/>
    <d v="2025-04-24T00:00:00"/>
    <s v="C012"/>
    <s v="Customer_12"/>
    <s v="Surat"/>
    <s v="West"/>
    <s v="P008"/>
    <s v="Headphones Pro"/>
    <x v="2"/>
    <n v="2"/>
    <n v="4500"/>
    <n v="9000"/>
  </r>
  <r>
    <n v="10946"/>
    <d v="2025-06-06T00:00:00"/>
    <s v="C018"/>
    <s v="Customer_18"/>
    <s v="Jaipur"/>
    <s v="North"/>
    <s v="P007"/>
    <s v="Monitor 27"/>
    <x v="2"/>
    <n v="3"/>
    <n v="18000"/>
    <n v="54000"/>
  </r>
  <r>
    <n v="10947"/>
    <d v="2025-07-01T00:00:00"/>
    <s v="C063"/>
    <s v="Customer_63"/>
    <s v="Hyderabad"/>
    <s v="South"/>
    <s v="P014"/>
    <s v="Microwave"/>
    <x v="0"/>
    <n v="4"/>
    <n v="11000"/>
    <n v="44000"/>
  </r>
  <r>
    <n v="10948"/>
    <d v="2025-01-08T00:00:00"/>
    <s v="C063"/>
    <s v="Customer_63"/>
    <s v="Hyderabad"/>
    <s v="South"/>
    <s v="P020"/>
    <s v="T-Shirt"/>
    <x v="3"/>
    <n v="4"/>
    <n v="1600"/>
    <n v="6400"/>
  </r>
  <r>
    <n v="10949"/>
    <d v="2025-04-21T00:00:00"/>
    <s v="C009"/>
    <s v="Customer_09"/>
    <s v="Mumbai"/>
    <s v="West"/>
    <s v="P002"/>
    <s v="Laptop Air"/>
    <x v="2"/>
    <n v="1"/>
    <n v="52000"/>
    <n v="52000"/>
  </r>
  <r>
    <n v="10950"/>
    <d v="2025-04-13T00:00:00"/>
    <s v="C068"/>
    <s v="Customer_68"/>
    <s v="Chandigarh"/>
    <s v="North"/>
    <s v="P014"/>
    <s v="Microwave"/>
    <x v="0"/>
    <n v="2"/>
    <n v="11000"/>
    <n v="22000"/>
  </r>
  <r>
    <n v="10951"/>
    <d v="2025-02-07T00:00:00"/>
    <s v="C052"/>
    <s v="Customer_52"/>
    <s v="Chandigarh"/>
    <s v="North"/>
    <s v="P008"/>
    <s v="Headphones Pro"/>
    <x v="2"/>
    <n v="2"/>
    <n v="4500"/>
    <n v="9000"/>
  </r>
  <r>
    <n v="10952"/>
    <d v="2025-08-02T00:00:00"/>
    <s v="C058"/>
    <s v="Customer_58"/>
    <s v="Pune"/>
    <s v="West"/>
    <s v="P015"/>
    <s v="Vacuum Cleaner"/>
    <x v="0"/>
    <n v="2"/>
    <n v="9000"/>
    <n v="18000"/>
  </r>
  <r>
    <n v="10953"/>
    <d v="2025-04-12T00:00:00"/>
    <s v="C006"/>
    <s v="Customer_06"/>
    <s v="Guwahati"/>
    <s v="East"/>
    <s v="P009"/>
    <s v="Wireless Earbuds"/>
    <x v="2"/>
    <n v="2"/>
    <n v="2500"/>
    <n v="5000"/>
  </r>
  <r>
    <n v="10954"/>
    <d v="2025-04-13T00:00:00"/>
    <s v="C057"/>
    <s v="Customer_57"/>
    <s v="Mumbai"/>
    <s v="West"/>
    <s v="P023"/>
    <s v="Sneakers"/>
    <x v="3"/>
    <n v="1"/>
    <n v="4200"/>
    <n v="4200"/>
  </r>
  <r>
    <n v="10955"/>
    <d v="2025-01-19T00:00:00"/>
    <s v="C043"/>
    <s v="Customer_43"/>
    <s v="Ahmedabad"/>
    <s v="West"/>
    <s v="P012"/>
    <s v="Mixer Grinder"/>
    <x v="0"/>
    <n v="2"/>
    <n v="5000"/>
    <n v="10000"/>
  </r>
  <r>
    <n v="10956"/>
    <d v="2025-02-24T00:00:00"/>
    <s v="C069"/>
    <s v="Customer_69"/>
    <s v="Kolkata"/>
    <s v="East"/>
    <s v="P004"/>
    <s v="Smartphone Y"/>
    <x v="2"/>
    <n v="2"/>
    <n v="22000"/>
    <n v="44000"/>
  </r>
  <r>
    <n v="10957"/>
    <d v="2025-09-01T00:00:00"/>
    <s v="C023"/>
    <s v="Customer_23"/>
    <s v="Bhubaneswar"/>
    <s v="East"/>
    <s v="P008"/>
    <s v="Headphones Pro"/>
    <x v="2"/>
    <n v="2"/>
    <n v="4500"/>
    <n v="9000"/>
  </r>
  <r>
    <n v="10958"/>
    <d v="2025-09-11T00:00:00"/>
    <s v="C065"/>
    <s v="Customer_65"/>
    <s v="Delhi"/>
    <s v="North"/>
    <s v="P004"/>
    <s v="Smartphone Y"/>
    <x v="2"/>
    <n v="2"/>
    <n v="22000"/>
    <n v="44000"/>
  </r>
  <r>
    <n v="10959"/>
    <d v="2025-03-19T00:00:00"/>
    <s v="C022"/>
    <s v="Customer_22"/>
    <s v="Guwahati"/>
    <s v="East"/>
    <s v="P029"/>
    <s v="Sunglasses"/>
    <x v="1"/>
    <n v="1"/>
    <n v="2000"/>
    <n v="2000"/>
  </r>
  <r>
    <n v="10960"/>
    <d v="2025-03-07T00:00:00"/>
    <s v="C008"/>
    <s v="Customer_08"/>
    <s v="Patna"/>
    <s v="East"/>
    <s v="P004"/>
    <s v="Smartphone Y"/>
    <x v="2"/>
    <n v="2"/>
    <n v="22000"/>
    <n v="44000"/>
  </r>
  <r>
    <n v="10961"/>
    <d v="2025-10-03T00:00:00"/>
    <s v="C058"/>
    <s v="Customer_58"/>
    <s v="Pune"/>
    <s v="West"/>
    <s v="P025"/>
    <s v="Dress"/>
    <x v="3"/>
    <n v="4"/>
    <n v="3800"/>
    <n v="15200"/>
  </r>
  <r>
    <n v="10962"/>
    <d v="2025-02-14T00:00:00"/>
    <s v="C038"/>
    <s v="Customer_38"/>
    <s v="Guwahati"/>
    <s v="East"/>
    <s v="P025"/>
    <s v="Dress"/>
    <x v="3"/>
    <n v="1"/>
    <n v="3800"/>
    <n v="3800"/>
  </r>
  <r>
    <n v="10963"/>
    <d v="2025-03-18T00:00:00"/>
    <s v="C039"/>
    <s v="Customer_39"/>
    <s v="Bhubaneswar"/>
    <s v="East"/>
    <s v="P016"/>
    <s v="Electric Kettle"/>
    <x v="0"/>
    <n v="4"/>
    <n v="2200"/>
    <n v="8800"/>
  </r>
  <r>
    <n v="10964"/>
    <d v="2025-12-14T00:00:00"/>
    <s v="C058"/>
    <s v="Customer_58"/>
    <s v="Pune"/>
    <s v="West"/>
    <s v="P029"/>
    <s v="Sunglasses"/>
    <x v="1"/>
    <n v="2"/>
    <n v="2000"/>
    <n v="4000"/>
  </r>
  <r>
    <n v="10965"/>
    <d v="2025-06-10T00:00:00"/>
    <s v="C017"/>
    <s v="Customer_17"/>
    <s v="Delhi"/>
    <s v="North"/>
    <s v="P028"/>
    <s v="Wallet"/>
    <x v="1"/>
    <n v="1"/>
    <n v="1400"/>
    <n v="1400"/>
  </r>
  <r>
    <n v="10966"/>
    <d v="2025-07-11T00:00:00"/>
    <s v="C008"/>
    <s v="Customer_08"/>
    <s v="Patna"/>
    <s v="East"/>
    <s v="P011"/>
    <s v="Air Fryer"/>
    <x v="0"/>
    <n v="1"/>
    <n v="6500"/>
    <n v="6500"/>
  </r>
  <r>
    <n v="10967"/>
    <d v="2025-05-09T00:00:00"/>
    <s v="C071"/>
    <s v="Customer_71"/>
    <s v="Bhubaneswar"/>
    <s v="East"/>
    <s v="P005"/>
    <s v="Tablet Pro"/>
    <x v="2"/>
    <n v="2"/>
    <n v="28000"/>
    <n v="56000"/>
  </r>
  <r>
    <n v="10968"/>
    <d v="2025-10-12T00:00:00"/>
    <s v="C063"/>
    <s v="Customer_63"/>
    <s v="Hyderabad"/>
    <s v="South"/>
    <s v="P006"/>
    <s v="Monitor 24"/>
    <x v="2"/>
    <n v="2"/>
    <n v="12000"/>
    <n v="24000"/>
  </r>
  <r>
    <n v="10969"/>
    <d v="2025-07-15T00:00:00"/>
    <s v="C023"/>
    <s v="Customer_23"/>
    <s v="Bhubaneswar"/>
    <s v="East"/>
    <s v="P021"/>
    <s v="Formal Shirt"/>
    <x v="3"/>
    <n v="2"/>
    <n v="2400"/>
    <n v="4800"/>
  </r>
  <r>
    <n v="10970"/>
    <d v="2025-05-24T00:00:00"/>
    <s v="C047"/>
    <s v="Customer_47"/>
    <s v="Hyderabad"/>
    <s v="South"/>
    <s v="P007"/>
    <s v="Monitor 27"/>
    <x v="2"/>
    <n v="2"/>
    <n v="18000"/>
    <n v="36000"/>
  </r>
  <r>
    <n v="10971"/>
    <d v="2025-09-25T00:00:00"/>
    <s v="C024"/>
    <s v="Customer_24"/>
    <s v="Patna"/>
    <s v="East"/>
    <s v="P015"/>
    <s v="Vacuum Cleaner"/>
    <x v="0"/>
    <n v="2"/>
    <n v="9000"/>
    <n v="18000"/>
  </r>
  <r>
    <n v="10972"/>
    <d v="2025-11-13T00:00:00"/>
    <s v="C053"/>
    <s v="Customer_53"/>
    <s v="Kolkata"/>
    <s v="East"/>
    <s v="P002"/>
    <s v="Laptop Air"/>
    <x v="2"/>
    <n v="4"/>
    <n v="52000"/>
    <n v="208000"/>
  </r>
  <r>
    <n v="10973"/>
    <d v="2025-12-14T00:00:00"/>
    <s v="C072"/>
    <s v="Customer_72"/>
    <s v="Patna"/>
    <s v="East"/>
    <s v="P011"/>
    <s v="Air Fryer"/>
    <x v="0"/>
    <n v="1"/>
    <n v="6500"/>
    <n v="6500"/>
  </r>
  <r>
    <n v="10974"/>
    <d v="2025-08-26T00:00:00"/>
    <s v="C050"/>
    <s v="Customer_50"/>
    <s v="Jaipur"/>
    <s v="North"/>
    <s v="P003"/>
    <s v="Smartphone X"/>
    <x v="2"/>
    <n v="1"/>
    <n v="30000"/>
    <n v="30000"/>
  </r>
  <r>
    <n v="10975"/>
    <d v="2025-03-16T00:00:00"/>
    <s v="C052"/>
    <s v="Customer_52"/>
    <s v="Chandigarh"/>
    <s v="North"/>
    <s v="P024"/>
    <s v="Hoodie"/>
    <x v="3"/>
    <n v="1"/>
    <n v="3000"/>
    <n v="3000"/>
  </r>
  <r>
    <n v="10976"/>
    <d v="2025-04-26T00:00:00"/>
    <s v="C062"/>
    <s v="Customer_62"/>
    <s v="Chennai"/>
    <s v="South"/>
    <s v="P027"/>
    <s v="Watch"/>
    <x v="1"/>
    <n v="1"/>
    <n v="5500"/>
    <n v="5500"/>
  </r>
  <r>
    <n v="10977"/>
    <d v="2025-11-26T00:00:00"/>
    <s v="C074"/>
    <s v="Customer_74"/>
    <s v="Pune"/>
    <s v="West"/>
    <s v="P009"/>
    <s v="Wireless Earbuds"/>
    <x v="2"/>
    <n v="3"/>
    <n v="2500"/>
    <n v="7500"/>
  </r>
  <r>
    <n v="10978"/>
    <d v="2025-08-25T00:00:00"/>
    <s v="C013"/>
    <s v="Customer_13"/>
    <s v="Bengaluru"/>
    <s v="South"/>
    <s v="P023"/>
    <s v="Sneakers"/>
    <x v="3"/>
    <n v="4"/>
    <n v="4200"/>
    <n v="16800"/>
  </r>
  <r>
    <n v="10979"/>
    <d v="2025-08-15T00:00:00"/>
    <s v="C064"/>
    <s v="Customer_64"/>
    <s v="Kochi"/>
    <s v="South"/>
    <s v="P030"/>
    <s v="Travel Bag"/>
    <x v="1"/>
    <n v="1"/>
    <n v="3500"/>
    <n v="3500"/>
  </r>
  <r>
    <n v="10980"/>
    <d v="2025-08-06T00:00:00"/>
    <s v="C061"/>
    <s v="Customer_61"/>
    <s v="Bengaluru"/>
    <s v="South"/>
    <s v="P004"/>
    <s v="Smartphone Y"/>
    <x v="2"/>
    <n v="1"/>
    <n v="22000"/>
    <n v="22000"/>
  </r>
  <r>
    <n v="10981"/>
    <d v="2025-03-22T00:00:00"/>
    <s v="C046"/>
    <s v="Customer_46"/>
    <s v="Chennai"/>
    <s v="South"/>
    <s v="P006"/>
    <s v="Monitor 24"/>
    <x v="2"/>
    <n v="5"/>
    <n v="12000"/>
    <n v="60000"/>
  </r>
  <r>
    <n v="10982"/>
    <d v="2025-06-20T00:00:00"/>
    <s v="C041"/>
    <s v="Customer_41"/>
    <s v="Mumbai"/>
    <s v="West"/>
    <s v="P016"/>
    <s v="Electric Kettle"/>
    <x v="0"/>
    <n v="1"/>
    <n v="2200"/>
    <n v="2200"/>
  </r>
  <r>
    <n v="10983"/>
    <d v="2025-10-01T00:00:00"/>
    <s v="C064"/>
    <s v="Customer_64"/>
    <s v="Kochi"/>
    <s v="South"/>
    <s v="P006"/>
    <s v="Monitor 24"/>
    <x v="2"/>
    <n v="2"/>
    <n v="12000"/>
    <n v="24000"/>
  </r>
  <r>
    <n v="10984"/>
    <d v="2025-07-14T00:00:00"/>
    <s v="C037"/>
    <s v="Customer_37"/>
    <s v="Kolkata"/>
    <s v="East"/>
    <s v="P007"/>
    <s v="Monitor 27"/>
    <x v="2"/>
    <n v="1"/>
    <n v="18000"/>
    <n v="18000"/>
  </r>
  <r>
    <n v="10985"/>
    <d v="2025-10-10T00:00:00"/>
    <s v="C070"/>
    <s v="Customer_70"/>
    <s v="Guwahati"/>
    <s v="East"/>
    <s v="P027"/>
    <s v="Watch"/>
    <x v="1"/>
    <n v="2"/>
    <n v="5500"/>
    <n v="11000"/>
  </r>
  <r>
    <n v="10986"/>
    <d v="2025-10-02T00:00:00"/>
    <s v="C023"/>
    <s v="Customer_23"/>
    <s v="Bhubaneswar"/>
    <s v="East"/>
    <s v="P017"/>
    <s v="Water Purifier"/>
    <x v="0"/>
    <n v="3"/>
    <n v="15000"/>
    <n v="45000"/>
  </r>
  <r>
    <n v="10987"/>
    <d v="2025-05-07T00:00:00"/>
    <s v="C052"/>
    <s v="Customer_52"/>
    <s v="Chandigarh"/>
    <s v="North"/>
    <s v="P014"/>
    <s v="Microwave"/>
    <x v="0"/>
    <n v="2"/>
    <n v="11000"/>
    <n v="22000"/>
  </r>
  <r>
    <n v="10988"/>
    <d v="2025-12-01T00:00:00"/>
    <s v="C032"/>
    <s v="Customer_32"/>
    <s v="Kochi"/>
    <s v="South"/>
    <s v="P004"/>
    <s v="Smartphone Y"/>
    <x v="2"/>
    <n v="4"/>
    <n v="22000"/>
    <n v="88000"/>
  </r>
  <r>
    <n v="10989"/>
    <d v="2025-11-10T00:00:00"/>
    <s v="C001"/>
    <s v="Customer_01"/>
    <s v="Delhi"/>
    <s v="North"/>
    <s v="P004"/>
    <s v="Smartphone Y"/>
    <x v="2"/>
    <n v="1"/>
    <n v="22000"/>
    <n v="22000"/>
  </r>
  <r>
    <n v="10990"/>
    <d v="2025-03-20T00:00:00"/>
    <s v="C054"/>
    <s v="Customer_54"/>
    <s v="Guwahati"/>
    <s v="East"/>
    <s v="P001"/>
    <s v="Laptop Pro"/>
    <x v="2"/>
    <n v="2"/>
    <n v="65000"/>
    <n v="130000"/>
  </r>
  <r>
    <n v="10991"/>
    <d v="2025-06-14T00:00:00"/>
    <s v="C036"/>
    <s v="Customer_36"/>
    <s v="Chandigarh"/>
    <s v="North"/>
    <s v="P028"/>
    <s v="Wallet"/>
    <x v="1"/>
    <n v="1"/>
    <n v="1400"/>
    <n v="1400"/>
  </r>
  <r>
    <n v="10992"/>
    <d v="2025-05-31T00:00:00"/>
    <s v="C038"/>
    <s v="Customer_38"/>
    <s v="Guwahati"/>
    <s v="East"/>
    <s v="P002"/>
    <s v="Laptop Air"/>
    <x v="2"/>
    <n v="1"/>
    <n v="52000"/>
    <n v="52000"/>
  </r>
  <r>
    <n v="10993"/>
    <d v="2025-04-08T00:00:00"/>
    <s v="C063"/>
    <s v="Customer_63"/>
    <s v="Hyderabad"/>
    <s v="South"/>
    <s v="P024"/>
    <s v="Hoodie"/>
    <x v="3"/>
    <n v="1"/>
    <n v="3000"/>
    <n v="3000"/>
  </r>
  <r>
    <n v="10994"/>
    <d v="2025-08-31T00:00:00"/>
    <s v="C037"/>
    <s v="Customer_37"/>
    <s v="Kolkata"/>
    <s v="East"/>
    <s v="P017"/>
    <s v="Water Purifier"/>
    <x v="0"/>
    <n v="1"/>
    <n v="15000"/>
    <n v="15000"/>
  </r>
  <r>
    <n v="10995"/>
    <d v="2025-08-26T00:00:00"/>
    <s v="C052"/>
    <s v="Customer_52"/>
    <s v="Chandigarh"/>
    <s v="North"/>
    <s v="P022"/>
    <s v="Jacket"/>
    <x v="3"/>
    <n v="1"/>
    <n v="4800"/>
    <n v="4800"/>
  </r>
  <r>
    <n v="10996"/>
    <d v="2025-01-22T00:00:00"/>
    <s v="C002"/>
    <s v="Customer_02"/>
    <s v="Jaipur"/>
    <s v="North"/>
    <s v="P028"/>
    <s v="Wallet"/>
    <x v="1"/>
    <n v="2"/>
    <n v="1400"/>
    <n v="2800"/>
  </r>
  <r>
    <n v="10997"/>
    <d v="2025-06-21T00:00:00"/>
    <s v="C049"/>
    <s v="Customer_49"/>
    <s v="Delhi"/>
    <s v="North"/>
    <s v="P003"/>
    <s v="Smartphone X"/>
    <x v="2"/>
    <n v="3"/>
    <n v="30000"/>
    <n v="90000"/>
  </r>
  <r>
    <n v="10998"/>
    <d v="2025-07-29T00:00:00"/>
    <s v="C022"/>
    <s v="Customer_22"/>
    <s v="Guwahati"/>
    <s v="East"/>
    <s v="P025"/>
    <s v="Dress"/>
    <x v="3"/>
    <n v="1"/>
    <n v="3800"/>
    <n v="3800"/>
  </r>
  <r>
    <n v="10999"/>
    <d v="2025-01-24T00:00:00"/>
    <s v="C014"/>
    <s v="Customer_14"/>
    <s v="Chennai"/>
    <s v="South"/>
    <s v="P010"/>
    <s v="Keyboard"/>
    <x v="2"/>
    <n v="1"/>
    <n v="2200"/>
    <n v="2200"/>
  </r>
  <r>
    <n v="11000"/>
    <d v="2025-09-29T00:00:00"/>
    <s v="C050"/>
    <s v="Customer_50"/>
    <s v="Jaipur"/>
    <s v="North"/>
    <s v="P002"/>
    <s v="Laptop Air"/>
    <x v="2"/>
    <n v="1"/>
    <n v="52000"/>
    <n v="52000"/>
  </r>
  <r>
    <n v="11001"/>
    <d v="2025-08-03T00:00:00"/>
    <s v="C024"/>
    <s v="Customer_24"/>
    <s v="Patna"/>
    <s v="East"/>
    <s v="P007"/>
    <s v="Monitor 27"/>
    <x v="2"/>
    <n v="2"/>
    <n v="18000"/>
    <n v="36000"/>
  </r>
  <r>
    <n v="11002"/>
    <d v="2025-04-29T00:00:00"/>
    <s v="C031"/>
    <s v="Customer_31"/>
    <s v="Hyderabad"/>
    <s v="South"/>
    <s v="P021"/>
    <s v="Formal Shirt"/>
    <x v="3"/>
    <n v="1"/>
    <n v="2400"/>
    <n v="2400"/>
  </r>
  <r>
    <n v="11003"/>
    <d v="2025-04-20T00:00:00"/>
    <s v="C053"/>
    <s v="Customer_53"/>
    <s v="Kolkata"/>
    <s v="East"/>
    <s v="P007"/>
    <s v="Monitor 27"/>
    <x v="2"/>
    <n v="2"/>
    <n v="18000"/>
    <n v="36000"/>
  </r>
  <r>
    <n v="11004"/>
    <d v="2025-02-11T00:00:00"/>
    <s v="C001"/>
    <s v="Customer_01"/>
    <s v="Delhi"/>
    <s v="North"/>
    <s v="P017"/>
    <s v="Water Purifier"/>
    <x v="0"/>
    <n v="1"/>
    <n v="15000"/>
    <n v="15000"/>
  </r>
  <r>
    <n v="11005"/>
    <d v="2025-02-03T00:00:00"/>
    <s v="C006"/>
    <s v="Customer_06"/>
    <s v="Guwahati"/>
    <s v="East"/>
    <s v="P002"/>
    <s v="Laptop Air"/>
    <x v="2"/>
    <n v="1"/>
    <n v="52000"/>
    <n v="52000"/>
  </r>
  <r>
    <n v="11006"/>
    <d v="2025-11-07T00:00:00"/>
    <s v="C064"/>
    <s v="Customer_64"/>
    <s v="Kochi"/>
    <s v="South"/>
    <s v="P004"/>
    <s v="Smartphone Y"/>
    <x v="2"/>
    <n v="3"/>
    <n v="22000"/>
    <n v="66000"/>
  </r>
  <r>
    <n v="11007"/>
    <d v="2025-07-18T00:00:00"/>
    <s v="C016"/>
    <s v="Customer_16"/>
    <s v="Kochi"/>
    <s v="South"/>
    <s v="P014"/>
    <s v="Microwave"/>
    <x v="0"/>
    <n v="2"/>
    <n v="11000"/>
    <n v="22000"/>
  </r>
  <r>
    <n v="11008"/>
    <d v="2025-06-30T00:00:00"/>
    <s v="C013"/>
    <s v="Customer_13"/>
    <s v="Bengaluru"/>
    <s v="South"/>
    <s v="P016"/>
    <s v="Electric Kettle"/>
    <x v="0"/>
    <n v="1"/>
    <n v="2200"/>
    <n v="2200"/>
  </r>
  <r>
    <n v="11009"/>
    <d v="2025-04-24T00:00:00"/>
    <s v="C061"/>
    <s v="Customer_61"/>
    <s v="Bengaluru"/>
    <s v="South"/>
    <s v="P023"/>
    <s v="Sneakers"/>
    <x v="3"/>
    <n v="1"/>
    <n v="4200"/>
    <n v="4200"/>
  </r>
  <r>
    <n v="11010"/>
    <d v="2025-09-13T00:00:00"/>
    <s v="C035"/>
    <s v="Customer_35"/>
    <s v="Lucknow"/>
    <s v="North"/>
    <s v="P030"/>
    <s v="Travel Bag"/>
    <x v="1"/>
    <n v="2"/>
    <n v="3500"/>
    <n v="7000"/>
  </r>
  <r>
    <n v="11011"/>
    <d v="2025-10-06T00:00:00"/>
    <s v="C043"/>
    <s v="Customer_43"/>
    <s v="Ahmedabad"/>
    <s v="West"/>
    <s v="P001"/>
    <s v="Laptop Pro"/>
    <x v="2"/>
    <n v="1"/>
    <n v="65000"/>
    <n v="65000"/>
  </r>
  <r>
    <n v="11012"/>
    <d v="2025-02-14T00:00:00"/>
    <s v="C048"/>
    <s v="Customer_48"/>
    <s v="Kochi"/>
    <s v="South"/>
    <s v="P007"/>
    <s v="Monitor 27"/>
    <x v="2"/>
    <n v="1"/>
    <n v="18000"/>
    <n v="18000"/>
  </r>
  <r>
    <n v="11013"/>
    <d v="2025-04-21T00:00:00"/>
    <s v="C056"/>
    <s v="Customer_56"/>
    <s v="Patna"/>
    <s v="East"/>
    <s v="P007"/>
    <s v="Monitor 27"/>
    <x v="2"/>
    <n v="3"/>
    <n v="18000"/>
    <n v="54000"/>
  </r>
  <r>
    <n v="11014"/>
    <d v="2025-01-27T00:00:00"/>
    <s v="C062"/>
    <s v="Customer_62"/>
    <s v="Chennai"/>
    <s v="South"/>
    <s v="P008"/>
    <s v="Headphones Pro"/>
    <x v="2"/>
    <n v="2"/>
    <n v="4500"/>
    <n v="9000"/>
  </r>
  <r>
    <n v="11015"/>
    <d v="2025-03-09T00:00:00"/>
    <s v="C037"/>
    <s v="Customer_37"/>
    <s v="Kolkata"/>
    <s v="East"/>
    <s v="P005"/>
    <s v="Tablet Pro"/>
    <x v="2"/>
    <n v="1"/>
    <n v="28000"/>
    <n v="28000"/>
  </r>
  <r>
    <n v="11016"/>
    <d v="2025-09-20T00:00:00"/>
    <s v="C024"/>
    <s v="Customer_24"/>
    <s v="Patna"/>
    <s v="East"/>
    <s v="P007"/>
    <s v="Monitor 27"/>
    <x v="2"/>
    <n v="3"/>
    <n v="18000"/>
    <n v="54000"/>
  </r>
  <r>
    <n v="11017"/>
    <d v="2025-07-08T00:00:00"/>
    <s v="C033"/>
    <s v="Customer_33"/>
    <s v="Delhi"/>
    <s v="North"/>
    <s v="P020"/>
    <s v="T-Shirt"/>
    <x v="3"/>
    <n v="1"/>
    <n v="1600"/>
    <n v="1600"/>
  </r>
  <r>
    <n v="11018"/>
    <d v="2025-04-16T00:00:00"/>
    <s v="C003"/>
    <s v="Customer_03"/>
    <s v="Lucknow"/>
    <s v="North"/>
    <s v="P006"/>
    <s v="Monitor 24"/>
    <x v="2"/>
    <n v="1"/>
    <n v="12000"/>
    <n v="12000"/>
  </r>
  <r>
    <n v="11019"/>
    <d v="2025-01-11T00:00:00"/>
    <s v="C074"/>
    <s v="Customer_74"/>
    <s v="Pune"/>
    <s v="West"/>
    <s v="P023"/>
    <s v="Sneakers"/>
    <x v="3"/>
    <n v="2"/>
    <n v="4200"/>
    <n v="8400"/>
  </r>
  <r>
    <n v="11020"/>
    <d v="2025-11-04T00:00:00"/>
    <s v="C011"/>
    <s v="Customer_11"/>
    <s v="Ahmedabad"/>
    <s v="West"/>
    <s v="P001"/>
    <s v="Laptop Pro"/>
    <x v="2"/>
    <n v="3"/>
    <n v="65000"/>
    <n v="195000"/>
  </r>
  <r>
    <n v="11021"/>
    <d v="2025-05-28T00:00:00"/>
    <s v="C057"/>
    <s v="Customer_57"/>
    <s v="Mumbai"/>
    <s v="West"/>
    <s v="P008"/>
    <s v="Headphones Pro"/>
    <x v="2"/>
    <n v="3"/>
    <n v="4500"/>
    <n v="13500"/>
  </r>
  <r>
    <n v="11022"/>
    <d v="2025-05-24T00:00:00"/>
    <s v="C052"/>
    <s v="Customer_52"/>
    <s v="Chandigarh"/>
    <s v="North"/>
    <s v="P019"/>
    <s v="Jeans"/>
    <x v="3"/>
    <n v="1"/>
    <n v="3200"/>
    <n v="3200"/>
  </r>
  <r>
    <n v="11023"/>
    <d v="2025-05-27T00:00:00"/>
    <s v="C014"/>
    <s v="Customer_14"/>
    <s v="Chennai"/>
    <s v="South"/>
    <s v="P014"/>
    <s v="Microwave"/>
    <x v="0"/>
    <n v="1"/>
    <n v="11000"/>
    <n v="11000"/>
  </r>
  <r>
    <n v="11024"/>
    <d v="2025-06-11T00:00:00"/>
    <s v="C058"/>
    <s v="Customer_58"/>
    <s v="Pune"/>
    <s v="West"/>
    <s v="P029"/>
    <s v="Sunglasses"/>
    <x v="1"/>
    <n v="3"/>
    <n v="2000"/>
    <n v="6000"/>
  </r>
  <r>
    <n v="11025"/>
    <d v="2025-06-09T00:00:00"/>
    <s v="C009"/>
    <s v="Customer_09"/>
    <s v="Mumbai"/>
    <s v="West"/>
    <s v="P019"/>
    <s v="Jeans"/>
    <x v="3"/>
    <n v="1"/>
    <n v="3200"/>
    <n v="3200"/>
  </r>
  <r>
    <n v="11026"/>
    <d v="2025-12-27T00:00:00"/>
    <s v="C034"/>
    <s v="Customer_34"/>
    <s v="Jaipur"/>
    <s v="North"/>
    <s v="P009"/>
    <s v="Wireless Earbuds"/>
    <x v="2"/>
    <n v="2"/>
    <n v="2500"/>
    <n v="5000"/>
  </r>
  <r>
    <n v="11027"/>
    <d v="2025-02-17T00:00:00"/>
    <s v="C059"/>
    <s v="Customer_59"/>
    <s v="Ahmedabad"/>
    <s v="West"/>
    <s v="P001"/>
    <s v="Laptop Pro"/>
    <x v="2"/>
    <n v="1"/>
    <n v="65000"/>
    <n v="65000"/>
  </r>
  <r>
    <n v="11028"/>
    <d v="2025-07-02T00:00:00"/>
    <s v="C042"/>
    <s v="Customer_42"/>
    <s v="Pune"/>
    <s v="West"/>
    <s v="P004"/>
    <s v="Smartphone Y"/>
    <x v="2"/>
    <n v="1"/>
    <n v="22000"/>
    <n v="22000"/>
  </r>
  <r>
    <n v="11029"/>
    <d v="2025-11-11T00:00:00"/>
    <s v="C068"/>
    <s v="Customer_68"/>
    <s v="Chandigarh"/>
    <s v="North"/>
    <s v="P023"/>
    <s v="Sneakers"/>
    <x v="3"/>
    <n v="2"/>
    <n v="4200"/>
    <n v="8400"/>
  </r>
  <r>
    <n v="11030"/>
    <d v="2025-04-21T00:00:00"/>
    <s v="C008"/>
    <s v="Customer_08"/>
    <s v="Patna"/>
    <s v="East"/>
    <s v="P016"/>
    <s v="Electric Kettle"/>
    <x v="0"/>
    <n v="2"/>
    <n v="2200"/>
    <n v="4400"/>
  </r>
  <r>
    <n v="11031"/>
    <d v="2025-05-05T00:00:00"/>
    <s v="C003"/>
    <s v="Customer_03"/>
    <s v="Lucknow"/>
    <s v="North"/>
    <s v="P022"/>
    <s v="Jacket"/>
    <x v="3"/>
    <n v="2"/>
    <n v="4800"/>
    <n v="9600"/>
  </r>
  <r>
    <n v="11032"/>
    <d v="2025-10-11T00:00:00"/>
    <s v="C074"/>
    <s v="Customer_74"/>
    <s v="Pune"/>
    <s v="West"/>
    <s v="P012"/>
    <s v="Mixer Grinder"/>
    <x v="0"/>
    <n v="2"/>
    <n v="5000"/>
    <n v="10000"/>
  </r>
  <r>
    <n v="11033"/>
    <d v="2025-03-15T00:00:00"/>
    <s v="C056"/>
    <s v="Customer_56"/>
    <s v="Patna"/>
    <s v="East"/>
    <s v="P028"/>
    <s v="Wallet"/>
    <x v="1"/>
    <n v="2"/>
    <n v="1400"/>
    <n v="2800"/>
  </r>
  <r>
    <n v="11034"/>
    <d v="2025-08-14T00:00:00"/>
    <s v="C067"/>
    <s v="Customer_67"/>
    <s v="Lucknow"/>
    <s v="North"/>
    <s v="P028"/>
    <s v="Wallet"/>
    <x v="1"/>
    <n v="4"/>
    <n v="1400"/>
    <n v="5600"/>
  </r>
  <r>
    <n v="11035"/>
    <d v="2025-09-29T00:00:00"/>
    <s v="C047"/>
    <s v="Customer_47"/>
    <s v="Hyderabad"/>
    <s v="South"/>
    <s v="P017"/>
    <s v="Water Purifier"/>
    <x v="0"/>
    <n v="1"/>
    <n v="15000"/>
    <n v="15000"/>
  </r>
  <r>
    <n v="11036"/>
    <d v="2025-01-29T00:00:00"/>
    <s v="C068"/>
    <s v="Customer_68"/>
    <s v="Chandigarh"/>
    <s v="North"/>
    <s v="P014"/>
    <s v="Microwave"/>
    <x v="0"/>
    <n v="2"/>
    <n v="11000"/>
    <n v="22000"/>
  </r>
  <r>
    <n v="11037"/>
    <d v="2025-06-05T00:00:00"/>
    <s v="C070"/>
    <s v="Customer_70"/>
    <s v="Guwahati"/>
    <s v="East"/>
    <s v="P012"/>
    <s v="Mixer Grinder"/>
    <x v="0"/>
    <n v="1"/>
    <n v="5000"/>
    <n v="5000"/>
  </r>
  <r>
    <n v="11038"/>
    <d v="2025-02-21T00:00:00"/>
    <s v="C010"/>
    <s v="Customer_10"/>
    <s v="Pune"/>
    <s v="West"/>
    <s v="P009"/>
    <s v="Wireless Earbuds"/>
    <x v="2"/>
    <n v="1"/>
    <n v="2500"/>
    <n v="2500"/>
  </r>
  <r>
    <n v="11039"/>
    <d v="2025-05-24T00:00:00"/>
    <s v="C037"/>
    <s v="Customer_37"/>
    <s v="Kolkata"/>
    <s v="East"/>
    <s v="P010"/>
    <s v="Keyboard"/>
    <x v="2"/>
    <n v="3"/>
    <n v="2200"/>
    <n v="6600"/>
  </r>
  <r>
    <n v="11040"/>
    <d v="2025-04-02T00:00:00"/>
    <s v="C044"/>
    <s v="Customer_44"/>
    <s v="Surat"/>
    <s v="West"/>
    <s v="P007"/>
    <s v="Monitor 27"/>
    <x v="2"/>
    <n v="2"/>
    <n v="18000"/>
    <n v="36000"/>
  </r>
  <r>
    <n v="11041"/>
    <d v="2025-12-27T00:00:00"/>
    <s v="C070"/>
    <s v="Customer_70"/>
    <s v="Guwahati"/>
    <s v="East"/>
    <s v="P030"/>
    <s v="Travel Bag"/>
    <x v="1"/>
    <n v="1"/>
    <n v="3500"/>
    <n v="3500"/>
  </r>
  <r>
    <n v="11042"/>
    <d v="2025-12-16T00:00:00"/>
    <s v="C025"/>
    <s v="Customer_25"/>
    <s v="Mumbai"/>
    <s v="West"/>
    <s v="P017"/>
    <s v="Water Purifier"/>
    <x v="0"/>
    <n v="1"/>
    <n v="15000"/>
    <n v="15000"/>
  </r>
  <r>
    <n v="11043"/>
    <d v="2025-08-30T00:00:00"/>
    <s v="C020"/>
    <s v="Customer_20"/>
    <s v="Chandigarh"/>
    <s v="North"/>
    <s v="P030"/>
    <s v="Travel Bag"/>
    <x v="1"/>
    <n v="1"/>
    <n v="3500"/>
    <n v="3500"/>
  </r>
  <r>
    <n v="11044"/>
    <d v="2025-10-19T00:00:00"/>
    <s v="C024"/>
    <s v="Customer_24"/>
    <s v="Patna"/>
    <s v="East"/>
    <s v="P024"/>
    <s v="Hoodie"/>
    <x v="3"/>
    <n v="4"/>
    <n v="3000"/>
    <n v="12000"/>
  </r>
  <r>
    <n v="11045"/>
    <d v="2025-08-03T00:00:00"/>
    <s v="C015"/>
    <s v="Customer_15"/>
    <s v="Hyderabad"/>
    <s v="South"/>
    <s v="P004"/>
    <s v="Smartphone Y"/>
    <x v="2"/>
    <n v="2"/>
    <n v="22000"/>
    <n v="44000"/>
  </r>
  <r>
    <n v="11046"/>
    <d v="2025-10-04T00:00:00"/>
    <s v="C025"/>
    <s v="Customer_25"/>
    <s v="Mumbai"/>
    <s v="West"/>
    <s v="P020"/>
    <s v="T-Shirt"/>
    <x v="3"/>
    <n v="2"/>
    <n v="1600"/>
    <n v="3200"/>
  </r>
  <r>
    <n v="11047"/>
    <d v="2025-08-30T00:00:00"/>
    <s v="C024"/>
    <s v="Customer_24"/>
    <s v="Patna"/>
    <s v="East"/>
    <s v="P015"/>
    <s v="Vacuum Cleaner"/>
    <x v="0"/>
    <n v="2"/>
    <n v="9000"/>
    <n v="18000"/>
  </r>
  <r>
    <n v="11048"/>
    <d v="2025-08-23T00:00:00"/>
    <s v="C011"/>
    <s v="Customer_11"/>
    <s v="Ahmedabad"/>
    <s v="West"/>
    <s v="P006"/>
    <s v="Monitor 24"/>
    <x v="2"/>
    <n v="1"/>
    <n v="12000"/>
    <n v="12000"/>
  </r>
  <r>
    <n v="11049"/>
    <d v="2025-12-28T00:00:00"/>
    <s v="C052"/>
    <s v="Customer_52"/>
    <s v="Chandigarh"/>
    <s v="North"/>
    <s v="P005"/>
    <s v="Tablet Pro"/>
    <x v="2"/>
    <n v="3"/>
    <n v="28000"/>
    <n v="84000"/>
  </r>
  <r>
    <n v="11050"/>
    <d v="2025-04-22T00:00:00"/>
    <s v="C025"/>
    <s v="Customer_25"/>
    <s v="Mumbai"/>
    <s v="West"/>
    <s v="P006"/>
    <s v="Monitor 24"/>
    <x v="2"/>
    <n v="1"/>
    <n v="12000"/>
    <n v="12000"/>
  </r>
  <r>
    <n v="11051"/>
    <d v="2025-12-17T00:00:00"/>
    <s v="C052"/>
    <s v="Customer_52"/>
    <s v="Chandigarh"/>
    <s v="North"/>
    <s v="P010"/>
    <s v="Keyboard"/>
    <x v="2"/>
    <n v="3"/>
    <n v="2200"/>
    <n v="6600"/>
  </r>
  <r>
    <n v="11052"/>
    <d v="2025-03-09T00:00:00"/>
    <s v="C068"/>
    <s v="Customer_68"/>
    <s v="Chandigarh"/>
    <s v="North"/>
    <s v="P005"/>
    <s v="Tablet Pro"/>
    <x v="2"/>
    <n v="1"/>
    <n v="28000"/>
    <n v="28000"/>
  </r>
  <r>
    <n v="11053"/>
    <d v="2025-08-16T00:00:00"/>
    <s v="C074"/>
    <s v="Customer_74"/>
    <s v="Pune"/>
    <s v="West"/>
    <s v="P014"/>
    <s v="Microwave"/>
    <x v="0"/>
    <n v="2"/>
    <n v="11000"/>
    <n v="22000"/>
  </r>
  <r>
    <n v="11054"/>
    <d v="2025-07-09T00:00:00"/>
    <s v="C028"/>
    <s v="Customer_28"/>
    <s v="Surat"/>
    <s v="West"/>
    <s v="P011"/>
    <s v="Air Fryer"/>
    <x v="0"/>
    <n v="2"/>
    <n v="6500"/>
    <n v="13000"/>
  </r>
  <r>
    <n v="11055"/>
    <d v="2025-03-25T00:00:00"/>
    <s v="C022"/>
    <s v="Customer_22"/>
    <s v="Guwahati"/>
    <s v="East"/>
    <s v="P021"/>
    <s v="Formal Shirt"/>
    <x v="3"/>
    <n v="2"/>
    <n v="2400"/>
    <n v="4800"/>
  </r>
  <r>
    <n v="11056"/>
    <d v="2025-03-10T00:00:00"/>
    <s v="C025"/>
    <s v="Customer_25"/>
    <s v="Mumbai"/>
    <s v="West"/>
    <s v="P021"/>
    <s v="Formal Shirt"/>
    <x v="3"/>
    <n v="1"/>
    <n v="2400"/>
    <n v="2400"/>
  </r>
  <r>
    <n v="11057"/>
    <d v="2025-09-13T00:00:00"/>
    <s v="C033"/>
    <s v="Customer_33"/>
    <s v="Delhi"/>
    <s v="North"/>
    <s v="P019"/>
    <s v="Jeans"/>
    <x v="3"/>
    <n v="3"/>
    <n v="3200"/>
    <n v="9600"/>
  </r>
  <r>
    <n v="11058"/>
    <d v="2025-07-10T00:00:00"/>
    <s v="C004"/>
    <s v="Customer_04"/>
    <s v="Chandigarh"/>
    <s v="North"/>
    <s v="P003"/>
    <s v="Smartphone X"/>
    <x v="2"/>
    <n v="2"/>
    <n v="30000"/>
    <n v="60000"/>
  </r>
  <r>
    <n v="11059"/>
    <d v="2025-10-29T00:00:00"/>
    <s v="C070"/>
    <s v="Customer_70"/>
    <s v="Guwahati"/>
    <s v="East"/>
    <s v="P025"/>
    <s v="Dress"/>
    <x v="3"/>
    <n v="1"/>
    <n v="3800"/>
    <n v="3800"/>
  </r>
  <r>
    <n v="11060"/>
    <d v="2025-06-13T00:00:00"/>
    <s v="C055"/>
    <s v="Customer_55"/>
    <s v="Bhubaneswar"/>
    <s v="East"/>
    <s v="P005"/>
    <s v="Tablet Pro"/>
    <x v="2"/>
    <n v="1"/>
    <n v="28000"/>
    <n v="28000"/>
  </r>
  <r>
    <n v="11061"/>
    <d v="2025-05-26T00:00:00"/>
    <s v="C036"/>
    <s v="Customer_36"/>
    <s v="Chandigarh"/>
    <s v="North"/>
    <s v="P016"/>
    <s v="Electric Kettle"/>
    <x v="0"/>
    <n v="1"/>
    <n v="2200"/>
    <n v="2200"/>
  </r>
  <r>
    <n v="11062"/>
    <d v="2025-11-22T00:00:00"/>
    <s v="C063"/>
    <s v="Customer_63"/>
    <s v="Hyderabad"/>
    <s v="South"/>
    <s v="P009"/>
    <s v="Wireless Earbuds"/>
    <x v="2"/>
    <n v="2"/>
    <n v="2500"/>
    <n v="5000"/>
  </r>
  <r>
    <n v="11063"/>
    <d v="2025-04-10T00:00:00"/>
    <s v="C003"/>
    <s v="Customer_03"/>
    <s v="Lucknow"/>
    <s v="North"/>
    <s v="P015"/>
    <s v="Vacuum Cleaner"/>
    <x v="0"/>
    <n v="2"/>
    <n v="9000"/>
    <n v="18000"/>
  </r>
  <r>
    <n v="11064"/>
    <d v="2025-10-13T00:00:00"/>
    <s v="C027"/>
    <s v="Customer_27"/>
    <s v="Ahmedabad"/>
    <s v="West"/>
    <s v="P022"/>
    <s v="Jacket"/>
    <x v="3"/>
    <n v="1"/>
    <n v="4800"/>
    <n v="4800"/>
  </r>
  <r>
    <n v="11065"/>
    <d v="2025-11-20T00:00:00"/>
    <s v="C054"/>
    <s v="Customer_54"/>
    <s v="Guwahati"/>
    <s v="East"/>
    <s v="P017"/>
    <s v="Water Purifier"/>
    <x v="0"/>
    <n v="5"/>
    <n v="15000"/>
    <n v="75000"/>
  </r>
  <r>
    <n v="11066"/>
    <d v="2025-10-29T00:00:00"/>
    <s v="C052"/>
    <s v="Customer_52"/>
    <s v="Chandigarh"/>
    <s v="North"/>
    <s v="P013"/>
    <s v="Coffee Maker"/>
    <x v="0"/>
    <n v="1"/>
    <n v="4200"/>
    <n v="4200"/>
  </r>
  <r>
    <n v="11067"/>
    <d v="2025-03-05T00:00:00"/>
    <s v="C047"/>
    <s v="Customer_47"/>
    <s v="Hyderabad"/>
    <s v="South"/>
    <s v="P006"/>
    <s v="Monitor 24"/>
    <x v="2"/>
    <n v="1"/>
    <n v="12000"/>
    <n v="12000"/>
  </r>
  <r>
    <n v="11068"/>
    <d v="2025-08-30T00:00:00"/>
    <s v="C027"/>
    <s v="Customer_27"/>
    <s v="Ahmedabad"/>
    <s v="West"/>
    <s v="P013"/>
    <s v="Coffee Maker"/>
    <x v="0"/>
    <n v="2"/>
    <n v="4200"/>
    <n v="8400"/>
  </r>
  <r>
    <n v="11069"/>
    <d v="2025-07-23T00:00:00"/>
    <s v="C027"/>
    <s v="Customer_27"/>
    <s v="Ahmedabad"/>
    <s v="West"/>
    <s v="P022"/>
    <s v="Jacket"/>
    <x v="3"/>
    <n v="1"/>
    <n v="4800"/>
    <n v="4800"/>
  </r>
  <r>
    <n v="11070"/>
    <d v="2025-04-05T00:00:00"/>
    <s v="C003"/>
    <s v="Customer_03"/>
    <s v="Lucknow"/>
    <s v="North"/>
    <s v="P010"/>
    <s v="Keyboard"/>
    <x v="2"/>
    <n v="3"/>
    <n v="2200"/>
    <n v="6600"/>
  </r>
  <r>
    <n v="11071"/>
    <d v="2025-06-10T00:00:00"/>
    <s v="C014"/>
    <s v="Customer_14"/>
    <s v="Chennai"/>
    <s v="South"/>
    <s v="P025"/>
    <s v="Dress"/>
    <x v="3"/>
    <n v="1"/>
    <n v="3800"/>
    <n v="3800"/>
  </r>
  <r>
    <n v="11072"/>
    <d v="2025-03-22T00:00:00"/>
    <s v="C062"/>
    <s v="Customer_62"/>
    <s v="Chennai"/>
    <s v="South"/>
    <s v="P020"/>
    <s v="T-Shirt"/>
    <x v="3"/>
    <n v="1"/>
    <n v="1600"/>
    <n v="1600"/>
  </r>
  <r>
    <n v="11073"/>
    <d v="2025-03-11T00:00:00"/>
    <s v="C002"/>
    <s v="Customer_02"/>
    <s v="Jaipur"/>
    <s v="North"/>
    <s v="P004"/>
    <s v="Smartphone Y"/>
    <x v="2"/>
    <n v="1"/>
    <n v="22000"/>
    <n v="22000"/>
  </r>
  <r>
    <n v="11074"/>
    <d v="2025-08-19T00:00:00"/>
    <s v="C036"/>
    <s v="Customer_36"/>
    <s v="Chandigarh"/>
    <s v="North"/>
    <s v="P015"/>
    <s v="Vacuum Cleaner"/>
    <x v="0"/>
    <n v="3"/>
    <n v="9000"/>
    <n v="27000"/>
  </r>
  <r>
    <n v="11075"/>
    <d v="2025-08-16T00:00:00"/>
    <s v="C001"/>
    <s v="Customer_01"/>
    <s v="Delhi"/>
    <s v="North"/>
    <s v="P007"/>
    <s v="Monitor 27"/>
    <x v="2"/>
    <n v="2"/>
    <n v="18000"/>
    <n v="36000"/>
  </r>
  <r>
    <n v="11076"/>
    <d v="2025-03-06T00:00:00"/>
    <s v="C072"/>
    <s v="Customer_72"/>
    <s v="Patna"/>
    <s v="East"/>
    <s v="P005"/>
    <s v="Tablet Pro"/>
    <x v="2"/>
    <n v="3"/>
    <n v="28000"/>
    <n v="84000"/>
  </r>
  <r>
    <n v="11077"/>
    <d v="2025-03-15T00:00:00"/>
    <s v="C061"/>
    <s v="Customer_61"/>
    <s v="Bengaluru"/>
    <s v="South"/>
    <s v="P025"/>
    <s v="Dress"/>
    <x v="3"/>
    <n v="1"/>
    <n v="3800"/>
    <n v="3800"/>
  </r>
  <r>
    <n v="11078"/>
    <d v="2025-03-18T00:00:00"/>
    <s v="C037"/>
    <s v="Customer_37"/>
    <s v="Kolkata"/>
    <s v="East"/>
    <s v="P006"/>
    <s v="Monitor 24"/>
    <x v="2"/>
    <n v="1"/>
    <n v="12000"/>
    <n v="12000"/>
  </r>
  <r>
    <n v="11079"/>
    <d v="2025-04-10T00:00:00"/>
    <s v="C029"/>
    <s v="Customer_29"/>
    <s v="Bengaluru"/>
    <s v="South"/>
    <s v="P001"/>
    <s v="Laptop Pro"/>
    <x v="2"/>
    <n v="1"/>
    <n v="65000"/>
    <n v="65000"/>
  </r>
  <r>
    <n v="11080"/>
    <d v="2025-09-08T00:00:00"/>
    <s v="C021"/>
    <s v="Customer_21"/>
    <s v="Kolkata"/>
    <s v="East"/>
    <s v="P029"/>
    <s v="Sunglasses"/>
    <x v="1"/>
    <n v="1"/>
    <n v="2000"/>
    <n v="2000"/>
  </r>
  <r>
    <n v="11081"/>
    <d v="2025-07-06T00:00:00"/>
    <s v="C032"/>
    <s v="Customer_32"/>
    <s v="Kochi"/>
    <s v="South"/>
    <s v="P015"/>
    <s v="Vacuum Cleaner"/>
    <x v="0"/>
    <n v="1"/>
    <n v="9000"/>
    <n v="9000"/>
  </r>
  <r>
    <n v="11082"/>
    <d v="2025-09-05T00:00:00"/>
    <s v="C037"/>
    <s v="Customer_37"/>
    <s v="Kolkata"/>
    <s v="East"/>
    <s v="P019"/>
    <s v="Jeans"/>
    <x v="3"/>
    <n v="1"/>
    <n v="3200"/>
    <n v="3200"/>
  </r>
  <r>
    <n v="11083"/>
    <d v="2025-05-09T00:00:00"/>
    <s v="C003"/>
    <s v="Customer_03"/>
    <s v="Lucknow"/>
    <s v="North"/>
    <s v="P013"/>
    <s v="Coffee Maker"/>
    <x v="0"/>
    <n v="1"/>
    <n v="4200"/>
    <n v="4200"/>
  </r>
  <r>
    <n v="11084"/>
    <d v="2025-06-08T00:00:00"/>
    <s v="C003"/>
    <s v="Customer_03"/>
    <s v="Lucknow"/>
    <s v="North"/>
    <s v="P002"/>
    <s v="Laptop Air"/>
    <x v="2"/>
    <n v="2"/>
    <n v="52000"/>
    <n v="104000"/>
  </r>
  <r>
    <n v="11085"/>
    <d v="2025-12-11T00:00:00"/>
    <s v="C042"/>
    <s v="Customer_42"/>
    <s v="Pune"/>
    <s v="West"/>
    <s v="P027"/>
    <s v="Watch"/>
    <x v="1"/>
    <n v="1"/>
    <n v="5500"/>
    <n v="5500"/>
  </r>
  <r>
    <n v="11086"/>
    <d v="2025-03-01T00:00:00"/>
    <s v="C026"/>
    <s v="Customer_26"/>
    <s v="Pune"/>
    <s v="West"/>
    <s v="P019"/>
    <s v="Jeans"/>
    <x v="3"/>
    <n v="3"/>
    <n v="3200"/>
    <n v="9600"/>
  </r>
  <r>
    <n v="11087"/>
    <d v="2025-01-14T00:00:00"/>
    <s v="C007"/>
    <s v="Customer_07"/>
    <s v="Bhubaneswar"/>
    <s v="East"/>
    <s v="P028"/>
    <s v="Wallet"/>
    <x v="1"/>
    <n v="2"/>
    <n v="1400"/>
    <n v="2800"/>
  </r>
  <r>
    <n v="11088"/>
    <d v="2025-03-04T00:00:00"/>
    <s v="C074"/>
    <s v="Customer_74"/>
    <s v="Pune"/>
    <s v="West"/>
    <s v="P012"/>
    <s v="Mixer Grinder"/>
    <x v="0"/>
    <n v="1"/>
    <n v="5000"/>
    <n v="5000"/>
  </r>
  <r>
    <n v="11089"/>
    <d v="2025-07-31T00:00:00"/>
    <s v="C011"/>
    <s v="Customer_11"/>
    <s v="Ahmedabad"/>
    <s v="West"/>
    <s v="P008"/>
    <s v="Headphones Pro"/>
    <x v="2"/>
    <n v="4"/>
    <n v="4500"/>
    <n v="18000"/>
  </r>
  <r>
    <n v="11090"/>
    <d v="2025-04-15T00:00:00"/>
    <s v="C029"/>
    <s v="Customer_29"/>
    <s v="Bengaluru"/>
    <s v="South"/>
    <s v="P007"/>
    <s v="Monitor 27"/>
    <x v="2"/>
    <n v="1"/>
    <n v="18000"/>
    <n v="18000"/>
  </r>
  <r>
    <n v="11091"/>
    <d v="2025-03-30T00:00:00"/>
    <s v="C050"/>
    <s v="Customer_50"/>
    <s v="Jaipur"/>
    <s v="North"/>
    <s v="P012"/>
    <s v="Mixer Grinder"/>
    <x v="0"/>
    <n v="2"/>
    <n v="5000"/>
    <n v="10000"/>
  </r>
  <r>
    <n v="11092"/>
    <d v="2025-09-22T00:00:00"/>
    <s v="C003"/>
    <s v="Customer_03"/>
    <s v="Lucknow"/>
    <s v="North"/>
    <s v="P014"/>
    <s v="Microwave"/>
    <x v="0"/>
    <n v="1"/>
    <n v="11000"/>
    <n v="11000"/>
  </r>
  <r>
    <n v="11093"/>
    <d v="2025-04-20T00:00:00"/>
    <s v="C037"/>
    <s v="Customer_37"/>
    <s v="Kolkata"/>
    <s v="East"/>
    <s v="P021"/>
    <s v="Formal Shirt"/>
    <x v="3"/>
    <n v="2"/>
    <n v="2400"/>
    <n v="4800"/>
  </r>
  <r>
    <n v="11094"/>
    <d v="2025-09-09T00:00:00"/>
    <s v="C057"/>
    <s v="Customer_57"/>
    <s v="Mumbai"/>
    <s v="West"/>
    <s v="P020"/>
    <s v="T-Shirt"/>
    <x v="3"/>
    <n v="1"/>
    <n v="1600"/>
    <n v="1600"/>
  </r>
  <r>
    <n v="11095"/>
    <d v="2025-08-22T00:00:00"/>
    <s v="C048"/>
    <s v="Customer_48"/>
    <s v="Kochi"/>
    <s v="South"/>
    <s v="P010"/>
    <s v="Keyboard"/>
    <x v="2"/>
    <n v="3"/>
    <n v="2200"/>
    <n v="6600"/>
  </r>
  <r>
    <n v="11096"/>
    <d v="2025-12-28T00:00:00"/>
    <s v="C071"/>
    <s v="Customer_71"/>
    <s v="Bhubaneswar"/>
    <s v="East"/>
    <s v="P006"/>
    <s v="Monitor 24"/>
    <x v="2"/>
    <n v="4"/>
    <n v="12000"/>
    <n v="48000"/>
  </r>
  <r>
    <n v="11097"/>
    <d v="2025-04-21T00:00:00"/>
    <s v="C048"/>
    <s v="Customer_48"/>
    <s v="Kochi"/>
    <s v="South"/>
    <s v="P026"/>
    <s v="Backpack"/>
    <x v="1"/>
    <n v="1"/>
    <n v="2400"/>
    <n v="2400"/>
  </r>
  <r>
    <n v="11098"/>
    <d v="2025-03-14T00:00:00"/>
    <s v="C071"/>
    <s v="Customer_71"/>
    <s v="Bhubaneswar"/>
    <s v="East"/>
    <s v="P014"/>
    <s v="Microwave"/>
    <x v="0"/>
    <n v="1"/>
    <n v="11000"/>
    <n v="11000"/>
  </r>
  <r>
    <n v="11099"/>
    <d v="2025-03-11T00:00:00"/>
    <s v="C048"/>
    <s v="Customer_48"/>
    <s v="Kochi"/>
    <s v="South"/>
    <s v="P030"/>
    <s v="Travel Bag"/>
    <x v="1"/>
    <n v="3"/>
    <n v="3500"/>
    <n v="10500"/>
  </r>
  <r>
    <n v="11100"/>
    <d v="2025-01-05T00:00:00"/>
    <s v="C054"/>
    <s v="Customer_54"/>
    <s v="Guwahati"/>
    <s v="East"/>
    <s v="P003"/>
    <s v="Smartphone X"/>
    <x v="2"/>
    <n v="1"/>
    <n v="30000"/>
    <n v="30000"/>
  </r>
  <r>
    <n v="11101"/>
    <d v="2025-01-27T00:00:00"/>
    <s v="C024"/>
    <s v="Customer_24"/>
    <s v="Patna"/>
    <s v="East"/>
    <s v="P014"/>
    <s v="Microwave"/>
    <x v="0"/>
    <n v="1"/>
    <n v="11000"/>
    <n v="11000"/>
  </r>
  <r>
    <n v="11102"/>
    <d v="2025-05-01T00:00:00"/>
    <s v="C025"/>
    <s v="Customer_25"/>
    <s v="Mumbai"/>
    <s v="West"/>
    <s v="P010"/>
    <s v="Keyboard"/>
    <x v="2"/>
    <n v="1"/>
    <n v="2200"/>
    <n v="2200"/>
  </r>
  <r>
    <n v="11103"/>
    <d v="2025-01-07T00:00:00"/>
    <s v="C068"/>
    <s v="Customer_68"/>
    <s v="Chandigarh"/>
    <s v="North"/>
    <s v="P001"/>
    <s v="Laptop Pro"/>
    <x v="2"/>
    <n v="1"/>
    <n v="65000"/>
    <n v="65000"/>
  </r>
  <r>
    <n v="11104"/>
    <d v="2025-12-05T00:00:00"/>
    <s v="C062"/>
    <s v="Customer_62"/>
    <s v="Chennai"/>
    <s v="South"/>
    <s v="P021"/>
    <s v="Formal Shirt"/>
    <x v="3"/>
    <n v="1"/>
    <n v="2400"/>
    <n v="2400"/>
  </r>
  <r>
    <n v="11105"/>
    <d v="2025-01-04T00:00:00"/>
    <s v="C071"/>
    <s v="Customer_71"/>
    <s v="Bhubaneswar"/>
    <s v="East"/>
    <s v="P001"/>
    <s v="Laptop Pro"/>
    <x v="2"/>
    <n v="1"/>
    <n v="65000"/>
    <n v="65000"/>
  </r>
  <r>
    <n v="11106"/>
    <d v="2025-10-15T00:00:00"/>
    <s v="C026"/>
    <s v="Customer_26"/>
    <s v="Pune"/>
    <s v="West"/>
    <s v="P020"/>
    <s v="T-Shirt"/>
    <x v="3"/>
    <n v="1"/>
    <n v="1600"/>
    <n v="1600"/>
  </r>
  <r>
    <n v="11107"/>
    <d v="2025-06-01T00:00:00"/>
    <s v="C001"/>
    <s v="Customer_01"/>
    <s v="Delhi"/>
    <s v="North"/>
    <s v="P014"/>
    <s v="Microwave"/>
    <x v="0"/>
    <n v="1"/>
    <n v="11000"/>
    <n v="11000"/>
  </r>
  <r>
    <n v="11108"/>
    <d v="2025-07-24T00:00:00"/>
    <s v="C007"/>
    <s v="Customer_07"/>
    <s v="Bhubaneswar"/>
    <s v="East"/>
    <s v="P010"/>
    <s v="Keyboard"/>
    <x v="2"/>
    <n v="4"/>
    <n v="2200"/>
    <n v="8800"/>
  </r>
  <r>
    <n v="11109"/>
    <d v="2025-06-10T00:00:00"/>
    <s v="C061"/>
    <s v="Customer_61"/>
    <s v="Bengaluru"/>
    <s v="South"/>
    <s v="P021"/>
    <s v="Formal Shirt"/>
    <x v="3"/>
    <n v="3"/>
    <n v="2400"/>
    <n v="7200"/>
  </r>
  <r>
    <n v="11110"/>
    <d v="2025-10-11T00:00:00"/>
    <s v="C054"/>
    <s v="Customer_54"/>
    <s v="Guwahati"/>
    <s v="East"/>
    <s v="P006"/>
    <s v="Monitor 24"/>
    <x v="2"/>
    <n v="1"/>
    <n v="12000"/>
    <n v="12000"/>
  </r>
  <r>
    <n v="11111"/>
    <d v="2025-01-30T00:00:00"/>
    <s v="C043"/>
    <s v="Customer_43"/>
    <s v="Ahmedabad"/>
    <s v="West"/>
    <s v="P016"/>
    <s v="Electric Kettle"/>
    <x v="0"/>
    <n v="1"/>
    <n v="2200"/>
    <n v="2200"/>
  </r>
  <r>
    <n v="11112"/>
    <d v="2025-07-23T00:00:00"/>
    <s v="C037"/>
    <s v="Customer_37"/>
    <s v="Kolkata"/>
    <s v="East"/>
    <s v="P004"/>
    <s v="Smartphone Y"/>
    <x v="2"/>
    <n v="1"/>
    <n v="22000"/>
    <n v="22000"/>
  </r>
  <r>
    <n v="11113"/>
    <d v="2025-07-10T00:00:00"/>
    <s v="C031"/>
    <s v="Customer_31"/>
    <s v="Hyderabad"/>
    <s v="South"/>
    <s v="P013"/>
    <s v="Coffee Maker"/>
    <x v="0"/>
    <n v="1"/>
    <n v="4200"/>
    <n v="4200"/>
  </r>
  <r>
    <n v="11114"/>
    <d v="2025-01-19T00:00:00"/>
    <s v="C056"/>
    <s v="Customer_56"/>
    <s v="Patna"/>
    <s v="East"/>
    <s v="P010"/>
    <s v="Keyboard"/>
    <x v="2"/>
    <n v="1"/>
    <n v="2200"/>
    <n v="2200"/>
  </r>
  <r>
    <n v="11115"/>
    <d v="2025-02-06T00:00:00"/>
    <s v="C037"/>
    <s v="Customer_37"/>
    <s v="Kolkata"/>
    <s v="East"/>
    <s v="P011"/>
    <s v="Air Fryer"/>
    <x v="0"/>
    <n v="1"/>
    <n v="6500"/>
    <n v="6500"/>
  </r>
  <r>
    <n v="11116"/>
    <d v="2025-07-12T00:00:00"/>
    <s v="C024"/>
    <s v="Customer_24"/>
    <s v="Patna"/>
    <s v="East"/>
    <s v="P014"/>
    <s v="Microwave"/>
    <x v="0"/>
    <n v="3"/>
    <n v="11000"/>
    <n v="33000"/>
  </r>
  <r>
    <n v="11117"/>
    <d v="2025-02-27T00:00:00"/>
    <s v="C052"/>
    <s v="Customer_52"/>
    <s v="Chandigarh"/>
    <s v="North"/>
    <s v="P003"/>
    <s v="Smartphone X"/>
    <x v="2"/>
    <n v="2"/>
    <n v="30000"/>
    <n v="60000"/>
  </r>
  <r>
    <n v="11118"/>
    <d v="2025-07-13T00:00:00"/>
    <s v="C025"/>
    <s v="Customer_25"/>
    <s v="Mumbai"/>
    <s v="West"/>
    <s v="P003"/>
    <s v="Smartphone X"/>
    <x v="2"/>
    <n v="1"/>
    <n v="30000"/>
    <n v="30000"/>
  </r>
  <r>
    <n v="11119"/>
    <d v="2025-06-18T00:00:00"/>
    <s v="C053"/>
    <s v="Customer_53"/>
    <s v="Kolkata"/>
    <s v="East"/>
    <s v="P007"/>
    <s v="Monitor 27"/>
    <x v="2"/>
    <n v="2"/>
    <n v="18000"/>
    <n v="36000"/>
  </r>
  <r>
    <n v="11120"/>
    <d v="2025-11-06T00:00:00"/>
    <s v="C015"/>
    <s v="Customer_15"/>
    <s v="Hyderabad"/>
    <s v="South"/>
    <s v="P019"/>
    <s v="Jeans"/>
    <x v="3"/>
    <n v="3"/>
    <n v="3200"/>
    <n v="9600"/>
  </r>
  <r>
    <n v="11121"/>
    <d v="2025-01-07T00:00:00"/>
    <s v="C010"/>
    <s v="Customer_10"/>
    <s v="Pune"/>
    <s v="West"/>
    <s v="P017"/>
    <s v="Water Purifier"/>
    <x v="0"/>
    <n v="3"/>
    <n v="15000"/>
    <n v="45000"/>
  </r>
  <r>
    <n v="11122"/>
    <d v="2025-08-30T00:00:00"/>
    <s v="C035"/>
    <s v="Customer_35"/>
    <s v="Lucknow"/>
    <s v="North"/>
    <s v="P014"/>
    <s v="Microwave"/>
    <x v="0"/>
    <n v="3"/>
    <n v="11000"/>
    <n v="33000"/>
  </r>
  <r>
    <n v="11123"/>
    <d v="2025-01-30T00:00:00"/>
    <s v="C041"/>
    <s v="Customer_41"/>
    <s v="Mumbai"/>
    <s v="West"/>
    <s v="P007"/>
    <s v="Monitor 27"/>
    <x v="2"/>
    <n v="1"/>
    <n v="18000"/>
    <n v="18000"/>
  </r>
  <r>
    <n v="11124"/>
    <d v="2025-06-22T00:00:00"/>
    <s v="C003"/>
    <s v="Customer_03"/>
    <s v="Lucknow"/>
    <s v="North"/>
    <s v="P007"/>
    <s v="Monitor 27"/>
    <x v="2"/>
    <n v="3"/>
    <n v="18000"/>
    <n v="54000"/>
  </r>
  <r>
    <n v="11125"/>
    <d v="2025-03-04T00:00:00"/>
    <s v="C034"/>
    <s v="Customer_34"/>
    <s v="Jaipur"/>
    <s v="North"/>
    <s v="P020"/>
    <s v="T-Shirt"/>
    <x v="3"/>
    <n v="2"/>
    <n v="1600"/>
    <n v="3200"/>
  </r>
  <r>
    <n v="11126"/>
    <d v="2025-05-03T00:00:00"/>
    <s v="C011"/>
    <s v="Customer_11"/>
    <s v="Ahmedabad"/>
    <s v="West"/>
    <s v="P022"/>
    <s v="Jacket"/>
    <x v="3"/>
    <n v="3"/>
    <n v="4800"/>
    <n v="14400"/>
  </r>
  <r>
    <n v="11127"/>
    <d v="2025-06-28T00:00:00"/>
    <s v="C001"/>
    <s v="Customer_01"/>
    <s v="Delhi"/>
    <s v="North"/>
    <s v="P021"/>
    <s v="Formal Shirt"/>
    <x v="3"/>
    <n v="5"/>
    <n v="2400"/>
    <n v="12000"/>
  </r>
  <r>
    <n v="11128"/>
    <d v="2025-01-05T00:00:00"/>
    <s v="C063"/>
    <s v="Customer_63"/>
    <s v="Hyderabad"/>
    <s v="South"/>
    <s v="P003"/>
    <s v="Smartphone X"/>
    <x v="2"/>
    <n v="2"/>
    <n v="30000"/>
    <n v="60000"/>
  </r>
  <r>
    <n v="11129"/>
    <d v="2025-04-17T00:00:00"/>
    <s v="C052"/>
    <s v="Customer_52"/>
    <s v="Chandigarh"/>
    <s v="North"/>
    <s v="P016"/>
    <s v="Electric Kettle"/>
    <x v="0"/>
    <n v="2"/>
    <n v="2200"/>
    <n v="4400"/>
  </r>
  <r>
    <n v="11130"/>
    <d v="2025-11-16T00:00:00"/>
    <s v="C071"/>
    <s v="Customer_71"/>
    <s v="Bhubaneswar"/>
    <s v="East"/>
    <s v="P006"/>
    <s v="Monitor 24"/>
    <x v="2"/>
    <n v="2"/>
    <n v="12000"/>
    <n v="24000"/>
  </r>
  <r>
    <n v="11131"/>
    <d v="2025-11-28T00:00:00"/>
    <s v="C057"/>
    <s v="Customer_57"/>
    <s v="Mumbai"/>
    <s v="West"/>
    <s v="P001"/>
    <s v="Laptop Pro"/>
    <x v="2"/>
    <n v="1"/>
    <n v="65000"/>
    <n v="65000"/>
  </r>
  <r>
    <n v="11132"/>
    <d v="2025-02-18T00:00:00"/>
    <s v="C064"/>
    <s v="Customer_64"/>
    <s v="Kochi"/>
    <s v="South"/>
    <s v="P023"/>
    <s v="Sneakers"/>
    <x v="3"/>
    <n v="2"/>
    <n v="4200"/>
    <n v="8400"/>
  </r>
  <r>
    <n v="11133"/>
    <d v="2025-09-11T00:00:00"/>
    <s v="C039"/>
    <s v="Customer_39"/>
    <s v="Bhubaneswar"/>
    <s v="East"/>
    <s v="P008"/>
    <s v="Headphones Pro"/>
    <x v="2"/>
    <n v="1"/>
    <n v="4500"/>
    <n v="4500"/>
  </r>
  <r>
    <n v="11134"/>
    <d v="2025-12-05T00:00:00"/>
    <s v="C011"/>
    <s v="Customer_11"/>
    <s v="Ahmedabad"/>
    <s v="West"/>
    <s v="P021"/>
    <s v="Formal Shirt"/>
    <x v="3"/>
    <n v="2"/>
    <n v="2400"/>
    <n v="4800"/>
  </r>
  <r>
    <n v="11135"/>
    <d v="2025-05-27T00:00:00"/>
    <s v="C003"/>
    <s v="Customer_03"/>
    <s v="Lucknow"/>
    <s v="North"/>
    <s v="P019"/>
    <s v="Jeans"/>
    <x v="3"/>
    <n v="4"/>
    <n v="3200"/>
    <n v="12800"/>
  </r>
  <r>
    <n v="11136"/>
    <d v="2025-04-27T00:00:00"/>
    <s v="C056"/>
    <s v="Customer_56"/>
    <s v="Patna"/>
    <s v="East"/>
    <s v="P005"/>
    <s v="Tablet Pro"/>
    <x v="2"/>
    <n v="2"/>
    <n v="28000"/>
    <n v="56000"/>
  </r>
  <r>
    <n v="11137"/>
    <d v="2025-09-18T00:00:00"/>
    <s v="C053"/>
    <s v="Customer_53"/>
    <s v="Kolkata"/>
    <s v="East"/>
    <s v="P019"/>
    <s v="Jeans"/>
    <x v="3"/>
    <n v="2"/>
    <n v="3200"/>
    <n v="6400"/>
  </r>
  <r>
    <n v="11138"/>
    <d v="2025-08-09T00:00:00"/>
    <s v="C071"/>
    <s v="Customer_71"/>
    <s v="Bhubaneswar"/>
    <s v="East"/>
    <s v="P012"/>
    <s v="Mixer Grinder"/>
    <x v="0"/>
    <n v="1"/>
    <n v="5000"/>
    <n v="5000"/>
  </r>
  <r>
    <n v="11139"/>
    <d v="2025-02-05T00:00:00"/>
    <s v="C003"/>
    <s v="Customer_03"/>
    <s v="Lucknow"/>
    <s v="North"/>
    <s v="P001"/>
    <s v="Laptop Pro"/>
    <x v="2"/>
    <n v="1"/>
    <n v="65000"/>
    <n v="65000"/>
  </r>
  <r>
    <n v="11140"/>
    <d v="2025-12-22T00:00:00"/>
    <s v="C040"/>
    <s v="Customer_40"/>
    <s v="Patna"/>
    <s v="East"/>
    <s v="P013"/>
    <s v="Coffee Maker"/>
    <x v="0"/>
    <n v="1"/>
    <n v="4200"/>
    <n v="4200"/>
  </r>
  <r>
    <n v="11141"/>
    <d v="2025-01-26T00:00:00"/>
    <s v="C068"/>
    <s v="Customer_68"/>
    <s v="Chandigarh"/>
    <s v="North"/>
    <s v="P019"/>
    <s v="Jeans"/>
    <x v="3"/>
    <n v="1"/>
    <n v="3200"/>
    <n v="3200"/>
  </r>
  <r>
    <n v="11142"/>
    <d v="2025-06-23T00:00:00"/>
    <s v="C011"/>
    <s v="Customer_11"/>
    <s v="Ahmedabad"/>
    <s v="West"/>
    <s v="P009"/>
    <s v="Wireless Earbuds"/>
    <x v="2"/>
    <n v="1"/>
    <n v="2500"/>
    <n v="2500"/>
  </r>
  <r>
    <n v="11143"/>
    <d v="2025-06-18T00:00:00"/>
    <s v="C037"/>
    <s v="Customer_37"/>
    <s v="Kolkata"/>
    <s v="East"/>
    <s v="P004"/>
    <s v="Smartphone Y"/>
    <x v="2"/>
    <n v="3"/>
    <n v="22000"/>
    <n v="66000"/>
  </r>
  <r>
    <n v="11144"/>
    <d v="2025-12-28T00:00:00"/>
    <s v="C022"/>
    <s v="Customer_22"/>
    <s v="Guwahati"/>
    <s v="East"/>
    <s v="P022"/>
    <s v="Jacket"/>
    <x v="3"/>
    <n v="3"/>
    <n v="4800"/>
    <n v="14400"/>
  </r>
  <r>
    <n v="11145"/>
    <d v="2025-11-28T00:00:00"/>
    <s v="C062"/>
    <s v="Customer_62"/>
    <s v="Chennai"/>
    <s v="South"/>
    <s v="P006"/>
    <s v="Monitor 24"/>
    <x v="2"/>
    <n v="1"/>
    <n v="12000"/>
    <n v="12000"/>
  </r>
  <r>
    <n v="11146"/>
    <d v="2025-12-03T00:00:00"/>
    <s v="C004"/>
    <s v="Customer_04"/>
    <s v="Chandigarh"/>
    <s v="North"/>
    <s v="P016"/>
    <s v="Electric Kettle"/>
    <x v="0"/>
    <n v="3"/>
    <n v="2200"/>
    <n v="6600"/>
  </r>
  <r>
    <n v="11147"/>
    <d v="2025-01-18T00:00:00"/>
    <s v="C036"/>
    <s v="Customer_36"/>
    <s v="Chandigarh"/>
    <s v="North"/>
    <s v="P029"/>
    <s v="Sunglasses"/>
    <x v="1"/>
    <n v="1"/>
    <n v="2000"/>
    <n v="2000"/>
  </r>
  <r>
    <n v="11148"/>
    <d v="2025-01-13T00:00:00"/>
    <s v="C056"/>
    <s v="Customer_56"/>
    <s v="Patna"/>
    <s v="East"/>
    <s v="P006"/>
    <s v="Monitor 24"/>
    <x v="2"/>
    <n v="3"/>
    <n v="12000"/>
    <n v="36000"/>
  </r>
  <r>
    <n v="11149"/>
    <d v="2025-08-10T00:00:00"/>
    <s v="C009"/>
    <s v="Customer_09"/>
    <s v="Mumbai"/>
    <s v="West"/>
    <s v="P003"/>
    <s v="Smartphone X"/>
    <x v="2"/>
    <n v="1"/>
    <n v="30000"/>
    <n v="30000"/>
  </r>
  <r>
    <n v="11150"/>
    <d v="2025-08-08T00:00:00"/>
    <s v="C048"/>
    <s v="Customer_48"/>
    <s v="Kochi"/>
    <s v="South"/>
    <s v="P013"/>
    <s v="Coffee Maker"/>
    <x v="0"/>
    <n v="1"/>
    <n v="4200"/>
    <n v="4200"/>
  </r>
  <r>
    <n v="11151"/>
    <d v="2025-01-15T00:00:00"/>
    <s v="C070"/>
    <s v="Customer_70"/>
    <s v="Guwahati"/>
    <s v="East"/>
    <s v="P018"/>
    <s v="Induction Cooktop"/>
    <x v="0"/>
    <n v="1"/>
    <n v="3000"/>
    <n v="3000"/>
  </r>
  <r>
    <n v="11152"/>
    <d v="2025-11-24T00:00:00"/>
    <s v="C039"/>
    <s v="Customer_39"/>
    <s v="Bhubaneswar"/>
    <s v="East"/>
    <s v="P001"/>
    <s v="Laptop Pro"/>
    <x v="2"/>
    <n v="2"/>
    <n v="65000"/>
    <n v="130000"/>
  </r>
  <r>
    <n v="11153"/>
    <d v="2025-04-27T00:00:00"/>
    <s v="C068"/>
    <s v="Customer_68"/>
    <s v="Chandigarh"/>
    <s v="North"/>
    <s v="P017"/>
    <s v="Water Purifier"/>
    <x v="0"/>
    <n v="1"/>
    <n v="15000"/>
    <n v="15000"/>
  </r>
  <r>
    <n v="11154"/>
    <d v="2025-09-12T00:00:00"/>
    <s v="C055"/>
    <s v="Customer_55"/>
    <s v="Bhubaneswar"/>
    <s v="East"/>
    <s v="P015"/>
    <s v="Vacuum Cleaner"/>
    <x v="0"/>
    <n v="3"/>
    <n v="9000"/>
    <n v="27000"/>
  </r>
  <r>
    <n v="11155"/>
    <d v="2025-05-10T00:00:00"/>
    <s v="C056"/>
    <s v="Customer_56"/>
    <s v="Patna"/>
    <s v="East"/>
    <s v="P003"/>
    <s v="Smartphone X"/>
    <x v="2"/>
    <n v="1"/>
    <n v="30000"/>
    <n v="30000"/>
  </r>
  <r>
    <n v="11156"/>
    <d v="2025-11-15T00:00:00"/>
    <s v="C066"/>
    <s v="Customer_66"/>
    <s v="Jaipur"/>
    <s v="North"/>
    <s v="P006"/>
    <s v="Monitor 24"/>
    <x v="2"/>
    <n v="1"/>
    <n v="12000"/>
    <n v="12000"/>
  </r>
  <r>
    <n v="11157"/>
    <d v="2025-07-14T00:00:00"/>
    <s v="C057"/>
    <s v="Customer_57"/>
    <s v="Mumbai"/>
    <s v="West"/>
    <s v="P025"/>
    <s v="Dress"/>
    <x v="3"/>
    <n v="1"/>
    <n v="3800"/>
    <n v="3800"/>
  </r>
  <r>
    <n v="11158"/>
    <d v="2025-11-11T00:00:00"/>
    <s v="C033"/>
    <s v="Customer_33"/>
    <s v="Delhi"/>
    <s v="North"/>
    <s v="P017"/>
    <s v="Water Purifier"/>
    <x v="0"/>
    <n v="1"/>
    <n v="15000"/>
    <n v="15000"/>
  </r>
  <r>
    <n v="11159"/>
    <d v="2025-01-24T00:00:00"/>
    <s v="C059"/>
    <s v="Customer_59"/>
    <s v="Ahmedabad"/>
    <s v="West"/>
    <s v="P028"/>
    <s v="Wallet"/>
    <x v="1"/>
    <n v="2"/>
    <n v="1400"/>
    <n v="2800"/>
  </r>
  <r>
    <n v="11160"/>
    <d v="2025-07-26T00:00:00"/>
    <s v="C015"/>
    <s v="Customer_15"/>
    <s v="Hyderabad"/>
    <s v="South"/>
    <s v="P021"/>
    <s v="Formal Shirt"/>
    <x v="3"/>
    <n v="2"/>
    <n v="2400"/>
    <n v="4800"/>
  </r>
  <r>
    <n v="11161"/>
    <d v="2025-01-13T00:00:00"/>
    <s v="C051"/>
    <s v="Customer_51"/>
    <s v="Lucknow"/>
    <s v="North"/>
    <s v="P020"/>
    <s v="T-Shirt"/>
    <x v="3"/>
    <n v="2"/>
    <n v="1600"/>
    <n v="3200"/>
  </r>
  <r>
    <n v="11162"/>
    <d v="2025-10-26T00:00:00"/>
    <s v="C048"/>
    <s v="Customer_48"/>
    <s v="Kochi"/>
    <s v="South"/>
    <s v="P015"/>
    <s v="Vacuum Cleaner"/>
    <x v="0"/>
    <n v="1"/>
    <n v="9000"/>
    <n v="9000"/>
  </r>
  <r>
    <n v="11163"/>
    <d v="2025-03-01T00:00:00"/>
    <s v="C037"/>
    <s v="Customer_37"/>
    <s v="Kolkata"/>
    <s v="East"/>
    <s v="P015"/>
    <s v="Vacuum Cleaner"/>
    <x v="0"/>
    <n v="1"/>
    <n v="9000"/>
    <n v="9000"/>
  </r>
  <r>
    <n v="11164"/>
    <d v="2025-01-22T00:00:00"/>
    <s v="C038"/>
    <s v="Customer_38"/>
    <s v="Guwahati"/>
    <s v="East"/>
    <s v="P021"/>
    <s v="Formal Shirt"/>
    <x v="3"/>
    <n v="1"/>
    <n v="2400"/>
    <n v="2400"/>
  </r>
  <r>
    <n v="11165"/>
    <d v="2025-08-27T00:00:00"/>
    <s v="C068"/>
    <s v="Customer_68"/>
    <s v="Chandigarh"/>
    <s v="North"/>
    <s v="P010"/>
    <s v="Keyboard"/>
    <x v="2"/>
    <n v="2"/>
    <n v="2200"/>
    <n v="4400"/>
  </r>
  <r>
    <n v="11166"/>
    <d v="2025-01-18T00:00:00"/>
    <s v="C019"/>
    <s v="Customer_19"/>
    <s v="Lucknow"/>
    <s v="North"/>
    <s v="P022"/>
    <s v="Jacket"/>
    <x v="3"/>
    <n v="1"/>
    <n v="4800"/>
    <n v="4800"/>
  </r>
  <r>
    <n v="11167"/>
    <d v="2025-05-14T00:00:00"/>
    <s v="C051"/>
    <s v="Customer_51"/>
    <s v="Lucknow"/>
    <s v="North"/>
    <s v="P028"/>
    <s v="Wallet"/>
    <x v="1"/>
    <n v="1"/>
    <n v="1400"/>
    <n v="1400"/>
  </r>
  <r>
    <n v="11168"/>
    <d v="2025-02-26T00:00:00"/>
    <s v="C070"/>
    <s v="Customer_70"/>
    <s v="Guwahati"/>
    <s v="East"/>
    <s v="P008"/>
    <s v="Headphones Pro"/>
    <x v="2"/>
    <n v="1"/>
    <n v="4500"/>
    <n v="4500"/>
  </r>
  <r>
    <n v="11169"/>
    <d v="2025-06-22T00:00:00"/>
    <s v="C043"/>
    <s v="Customer_43"/>
    <s v="Ahmedabad"/>
    <s v="West"/>
    <s v="P001"/>
    <s v="Laptop Pro"/>
    <x v="2"/>
    <n v="1"/>
    <n v="65000"/>
    <n v="65000"/>
  </r>
  <r>
    <n v="11170"/>
    <d v="2025-05-07T00:00:00"/>
    <s v="C043"/>
    <s v="Customer_43"/>
    <s v="Ahmedabad"/>
    <s v="West"/>
    <s v="P006"/>
    <s v="Monitor 24"/>
    <x v="2"/>
    <n v="1"/>
    <n v="12000"/>
    <n v="12000"/>
  </r>
  <r>
    <n v="11171"/>
    <d v="2025-12-05T00:00:00"/>
    <s v="C053"/>
    <s v="Customer_53"/>
    <s v="Kolkata"/>
    <s v="East"/>
    <s v="P019"/>
    <s v="Jeans"/>
    <x v="3"/>
    <n v="3"/>
    <n v="3200"/>
    <n v="9600"/>
  </r>
  <r>
    <n v="11172"/>
    <d v="2025-04-17T00:00:00"/>
    <s v="C071"/>
    <s v="Customer_71"/>
    <s v="Bhubaneswar"/>
    <s v="East"/>
    <s v="P027"/>
    <s v="Watch"/>
    <x v="1"/>
    <n v="1"/>
    <n v="5500"/>
    <n v="5500"/>
  </r>
  <r>
    <n v="11173"/>
    <d v="2025-11-12T00:00:00"/>
    <s v="C053"/>
    <s v="Customer_53"/>
    <s v="Kolkata"/>
    <s v="East"/>
    <s v="P011"/>
    <s v="Air Fryer"/>
    <x v="0"/>
    <n v="1"/>
    <n v="6500"/>
    <n v="6500"/>
  </r>
  <r>
    <n v="11174"/>
    <d v="2025-11-18T00:00:00"/>
    <s v="C027"/>
    <s v="Customer_27"/>
    <s v="Ahmedabad"/>
    <s v="West"/>
    <s v="P018"/>
    <s v="Induction Cooktop"/>
    <x v="0"/>
    <n v="1"/>
    <n v="3000"/>
    <n v="3000"/>
  </r>
  <r>
    <n v="11175"/>
    <d v="2025-03-11T00:00:00"/>
    <s v="C044"/>
    <s v="Customer_44"/>
    <s v="Surat"/>
    <s v="West"/>
    <s v="P003"/>
    <s v="Smartphone X"/>
    <x v="2"/>
    <n v="1"/>
    <n v="30000"/>
    <n v="30000"/>
  </r>
  <r>
    <n v="11176"/>
    <d v="2025-01-20T00:00:00"/>
    <s v="C026"/>
    <s v="Customer_26"/>
    <s v="Pune"/>
    <s v="West"/>
    <s v="P003"/>
    <s v="Smartphone X"/>
    <x v="2"/>
    <n v="3"/>
    <n v="30000"/>
    <n v="90000"/>
  </r>
  <r>
    <n v="11177"/>
    <d v="2025-07-16T00:00:00"/>
    <s v="C070"/>
    <s v="Customer_70"/>
    <s v="Guwahati"/>
    <s v="East"/>
    <s v="P012"/>
    <s v="Mixer Grinder"/>
    <x v="0"/>
    <n v="2"/>
    <n v="5000"/>
    <n v="10000"/>
  </r>
  <r>
    <n v="11178"/>
    <d v="2025-10-18T00:00:00"/>
    <s v="C022"/>
    <s v="Customer_22"/>
    <s v="Guwahati"/>
    <s v="East"/>
    <s v="P017"/>
    <s v="Water Purifier"/>
    <x v="0"/>
    <n v="1"/>
    <n v="15000"/>
    <n v="15000"/>
  </r>
  <r>
    <n v="11179"/>
    <d v="2025-07-20T00:00:00"/>
    <s v="C024"/>
    <s v="Customer_24"/>
    <s v="Patna"/>
    <s v="East"/>
    <s v="P015"/>
    <s v="Vacuum Cleaner"/>
    <x v="0"/>
    <n v="2"/>
    <n v="9000"/>
    <n v="18000"/>
  </r>
  <r>
    <n v="11180"/>
    <d v="2025-04-21T00:00:00"/>
    <s v="C024"/>
    <s v="Customer_24"/>
    <s v="Patna"/>
    <s v="East"/>
    <s v="P016"/>
    <s v="Electric Kettle"/>
    <x v="0"/>
    <n v="1"/>
    <n v="2200"/>
    <n v="2200"/>
  </r>
  <r>
    <n v="11181"/>
    <d v="2025-03-31T00:00:00"/>
    <s v="C024"/>
    <s v="Customer_24"/>
    <s v="Patna"/>
    <s v="East"/>
    <s v="P013"/>
    <s v="Coffee Maker"/>
    <x v="0"/>
    <n v="2"/>
    <n v="4200"/>
    <n v="8400"/>
  </r>
  <r>
    <n v="11182"/>
    <d v="2025-09-04T00:00:00"/>
    <s v="C009"/>
    <s v="Customer_09"/>
    <s v="Mumbai"/>
    <s v="West"/>
    <s v="P007"/>
    <s v="Monitor 27"/>
    <x v="2"/>
    <n v="1"/>
    <n v="18000"/>
    <n v="18000"/>
  </r>
  <r>
    <n v="11183"/>
    <d v="2025-02-15T00:00:00"/>
    <s v="C035"/>
    <s v="Customer_35"/>
    <s v="Lucknow"/>
    <s v="North"/>
    <s v="P015"/>
    <s v="Vacuum Cleaner"/>
    <x v="0"/>
    <n v="1"/>
    <n v="9000"/>
    <n v="9000"/>
  </r>
  <r>
    <n v="11184"/>
    <d v="2025-05-01T00:00:00"/>
    <s v="C003"/>
    <s v="Customer_03"/>
    <s v="Lucknow"/>
    <s v="North"/>
    <s v="P023"/>
    <s v="Sneakers"/>
    <x v="3"/>
    <n v="3"/>
    <n v="4200"/>
    <n v="12600"/>
  </r>
  <r>
    <n v="11185"/>
    <d v="2025-01-19T00:00:00"/>
    <s v="C008"/>
    <s v="Customer_08"/>
    <s v="Patna"/>
    <s v="East"/>
    <s v="P020"/>
    <s v="T-Shirt"/>
    <x v="3"/>
    <n v="1"/>
    <n v="1600"/>
    <n v="1600"/>
  </r>
  <r>
    <n v="11186"/>
    <d v="2025-12-25T00:00:00"/>
    <s v="C061"/>
    <s v="Customer_61"/>
    <s v="Bengaluru"/>
    <s v="South"/>
    <s v="P007"/>
    <s v="Monitor 27"/>
    <x v="2"/>
    <n v="2"/>
    <n v="18000"/>
    <n v="36000"/>
  </r>
  <r>
    <n v="11187"/>
    <d v="2025-07-20T00:00:00"/>
    <s v="C009"/>
    <s v="Customer_09"/>
    <s v="Mumbai"/>
    <s v="West"/>
    <s v="P027"/>
    <s v="Watch"/>
    <x v="1"/>
    <n v="2"/>
    <n v="5500"/>
    <n v="11000"/>
  </r>
  <r>
    <n v="11188"/>
    <d v="2025-08-21T00:00:00"/>
    <s v="C022"/>
    <s v="Customer_22"/>
    <s v="Guwahati"/>
    <s v="East"/>
    <s v="P024"/>
    <s v="Hoodie"/>
    <x v="3"/>
    <n v="2"/>
    <n v="3000"/>
    <n v="6000"/>
  </r>
  <r>
    <n v="11189"/>
    <d v="2025-05-01T00:00:00"/>
    <s v="C006"/>
    <s v="Customer_06"/>
    <s v="Guwahati"/>
    <s v="East"/>
    <s v="P005"/>
    <s v="Tablet Pro"/>
    <x v="2"/>
    <n v="2"/>
    <n v="28000"/>
    <n v="56000"/>
  </r>
  <r>
    <n v="11190"/>
    <d v="2025-05-17T00:00:00"/>
    <s v="C035"/>
    <s v="Customer_35"/>
    <s v="Lucknow"/>
    <s v="North"/>
    <s v="P007"/>
    <s v="Monitor 27"/>
    <x v="2"/>
    <n v="1"/>
    <n v="18000"/>
    <n v="18000"/>
  </r>
  <r>
    <n v="11191"/>
    <d v="2025-12-21T00:00:00"/>
    <s v="C036"/>
    <s v="Customer_36"/>
    <s v="Chandigarh"/>
    <s v="North"/>
    <s v="P026"/>
    <s v="Backpack"/>
    <x v="1"/>
    <n v="1"/>
    <n v="2400"/>
    <n v="2400"/>
  </r>
  <r>
    <n v="11192"/>
    <d v="2025-03-25T00:00:00"/>
    <s v="C043"/>
    <s v="Customer_43"/>
    <s v="Ahmedabad"/>
    <s v="West"/>
    <s v="P011"/>
    <s v="Air Fryer"/>
    <x v="0"/>
    <n v="2"/>
    <n v="6500"/>
    <n v="13000"/>
  </r>
  <r>
    <n v="11193"/>
    <d v="2025-12-08T00:00:00"/>
    <s v="C035"/>
    <s v="Customer_35"/>
    <s v="Lucknow"/>
    <s v="North"/>
    <s v="P003"/>
    <s v="Smartphone X"/>
    <x v="2"/>
    <n v="1"/>
    <n v="30000"/>
    <n v="30000"/>
  </r>
  <r>
    <n v="11194"/>
    <d v="2025-07-28T00:00:00"/>
    <s v="C073"/>
    <s v="Customer_73"/>
    <s v="Mumbai"/>
    <s v="West"/>
    <s v="P026"/>
    <s v="Backpack"/>
    <x v="1"/>
    <n v="1"/>
    <n v="2400"/>
    <n v="2400"/>
  </r>
  <r>
    <n v="11195"/>
    <d v="2025-02-25T00:00:00"/>
    <s v="C003"/>
    <s v="Customer_03"/>
    <s v="Lucknow"/>
    <s v="North"/>
    <s v="P014"/>
    <s v="Microwave"/>
    <x v="0"/>
    <n v="1"/>
    <n v="11000"/>
    <n v="11000"/>
  </r>
  <r>
    <n v="11196"/>
    <d v="2025-08-05T00:00:00"/>
    <s v="C008"/>
    <s v="Customer_08"/>
    <s v="Patna"/>
    <s v="East"/>
    <s v="P019"/>
    <s v="Jeans"/>
    <x v="3"/>
    <n v="3"/>
    <n v="3200"/>
    <n v="9600"/>
  </r>
  <r>
    <n v="11197"/>
    <d v="2025-08-25T00:00:00"/>
    <s v="C026"/>
    <s v="Customer_26"/>
    <s v="Pune"/>
    <s v="West"/>
    <s v="P002"/>
    <s v="Laptop Air"/>
    <x v="2"/>
    <n v="2"/>
    <n v="52000"/>
    <n v="104000"/>
  </r>
  <r>
    <n v="11198"/>
    <d v="2025-11-28T00:00:00"/>
    <s v="C043"/>
    <s v="Customer_43"/>
    <s v="Ahmedabad"/>
    <s v="West"/>
    <s v="P003"/>
    <s v="Smartphone X"/>
    <x v="2"/>
    <n v="1"/>
    <n v="30000"/>
    <n v="30000"/>
  </r>
  <r>
    <n v="11199"/>
    <d v="2025-02-05T00:00:00"/>
    <s v="C012"/>
    <s v="Customer_12"/>
    <s v="Surat"/>
    <s v="West"/>
    <s v="P010"/>
    <s v="Keyboard"/>
    <x v="2"/>
    <n v="2"/>
    <n v="2200"/>
    <n v="4400"/>
  </r>
  <r>
    <n v="11200"/>
    <d v="2025-01-27T00:00:00"/>
    <s v="C060"/>
    <s v="Customer_60"/>
    <s v="Surat"/>
    <s v="West"/>
    <s v="P018"/>
    <s v="Induction Cooktop"/>
    <x v="0"/>
    <n v="2"/>
    <n v="3000"/>
    <n v="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7A1A2-A320-410F-B16C-851E5A8D249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8">
    <pivotField showAll="0"/>
    <pivotField numFmtId="164" showAll="0">
      <items count="347">
        <item x="245"/>
        <item x="326"/>
        <item x="342"/>
        <item x="144"/>
        <item x="4"/>
        <item x="248"/>
        <item x="302"/>
        <item x="160"/>
        <item x="175"/>
        <item x="70"/>
        <item x="64"/>
        <item x="13"/>
        <item x="38"/>
        <item x="72"/>
        <item x="143"/>
        <item x="20"/>
        <item x="344"/>
        <item x="121"/>
        <item x="309"/>
        <item x="321"/>
        <item x="335"/>
        <item x="251"/>
        <item x="263"/>
        <item x="44"/>
        <item x="330"/>
        <item x="37"/>
        <item x="170"/>
        <item x="226"/>
        <item x="136"/>
        <item x="182"/>
        <item x="265"/>
        <item x="194"/>
        <item x="190"/>
        <item x="275"/>
        <item x="101"/>
        <item x="154"/>
        <item x="242"/>
        <item x="162"/>
        <item x="7"/>
        <item x="252"/>
        <item x="149"/>
        <item x="299"/>
        <item x="86"/>
        <item x="171"/>
        <item x="172"/>
        <item x="137"/>
        <item x="328"/>
        <item x="52"/>
        <item x="317"/>
        <item x="193"/>
        <item x="87"/>
        <item x="212"/>
        <item x="236"/>
        <item x="163"/>
        <item x="195"/>
        <item x="56"/>
        <item x="71"/>
        <item x="159"/>
        <item x="188"/>
        <item x="260"/>
        <item x="223"/>
        <item x="16"/>
        <item x="307"/>
        <item x="74"/>
        <item x="133"/>
        <item x="247"/>
        <item x="58"/>
        <item x="233"/>
        <item x="35"/>
        <item x="277"/>
        <item x="238"/>
        <item x="312"/>
        <item x="314"/>
        <item x="271"/>
        <item x="76"/>
        <item x="261"/>
        <item x="80"/>
        <item x="334"/>
        <item x="106"/>
        <item x="272"/>
        <item x="47"/>
        <item x="324"/>
        <item x="173"/>
        <item x="259"/>
        <item x="287"/>
        <item x="59"/>
        <item x="257"/>
        <item x="126"/>
        <item x="132"/>
        <item x="199"/>
        <item x="60"/>
        <item x="134"/>
        <item x="93"/>
        <item x="167"/>
        <item x="298"/>
        <item x="237"/>
        <item x="141"/>
        <item x="30"/>
        <item x="276"/>
        <item x="300"/>
        <item x="229"/>
        <item x="41"/>
        <item x="181"/>
        <item x="5"/>
        <item x="282"/>
        <item x="57"/>
        <item x="266"/>
        <item x="46"/>
        <item x="115"/>
        <item x="240"/>
        <item x="234"/>
        <item x="210"/>
        <item x="320"/>
        <item x="206"/>
        <item x="269"/>
        <item x="288"/>
        <item x="189"/>
        <item x="157"/>
        <item x="322"/>
        <item x="79"/>
        <item x="164"/>
        <item x="332"/>
        <item x="253"/>
        <item x="68"/>
        <item x="113"/>
        <item x="216"/>
        <item x="63"/>
        <item x="319"/>
        <item x="62"/>
        <item x="99"/>
        <item x="201"/>
        <item x="27"/>
        <item x="31"/>
        <item x="129"/>
        <item x="268"/>
        <item x="123"/>
        <item x="117"/>
        <item x="174"/>
        <item x="281"/>
        <item x="250"/>
        <item x="327"/>
        <item x="168"/>
        <item x="8"/>
        <item x="222"/>
        <item x="284"/>
        <item x="109"/>
        <item x="92"/>
        <item x="125"/>
        <item x="204"/>
        <item x="316"/>
        <item x="211"/>
        <item x="218"/>
        <item x="140"/>
        <item x="102"/>
        <item x="32"/>
        <item x="337"/>
        <item x="24"/>
        <item x="152"/>
        <item x="156"/>
        <item x="264"/>
        <item x="135"/>
        <item x="116"/>
        <item x="118"/>
        <item x="108"/>
        <item x="254"/>
        <item x="155"/>
        <item x="262"/>
        <item x="243"/>
        <item x="278"/>
        <item x="82"/>
        <item x="49"/>
        <item x="343"/>
        <item x="65"/>
        <item x="55"/>
        <item x="145"/>
        <item x="6"/>
        <item x="289"/>
        <item x="81"/>
        <item x="241"/>
        <item x="286"/>
        <item x="122"/>
        <item x="220"/>
        <item x="207"/>
        <item x="138"/>
        <item x="97"/>
        <item x="36"/>
        <item x="73"/>
        <item x="89"/>
        <item x="235"/>
        <item x="345"/>
        <item x="180"/>
        <item x="249"/>
        <item x="91"/>
        <item x="130"/>
        <item x="187"/>
        <item x="285"/>
        <item x="112"/>
        <item x="19"/>
        <item x="217"/>
        <item x="283"/>
        <item x="232"/>
        <item x="336"/>
        <item x="28"/>
        <item x="191"/>
        <item x="50"/>
        <item x="77"/>
        <item x="295"/>
        <item x="12"/>
        <item x="139"/>
        <item x="26"/>
        <item x="270"/>
        <item x="15"/>
        <item x="107"/>
        <item x="103"/>
        <item x="23"/>
        <item x="69"/>
        <item x="256"/>
        <item x="338"/>
        <item x="200"/>
        <item x="51"/>
        <item x="297"/>
        <item x="291"/>
        <item x="39"/>
        <item x="29"/>
        <item x="53"/>
        <item x="151"/>
        <item x="83"/>
        <item x="306"/>
        <item x="10"/>
        <item x="105"/>
        <item x="293"/>
        <item x="147"/>
        <item x="177"/>
        <item x="33"/>
        <item x="114"/>
        <item x="318"/>
        <item x="120"/>
        <item x="294"/>
        <item x="292"/>
        <item x="85"/>
        <item x="230"/>
        <item x="158"/>
        <item x="2"/>
        <item x="215"/>
        <item x="323"/>
        <item x="255"/>
        <item x="11"/>
        <item x="331"/>
        <item x="34"/>
        <item x="185"/>
        <item x="246"/>
        <item x="184"/>
        <item x="0"/>
        <item x="25"/>
        <item x="341"/>
        <item x="225"/>
        <item x="161"/>
        <item x="21"/>
        <item x="165"/>
        <item x="186"/>
        <item x="127"/>
        <item x="148"/>
        <item x="48"/>
        <item x="153"/>
        <item x="208"/>
        <item x="94"/>
        <item x="95"/>
        <item x="75"/>
        <item x="310"/>
        <item x="17"/>
        <item x="18"/>
        <item x="110"/>
        <item x="333"/>
        <item x="192"/>
        <item x="219"/>
        <item x="339"/>
        <item x="146"/>
        <item x="166"/>
        <item x="150"/>
        <item x="224"/>
        <item x="176"/>
        <item x="315"/>
        <item x="40"/>
        <item x="221"/>
        <item x="280"/>
        <item x="9"/>
        <item x="198"/>
        <item x="84"/>
        <item x="329"/>
        <item x="267"/>
        <item x="290"/>
        <item x="61"/>
        <item x="303"/>
        <item x="78"/>
        <item x="66"/>
        <item x="98"/>
        <item x="1"/>
        <item x="196"/>
        <item x="228"/>
        <item x="131"/>
        <item x="128"/>
        <item x="296"/>
        <item x="203"/>
        <item x="3"/>
        <item x="214"/>
        <item x="197"/>
        <item x="142"/>
        <item x="305"/>
        <item x="179"/>
        <item x="239"/>
        <item x="340"/>
        <item x="111"/>
        <item x="169"/>
        <item x="202"/>
        <item x="209"/>
        <item x="273"/>
        <item x="301"/>
        <item x="124"/>
        <item x="43"/>
        <item x="308"/>
        <item x="244"/>
        <item x="104"/>
        <item x="325"/>
        <item x="90"/>
        <item x="178"/>
        <item x="274"/>
        <item x="96"/>
        <item x="54"/>
        <item x="119"/>
        <item x="311"/>
        <item x="42"/>
        <item x="231"/>
        <item x="100"/>
        <item x="313"/>
        <item x="67"/>
        <item x="183"/>
        <item x="22"/>
        <item x="279"/>
        <item x="88"/>
        <item x="304"/>
        <item x="213"/>
        <item x="14"/>
        <item x="258"/>
        <item x="205"/>
        <item x="227"/>
        <item x="45"/>
        <item t="default"/>
      </items>
    </pivotField>
    <pivotField showAll="0"/>
    <pivotField showAll="0"/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0303D-7A71-418B-A73F-E60252E2DDC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B32" firstHeaderRow="1" firstDataRow="1" firstDataCol="1"/>
  <pivotFields count="18">
    <pivotField showAll="0"/>
    <pivotField numFmtId="164" showAll="0">
      <items count="347">
        <item x="245"/>
        <item x="326"/>
        <item x="342"/>
        <item x="144"/>
        <item x="4"/>
        <item x="248"/>
        <item x="302"/>
        <item x="160"/>
        <item x="175"/>
        <item x="70"/>
        <item x="64"/>
        <item x="13"/>
        <item x="38"/>
        <item x="72"/>
        <item x="143"/>
        <item x="20"/>
        <item x="344"/>
        <item x="121"/>
        <item x="309"/>
        <item x="321"/>
        <item x="335"/>
        <item x="251"/>
        <item x="263"/>
        <item x="44"/>
        <item x="330"/>
        <item x="37"/>
        <item x="170"/>
        <item x="226"/>
        <item x="136"/>
        <item x="182"/>
        <item x="265"/>
        <item x="194"/>
        <item x="190"/>
        <item x="275"/>
        <item x="101"/>
        <item x="154"/>
        <item x="242"/>
        <item x="162"/>
        <item x="7"/>
        <item x="252"/>
        <item x="149"/>
        <item x="299"/>
        <item x="86"/>
        <item x="171"/>
        <item x="172"/>
        <item x="137"/>
        <item x="328"/>
        <item x="52"/>
        <item x="317"/>
        <item x="193"/>
        <item x="87"/>
        <item x="212"/>
        <item x="236"/>
        <item x="163"/>
        <item x="195"/>
        <item x="56"/>
        <item x="71"/>
        <item x="159"/>
        <item x="188"/>
        <item x="260"/>
        <item x="223"/>
        <item x="16"/>
        <item x="307"/>
        <item x="74"/>
        <item x="133"/>
        <item x="247"/>
        <item x="58"/>
        <item x="233"/>
        <item x="35"/>
        <item x="277"/>
        <item x="238"/>
        <item x="312"/>
        <item x="314"/>
        <item x="271"/>
        <item x="76"/>
        <item x="261"/>
        <item x="80"/>
        <item x="334"/>
        <item x="106"/>
        <item x="272"/>
        <item x="47"/>
        <item x="324"/>
        <item x="173"/>
        <item x="259"/>
        <item x="287"/>
        <item x="59"/>
        <item x="257"/>
        <item x="126"/>
        <item x="132"/>
        <item x="199"/>
        <item x="60"/>
        <item x="134"/>
        <item x="93"/>
        <item x="167"/>
        <item x="298"/>
        <item x="237"/>
        <item x="141"/>
        <item x="30"/>
        <item x="276"/>
        <item x="300"/>
        <item x="229"/>
        <item x="41"/>
        <item x="181"/>
        <item x="5"/>
        <item x="282"/>
        <item x="57"/>
        <item x="266"/>
        <item x="46"/>
        <item x="115"/>
        <item x="240"/>
        <item x="234"/>
        <item x="210"/>
        <item x="320"/>
        <item x="206"/>
        <item x="269"/>
        <item x="288"/>
        <item x="189"/>
        <item x="157"/>
        <item x="322"/>
        <item x="79"/>
        <item x="164"/>
        <item x="332"/>
        <item x="253"/>
        <item x="68"/>
        <item x="113"/>
        <item x="216"/>
        <item x="63"/>
        <item x="319"/>
        <item x="62"/>
        <item x="99"/>
        <item x="201"/>
        <item x="27"/>
        <item x="31"/>
        <item x="129"/>
        <item x="268"/>
        <item x="123"/>
        <item x="117"/>
        <item x="174"/>
        <item x="281"/>
        <item x="250"/>
        <item x="327"/>
        <item x="168"/>
        <item x="8"/>
        <item x="222"/>
        <item x="284"/>
        <item x="109"/>
        <item x="92"/>
        <item x="125"/>
        <item x="204"/>
        <item x="316"/>
        <item x="211"/>
        <item x="218"/>
        <item x="140"/>
        <item x="102"/>
        <item x="32"/>
        <item x="337"/>
        <item x="24"/>
        <item x="152"/>
        <item x="156"/>
        <item x="264"/>
        <item x="135"/>
        <item x="116"/>
        <item x="118"/>
        <item x="108"/>
        <item x="254"/>
        <item x="155"/>
        <item x="262"/>
        <item x="243"/>
        <item x="278"/>
        <item x="82"/>
        <item x="49"/>
        <item x="343"/>
        <item x="65"/>
        <item x="55"/>
        <item x="145"/>
        <item x="6"/>
        <item x="289"/>
        <item x="81"/>
        <item x="241"/>
        <item x="286"/>
        <item x="122"/>
        <item x="220"/>
        <item x="207"/>
        <item x="138"/>
        <item x="97"/>
        <item x="36"/>
        <item x="73"/>
        <item x="89"/>
        <item x="235"/>
        <item x="345"/>
        <item x="180"/>
        <item x="249"/>
        <item x="91"/>
        <item x="130"/>
        <item x="187"/>
        <item x="285"/>
        <item x="112"/>
        <item x="19"/>
        <item x="217"/>
        <item x="283"/>
        <item x="232"/>
        <item x="336"/>
        <item x="28"/>
        <item x="191"/>
        <item x="50"/>
        <item x="77"/>
        <item x="295"/>
        <item x="12"/>
        <item x="139"/>
        <item x="26"/>
        <item x="270"/>
        <item x="15"/>
        <item x="107"/>
        <item x="103"/>
        <item x="23"/>
        <item x="69"/>
        <item x="256"/>
        <item x="338"/>
        <item x="200"/>
        <item x="51"/>
        <item x="297"/>
        <item x="291"/>
        <item x="39"/>
        <item x="29"/>
        <item x="53"/>
        <item x="151"/>
        <item x="83"/>
        <item x="306"/>
        <item x="10"/>
        <item x="105"/>
        <item x="293"/>
        <item x="147"/>
        <item x="177"/>
        <item x="33"/>
        <item x="114"/>
        <item x="318"/>
        <item x="120"/>
        <item x="294"/>
        <item x="292"/>
        <item x="85"/>
        <item x="230"/>
        <item x="158"/>
        <item x="2"/>
        <item x="215"/>
        <item x="323"/>
        <item x="255"/>
        <item x="11"/>
        <item x="331"/>
        <item x="34"/>
        <item x="185"/>
        <item x="246"/>
        <item x="184"/>
        <item x="0"/>
        <item x="25"/>
        <item x="341"/>
        <item x="225"/>
        <item x="161"/>
        <item x="21"/>
        <item x="165"/>
        <item x="186"/>
        <item x="127"/>
        <item x="148"/>
        <item x="48"/>
        <item x="153"/>
        <item x="208"/>
        <item x="94"/>
        <item x="95"/>
        <item x="75"/>
        <item x="310"/>
        <item x="17"/>
        <item x="18"/>
        <item x="110"/>
        <item x="333"/>
        <item x="192"/>
        <item x="219"/>
        <item x="339"/>
        <item x="146"/>
        <item x="166"/>
        <item x="150"/>
        <item x="224"/>
        <item x="176"/>
        <item x="315"/>
        <item x="40"/>
        <item x="221"/>
        <item x="280"/>
        <item x="9"/>
        <item x="198"/>
        <item x="84"/>
        <item x="329"/>
        <item x="267"/>
        <item x="290"/>
        <item x="61"/>
        <item x="303"/>
        <item x="78"/>
        <item x="66"/>
        <item x="98"/>
        <item x="1"/>
        <item x="196"/>
        <item x="228"/>
        <item x="131"/>
        <item x="128"/>
        <item x="296"/>
        <item x="203"/>
        <item x="3"/>
        <item x="214"/>
        <item x="197"/>
        <item x="142"/>
        <item x="305"/>
        <item x="179"/>
        <item x="239"/>
        <item x="340"/>
        <item x="111"/>
        <item x="169"/>
        <item x="202"/>
        <item x="209"/>
        <item x="273"/>
        <item x="301"/>
        <item x="124"/>
        <item x="43"/>
        <item x="308"/>
        <item x="244"/>
        <item x="104"/>
        <item x="325"/>
        <item x="90"/>
        <item x="178"/>
        <item x="274"/>
        <item x="96"/>
        <item x="54"/>
        <item x="119"/>
        <item x="311"/>
        <item x="42"/>
        <item x="231"/>
        <item x="100"/>
        <item x="313"/>
        <item x="67"/>
        <item x="183"/>
        <item x="22"/>
        <item x="279"/>
        <item x="88"/>
        <item x="304"/>
        <item x="213"/>
        <item x="14"/>
        <item x="258"/>
        <item x="205"/>
        <item x="227"/>
        <item x="45"/>
        <item t="default"/>
      </items>
    </pivotField>
    <pivotField showAll="0"/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axis="axisRow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898A9-2ECE-4027-A0D3-AD1420A22BD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9:B125" firstHeaderRow="1" firstDataRow="1" firstDataCol="1"/>
  <pivotFields count="18">
    <pivotField showAll="0"/>
    <pivotField numFmtId="164" showAll="0">
      <items count="347">
        <item x="245"/>
        <item x="326"/>
        <item x="342"/>
        <item x="144"/>
        <item x="4"/>
        <item x="248"/>
        <item x="302"/>
        <item x="160"/>
        <item x="175"/>
        <item x="70"/>
        <item x="64"/>
        <item x="13"/>
        <item x="38"/>
        <item x="72"/>
        <item x="143"/>
        <item x="20"/>
        <item x="344"/>
        <item x="121"/>
        <item x="309"/>
        <item x="321"/>
        <item x="335"/>
        <item x="251"/>
        <item x="263"/>
        <item x="44"/>
        <item x="330"/>
        <item x="37"/>
        <item x="170"/>
        <item x="226"/>
        <item x="136"/>
        <item x="182"/>
        <item x="265"/>
        <item x="194"/>
        <item x="190"/>
        <item x="275"/>
        <item x="101"/>
        <item x="154"/>
        <item x="242"/>
        <item x="162"/>
        <item x="7"/>
        <item x="252"/>
        <item x="149"/>
        <item x="299"/>
        <item x="86"/>
        <item x="171"/>
        <item x="172"/>
        <item x="137"/>
        <item x="328"/>
        <item x="52"/>
        <item x="317"/>
        <item x="193"/>
        <item x="87"/>
        <item x="212"/>
        <item x="236"/>
        <item x="163"/>
        <item x="195"/>
        <item x="56"/>
        <item x="71"/>
        <item x="159"/>
        <item x="188"/>
        <item x="260"/>
        <item x="223"/>
        <item x="16"/>
        <item x="307"/>
        <item x="74"/>
        <item x="133"/>
        <item x="247"/>
        <item x="58"/>
        <item x="233"/>
        <item x="35"/>
        <item x="277"/>
        <item x="238"/>
        <item x="312"/>
        <item x="314"/>
        <item x="271"/>
        <item x="76"/>
        <item x="261"/>
        <item x="80"/>
        <item x="334"/>
        <item x="106"/>
        <item x="272"/>
        <item x="47"/>
        <item x="324"/>
        <item x="173"/>
        <item x="259"/>
        <item x="287"/>
        <item x="59"/>
        <item x="257"/>
        <item x="126"/>
        <item x="132"/>
        <item x="199"/>
        <item x="60"/>
        <item x="134"/>
        <item x="93"/>
        <item x="167"/>
        <item x="298"/>
        <item x="237"/>
        <item x="141"/>
        <item x="30"/>
        <item x="276"/>
        <item x="300"/>
        <item x="229"/>
        <item x="41"/>
        <item x="181"/>
        <item x="5"/>
        <item x="282"/>
        <item x="57"/>
        <item x="266"/>
        <item x="46"/>
        <item x="115"/>
        <item x="240"/>
        <item x="234"/>
        <item x="210"/>
        <item x="320"/>
        <item x="206"/>
        <item x="269"/>
        <item x="288"/>
        <item x="189"/>
        <item x="157"/>
        <item x="322"/>
        <item x="79"/>
        <item x="164"/>
        <item x="332"/>
        <item x="253"/>
        <item x="68"/>
        <item x="113"/>
        <item x="216"/>
        <item x="63"/>
        <item x="319"/>
        <item x="62"/>
        <item x="99"/>
        <item x="201"/>
        <item x="27"/>
        <item x="31"/>
        <item x="129"/>
        <item x="268"/>
        <item x="123"/>
        <item x="117"/>
        <item x="174"/>
        <item x="281"/>
        <item x="250"/>
        <item x="327"/>
        <item x="168"/>
        <item x="8"/>
        <item x="222"/>
        <item x="284"/>
        <item x="109"/>
        <item x="92"/>
        <item x="125"/>
        <item x="204"/>
        <item x="316"/>
        <item x="211"/>
        <item x="218"/>
        <item x="140"/>
        <item x="102"/>
        <item x="32"/>
        <item x="337"/>
        <item x="24"/>
        <item x="152"/>
        <item x="156"/>
        <item x="264"/>
        <item x="135"/>
        <item x="116"/>
        <item x="118"/>
        <item x="108"/>
        <item x="254"/>
        <item x="155"/>
        <item x="262"/>
        <item x="243"/>
        <item x="278"/>
        <item x="82"/>
        <item x="49"/>
        <item x="343"/>
        <item x="65"/>
        <item x="55"/>
        <item x="145"/>
        <item x="6"/>
        <item x="289"/>
        <item x="81"/>
        <item x="241"/>
        <item x="286"/>
        <item x="122"/>
        <item x="220"/>
        <item x="207"/>
        <item x="138"/>
        <item x="97"/>
        <item x="36"/>
        <item x="73"/>
        <item x="89"/>
        <item x="235"/>
        <item x="345"/>
        <item x="180"/>
        <item x="249"/>
        <item x="91"/>
        <item x="130"/>
        <item x="187"/>
        <item x="285"/>
        <item x="112"/>
        <item x="19"/>
        <item x="217"/>
        <item x="283"/>
        <item x="232"/>
        <item x="336"/>
        <item x="28"/>
        <item x="191"/>
        <item x="50"/>
        <item x="77"/>
        <item x="295"/>
        <item x="12"/>
        <item x="139"/>
        <item x="26"/>
        <item x="270"/>
        <item x="15"/>
        <item x="107"/>
        <item x="103"/>
        <item x="23"/>
        <item x="69"/>
        <item x="256"/>
        <item x="338"/>
        <item x="200"/>
        <item x="51"/>
        <item x="297"/>
        <item x="291"/>
        <item x="39"/>
        <item x="29"/>
        <item x="53"/>
        <item x="151"/>
        <item x="83"/>
        <item x="306"/>
        <item x="10"/>
        <item x="105"/>
        <item x="293"/>
        <item x="147"/>
        <item x="177"/>
        <item x="33"/>
        <item x="114"/>
        <item x="318"/>
        <item x="120"/>
        <item x="294"/>
        <item x="292"/>
        <item x="85"/>
        <item x="230"/>
        <item x="158"/>
        <item x="2"/>
        <item x="215"/>
        <item x="323"/>
        <item x="255"/>
        <item x="11"/>
        <item x="331"/>
        <item x="34"/>
        <item x="185"/>
        <item x="246"/>
        <item x="184"/>
        <item x="0"/>
        <item x="25"/>
        <item x="341"/>
        <item x="225"/>
        <item x="161"/>
        <item x="21"/>
        <item x="165"/>
        <item x="186"/>
        <item x="127"/>
        <item x="148"/>
        <item x="48"/>
        <item x="153"/>
        <item x="208"/>
        <item x="94"/>
        <item x="95"/>
        <item x="75"/>
        <item x="310"/>
        <item x="17"/>
        <item x="18"/>
        <item x="110"/>
        <item x="333"/>
        <item x="192"/>
        <item x="219"/>
        <item x="339"/>
        <item x="146"/>
        <item x="166"/>
        <item x="150"/>
        <item x="224"/>
        <item x="176"/>
        <item x="315"/>
        <item x="40"/>
        <item x="221"/>
        <item x="280"/>
        <item x="9"/>
        <item x="198"/>
        <item x="84"/>
        <item x="329"/>
        <item x="267"/>
        <item x="290"/>
        <item x="61"/>
        <item x="303"/>
        <item x="78"/>
        <item x="66"/>
        <item x="98"/>
        <item x="1"/>
        <item x="196"/>
        <item x="228"/>
        <item x="131"/>
        <item x="128"/>
        <item x="296"/>
        <item x="203"/>
        <item x="3"/>
        <item x="214"/>
        <item x="197"/>
        <item x="142"/>
        <item x="305"/>
        <item x="179"/>
        <item x="239"/>
        <item x="340"/>
        <item x="111"/>
        <item x="169"/>
        <item x="202"/>
        <item x="209"/>
        <item x="273"/>
        <item x="301"/>
        <item x="124"/>
        <item x="43"/>
        <item x="308"/>
        <item x="244"/>
        <item x="104"/>
        <item x="325"/>
        <item x="90"/>
        <item x="178"/>
        <item x="274"/>
        <item x="96"/>
        <item x="54"/>
        <item x="119"/>
        <item x="311"/>
        <item x="42"/>
        <item x="231"/>
        <item x="100"/>
        <item x="313"/>
        <item x="67"/>
        <item x="183"/>
        <item x="22"/>
        <item x="279"/>
        <item x="88"/>
        <item x="304"/>
        <item x="213"/>
        <item x="14"/>
        <item x="258"/>
        <item x="205"/>
        <item x="227"/>
        <item x="45"/>
        <item t="default"/>
      </items>
    </pivotField>
    <pivotField showAll="0"/>
    <pivotField axis="axisRow" showAll="0" sortType="descending">
      <items count="76">
        <item x="42"/>
        <item x="34"/>
        <item x="32"/>
        <item x="41"/>
        <item x="73"/>
        <item x="36"/>
        <item x="8"/>
        <item x="0"/>
        <item x="30"/>
        <item x="50"/>
        <item x="28"/>
        <item x="37"/>
        <item x="35"/>
        <item x="70"/>
        <item x="48"/>
        <item x="39"/>
        <item x="71"/>
        <item x="66"/>
        <item x="40"/>
        <item x="74"/>
        <item x="4"/>
        <item x="18"/>
        <item x="44"/>
        <item x="6"/>
        <item x="68"/>
        <item x="19"/>
        <item x="23"/>
        <item x="55"/>
        <item x="11"/>
        <item x="52"/>
        <item x="2"/>
        <item x="58"/>
        <item x="59"/>
        <item x="43"/>
        <item x="16"/>
        <item x="15"/>
        <item x="17"/>
        <item x="56"/>
        <item x="60"/>
        <item x="31"/>
        <item x="65"/>
        <item x="27"/>
        <item x="3"/>
        <item x="61"/>
        <item x="72"/>
        <item x="54"/>
        <item x="25"/>
        <item x="26"/>
        <item x="29"/>
        <item x="14"/>
        <item x="53"/>
        <item x="5"/>
        <item x="57"/>
        <item x="51"/>
        <item x="63"/>
        <item x="33"/>
        <item x="13"/>
        <item x="62"/>
        <item x="38"/>
        <item x="47"/>
        <item x="21"/>
        <item x="64"/>
        <item x="45"/>
        <item x="10"/>
        <item x="69"/>
        <item x="67"/>
        <item x="9"/>
        <item x="20"/>
        <item x="22"/>
        <item x="24"/>
        <item x="1"/>
        <item x="46"/>
        <item x="12"/>
        <item x="4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6">
    <i>
      <x v="23"/>
    </i>
    <i>
      <x v="7"/>
    </i>
    <i>
      <x v="51"/>
    </i>
    <i>
      <x v="55"/>
    </i>
    <i>
      <x v="35"/>
    </i>
    <i>
      <x v="52"/>
    </i>
    <i>
      <x v="2"/>
    </i>
    <i>
      <x v="67"/>
    </i>
    <i>
      <x v="10"/>
    </i>
    <i>
      <x v="36"/>
    </i>
    <i>
      <x v="28"/>
    </i>
    <i>
      <x v="39"/>
    </i>
    <i>
      <x v="48"/>
    </i>
    <i>
      <x v="29"/>
    </i>
    <i>
      <x v="46"/>
    </i>
    <i>
      <x v="70"/>
    </i>
    <i>
      <x v="25"/>
    </i>
    <i>
      <x v="69"/>
    </i>
    <i>
      <x v="53"/>
    </i>
    <i>
      <x v="56"/>
    </i>
    <i>
      <x v="62"/>
    </i>
    <i>
      <x v="3"/>
    </i>
    <i>
      <x v="42"/>
    </i>
    <i>
      <x v="5"/>
    </i>
    <i>
      <x v="34"/>
    </i>
    <i>
      <x v="27"/>
    </i>
    <i>
      <x v="21"/>
    </i>
    <i>
      <x v="30"/>
    </i>
    <i>
      <x v="71"/>
    </i>
    <i>
      <x v="40"/>
    </i>
    <i>
      <x v="54"/>
    </i>
    <i>
      <x v="49"/>
    </i>
    <i>
      <x v="12"/>
    </i>
    <i>
      <x v="45"/>
    </i>
    <i>
      <x v="1"/>
    </i>
    <i>
      <x v="63"/>
    </i>
    <i>
      <x v="18"/>
    </i>
    <i>
      <x v="33"/>
    </i>
    <i>
      <x v="31"/>
    </i>
    <i>
      <x v="20"/>
    </i>
    <i>
      <x v="58"/>
    </i>
    <i>
      <x/>
    </i>
    <i>
      <x v="14"/>
    </i>
    <i>
      <x v="66"/>
    </i>
    <i>
      <x v="11"/>
    </i>
    <i>
      <x v="72"/>
    </i>
    <i>
      <x v="68"/>
    </i>
    <i>
      <x v="73"/>
    </i>
    <i>
      <x v="43"/>
    </i>
    <i>
      <x v="8"/>
    </i>
    <i>
      <x v="13"/>
    </i>
    <i>
      <x v="38"/>
    </i>
    <i>
      <x v="26"/>
    </i>
    <i>
      <x v="6"/>
    </i>
    <i>
      <x v="60"/>
    </i>
    <i>
      <x v="9"/>
    </i>
    <i>
      <x v="74"/>
    </i>
    <i>
      <x v="32"/>
    </i>
    <i>
      <x v="50"/>
    </i>
    <i>
      <x v="37"/>
    </i>
    <i>
      <x v="47"/>
    </i>
    <i>
      <x v="41"/>
    </i>
    <i>
      <x v="57"/>
    </i>
    <i>
      <x v="59"/>
    </i>
    <i>
      <x v="22"/>
    </i>
    <i>
      <x v="16"/>
    </i>
    <i>
      <x v="65"/>
    </i>
    <i>
      <x v="61"/>
    </i>
    <i>
      <x v="17"/>
    </i>
    <i>
      <x v="64"/>
    </i>
    <i>
      <x v="24"/>
    </i>
    <i>
      <x v="15"/>
    </i>
    <i>
      <x v="4"/>
    </i>
    <i>
      <x v="19"/>
    </i>
    <i>
      <x v="44"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5E20F-F3E0-49F4-A0A4-0DC3F832FA48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4:B259" firstHeaderRow="1" firstDataRow="1" firstDataCol="1"/>
  <pivotFields count="12"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8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43F56-3D37-4023-A796-CA3D7FBE73D5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1:B384" firstHeaderRow="1" firstDataRow="1" firstDataCol="1"/>
  <pivotFields count="18">
    <pivotField showAll="0"/>
    <pivotField axis="axisRow" numFmtId="164" showAll="0">
      <items count="347">
        <item x="245"/>
        <item x="326"/>
        <item x="342"/>
        <item x="144"/>
        <item x="4"/>
        <item x="248"/>
        <item x="302"/>
        <item x="160"/>
        <item x="175"/>
        <item x="70"/>
        <item x="64"/>
        <item x="13"/>
        <item x="38"/>
        <item x="72"/>
        <item x="143"/>
        <item x="20"/>
        <item x="344"/>
        <item x="121"/>
        <item x="309"/>
        <item x="321"/>
        <item x="335"/>
        <item x="251"/>
        <item x="263"/>
        <item x="44"/>
        <item x="330"/>
        <item x="37"/>
        <item x="170"/>
        <item x="226"/>
        <item x="136"/>
        <item x="182"/>
        <item x="265"/>
        <item x="194"/>
        <item x="190"/>
        <item x="275"/>
        <item x="101"/>
        <item x="154"/>
        <item x="242"/>
        <item x="162"/>
        <item x="7"/>
        <item x="252"/>
        <item x="149"/>
        <item x="299"/>
        <item x="86"/>
        <item x="171"/>
        <item x="172"/>
        <item x="137"/>
        <item x="328"/>
        <item x="52"/>
        <item x="317"/>
        <item x="193"/>
        <item x="87"/>
        <item x="212"/>
        <item x="236"/>
        <item x="163"/>
        <item x="195"/>
        <item x="56"/>
        <item x="71"/>
        <item x="159"/>
        <item x="188"/>
        <item x="260"/>
        <item x="223"/>
        <item x="16"/>
        <item x="307"/>
        <item x="74"/>
        <item x="133"/>
        <item x="247"/>
        <item x="58"/>
        <item x="233"/>
        <item x="35"/>
        <item x="277"/>
        <item x="238"/>
        <item x="312"/>
        <item x="314"/>
        <item x="271"/>
        <item x="76"/>
        <item x="261"/>
        <item x="80"/>
        <item x="334"/>
        <item x="106"/>
        <item x="272"/>
        <item x="47"/>
        <item x="324"/>
        <item x="173"/>
        <item x="259"/>
        <item x="287"/>
        <item x="59"/>
        <item x="257"/>
        <item x="126"/>
        <item x="132"/>
        <item x="199"/>
        <item x="60"/>
        <item x="134"/>
        <item x="93"/>
        <item x="167"/>
        <item x="298"/>
        <item x="237"/>
        <item x="141"/>
        <item x="30"/>
        <item x="276"/>
        <item x="300"/>
        <item x="229"/>
        <item x="41"/>
        <item x="181"/>
        <item x="5"/>
        <item x="282"/>
        <item x="57"/>
        <item x="266"/>
        <item x="46"/>
        <item x="115"/>
        <item x="240"/>
        <item x="234"/>
        <item x="210"/>
        <item x="320"/>
        <item x="206"/>
        <item x="269"/>
        <item x="288"/>
        <item x="189"/>
        <item x="157"/>
        <item x="322"/>
        <item x="79"/>
        <item x="164"/>
        <item x="332"/>
        <item x="253"/>
        <item x="68"/>
        <item x="113"/>
        <item x="216"/>
        <item x="63"/>
        <item x="319"/>
        <item x="62"/>
        <item x="99"/>
        <item x="201"/>
        <item x="27"/>
        <item x="31"/>
        <item x="129"/>
        <item x="268"/>
        <item x="123"/>
        <item x="117"/>
        <item x="174"/>
        <item x="281"/>
        <item x="250"/>
        <item x="327"/>
        <item x="168"/>
        <item x="8"/>
        <item x="222"/>
        <item x="284"/>
        <item x="109"/>
        <item x="92"/>
        <item x="125"/>
        <item x="204"/>
        <item x="316"/>
        <item x="211"/>
        <item x="218"/>
        <item x="140"/>
        <item x="102"/>
        <item x="32"/>
        <item x="337"/>
        <item x="24"/>
        <item x="152"/>
        <item x="156"/>
        <item x="264"/>
        <item x="135"/>
        <item x="116"/>
        <item x="118"/>
        <item x="108"/>
        <item x="254"/>
        <item x="155"/>
        <item x="262"/>
        <item x="243"/>
        <item x="278"/>
        <item x="82"/>
        <item x="49"/>
        <item x="343"/>
        <item x="65"/>
        <item x="55"/>
        <item x="145"/>
        <item x="6"/>
        <item x="289"/>
        <item x="81"/>
        <item x="241"/>
        <item x="286"/>
        <item x="122"/>
        <item x="220"/>
        <item x="207"/>
        <item x="138"/>
        <item x="97"/>
        <item x="36"/>
        <item x="73"/>
        <item x="89"/>
        <item x="235"/>
        <item x="345"/>
        <item x="180"/>
        <item x="249"/>
        <item x="91"/>
        <item x="130"/>
        <item x="187"/>
        <item x="285"/>
        <item x="112"/>
        <item x="19"/>
        <item x="217"/>
        <item x="283"/>
        <item x="232"/>
        <item x="336"/>
        <item x="28"/>
        <item x="191"/>
        <item x="50"/>
        <item x="77"/>
        <item x="295"/>
        <item x="12"/>
        <item x="139"/>
        <item x="26"/>
        <item x="270"/>
        <item x="15"/>
        <item x="107"/>
        <item x="103"/>
        <item x="23"/>
        <item x="69"/>
        <item x="256"/>
        <item x="338"/>
        <item x="200"/>
        <item x="51"/>
        <item x="297"/>
        <item x="291"/>
        <item x="39"/>
        <item x="29"/>
        <item x="53"/>
        <item x="151"/>
        <item x="83"/>
        <item x="306"/>
        <item x="10"/>
        <item x="105"/>
        <item x="293"/>
        <item x="147"/>
        <item x="177"/>
        <item x="33"/>
        <item x="114"/>
        <item x="318"/>
        <item x="120"/>
        <item x="294"/>
        <item x="292"/>
        <item x="85"/>
        <item x="230"/>
        <item x="158"/>
        <item x="2"/>
        <item x="215"/>
        <item x="323"/>
        <item x="255"/>
        <item x="11"/>
        <item x="331"/>
        <item x="34"/>
        <item x="185"/>
        <item x="246"/>
        <item x="184"/>
        <item x="0"/>
        <item x="25"/>
        <item x="341"/>
        <item x="225"/>
        <item x="161"/>
        <item x="21"/>
        <item x="165"/>
        <item x="186"/>
        <item x="127"/>
        <item x="148"/>
        <item x="48"/>
        <item x="153"/>
        <item x="208"/>
        <item x="94"/>
        <item x="95"/>
        <item x="75"/>
        <item x="310"/>
        <item x="17"/>
        <item x="18"/>
        <item x="110"/>
        <item x="333"/>
        <item x="192"/>
        <item x="219"/>
        <item x="339"/>
        <item x="146"/>
        <item x="166"/>
        <item x="150"/>
        <item x="224"/>
        <item x="176"/>
        <item x="315"/>
        <item x="40"/>
        <item x="221"/>
        <item x="280"/>
        <item x="9"/>
        <item x="198"/>
        <item x="84"/>
        <item x="329"/>
        <item x="267"/>
        <item x="290"/>
        <item x="61"/>
        <item x="303"/>
        <item x="78"/>
        <item x="66"/>
        <item x="98"/>
        <item x="1"/>
        <item x="196"/>
        <item x="228"/>
        <item x="131"/>
        <item x="128"/>
        <item x="296"/>
        <item x="203"/>
        <item x="3"/>
        <item x="214"/>
        <item x="197"/>
        <item x="142"/>
        <item x="305"/>
        <item x="179"/>
        <item x="239"/>
        <item x="340"/>
        <item x="111"/>
        <item x="169"/>
        <item x="202"/>
        <item x="209"/>
        <item x="273"/>
        <item x="301"/>
        <item x="124"/>
        <item x="43"/>
        <item x="308"/>
        <item x="244"/>
        <item x="104"/>
        <item x="325"/>
        <item x="90"/>
        <item x="178"/>
        <item x="274"/>
        <item x="96"/>
        <item x="54"/>
        <item x="119"/>
        <item x="311"/>
        <item x="42"/>
        <item x="231"/>
        <item x="100"/>
        <item x="313"/>
        <item x="67"/>
        <item x="183"/>
        <item x="22"/>
        <item x="279"/>
        <item x="88"/>
        <item x="304"/>
        <item x="213"/>
        <item x="14"/>
        <item x="258"/>
        <item x="205"/>
        <item x="227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7"/>
    <field x="16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01441-3C9D-4D4A-A023-F0FB56D0B0D9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8:C366" firstHeaderRow="0" firstDataRow="1" firstDataCol="1" rowPageCount="1" colPageCount="1"/>
  <pivotFields count="18">
    <pivotField showAll="0"/>
    <pivotField numFmtId="164" showAll="0">
      <items count="347">
        <item x="245"/>
        <item x="326"/>
        <item x="342"/>
        <item x="144"/>
        <item x="4"/>
        <item x="248"/>
        <item x="302"/>
        <item x="160"/>
        <item x="175"/>
        <item x="70"/>
        <item x="64"/>
        <item x="13"/>
        <item x="38"/>
        <item x="72"/>
        <item x="143"/>
        <item x="20"/>
        <item x="344"/>
        <item x="121"/>
        <item x="309"/>
        <item x="321"/>
        <item x="335"/>
        <item x="251"/>
        <item x="263"/>
        <item x="44"/>
        <item x="330"/>
        <item x="37"/>
        <item x="170"/>
        <item x="226"/>
        <item x="136"/>
        <item x="182"/>
        <item x="265"/>
        <item x="194"/>
        <item x="190"/>
        <item x="275"/>
        <item x="101"/>
        <item x="154"/>
        <item x="242"/>
        <item x="162"/>
        <item x="7"/>
        <item x="252"/>
        <item x="149"/>
        <item x="299"/>
        <item x="86"/>
        <item x="171"/>
        <item x="172"/>
        <item x="137"/>
        <item x="328"/>
        <item x="52"/>
        <item x="317"/>
        <item x="193"/>
        <item x="87"/>
        <item x="212"/>
        <item x="236"/>
        <item x="163"/>
        <item x="195"/>
        <item x="56"/>
        <item x="71"/>
        <item x="159"/>
        <item x="188"/>
        <item x="260"/>
        <item x="223"/>
        <item x="16"/>
        <item x="307"/>
        <item x="74"/>
        <item x="133"/>
        <item x="247"/>
        <item x="58"/>
        <item x="233"/>
        <item x="35"/>
        <item x="277"/>
        <item x="238"/>
        <item x="312"/>
        <item x="314"/>
        <item x="271"/>
        <item x="76"/>
        <item x="261"/>
        <item x="80"/>
        <item x="334"/>
        <item x="106"/>
        <item x="272"/>
        <item x="47"/>
        <item x="324"/>
        <item x="173"/>
        <item x="259"/>
        <item x="287"/>
        <item x="59"/>
        <item x="257"/>
        <item x="126"/>
        <item x="132"/>
        <item x="199"/>
        <item x="60"/>
        <item x="134"/>
        <item x="93"/>
        <item x="167"/>
        <item x="298"/>
        <item x="237"/>
        <item x="141"/>
        <item x="30"/>
        <item x="276"/>
        <item x="300"/>
        <item x="229"/>
        <item x="41"/>
        <item x="181"/>
        <item x="5"/>
        <item x="282"/>
        <item x="57"/>
        <item x="266"/>
        <item x="46"/>
        <item x="115"/>
        <item x="240"/>
        <item x="234"/>
        <item x="210"/>
        <item x="320"/>
        <item x="206"/>
        <item x="269"/>
        <item x="288"/>
        <item x="189"/>
        <item x="157"/>
        <item x="322"/>
        <item x="79"/>
        <item x="164"/>
        <item x="332"/>
        <item x="253"/>
        <item x="68"/>
        <item x="113"/>
        <item x="216"/>
        <item x="63"/>
        <item x="319"/>
        <item x="62"/>
        <item x="99"/>
        <item x="201"/>
        <item x="27"/>
        <item x="31"/>
        <item x="129"/>
        <item x="268"/>
        <item x="123"/>
        <item x="117"/>
        <item x="174"/>
        <item x="281"/>
        <item x="250"/>
        <item x="327"/>
        <item x="168"/>
        <item x="8"/>
        <item x="222"/>
        <item x="284"/>
        <item x="109"/>
        <item x="92"/>
        <item x="125"/>
        <item x="204"/>
        <item x="316"/>
        <item x="211"/>
        <item x="218"/>
        <item x="140"/>
        <item x="102"/>
        <item x="32"/>
        <item x="337"/>
        <item x="24"/>
        <item x="152"/>
        <item x="156"/>
        <item x="264"/>
        <item x="135"/>
        <item x="116"/>
        <item x="118"/>
        <item x="108"/>
        <item x="254"/>
        <item x="155"/>
        <item x="262"/>
        <item x="243"/>
        <item x="278"/>
        <item x="82"/>
        <item x="49"/>
        <item x="343"/>
        <item x="65"/>
        <item x="55"/>
        <item x="145"/>
        <item x="6"/>
        <item x="289"/>
        <item x="81"/>
        <item x="241"/>
        <item x="286"/>
        <item x="122"/>
        <item x="220"/>
        <item x="207"/>
        <item x="138"/>
        <item x="97"/>
        <item x="36"/>
        <item x="73"/>
        <item x="89"/>
        <item x="235"/>
        <item x="345"/>
        <item x="180"/>
        <item x="249"/>
        <item x="91"/>
        <item x="130"/>
        <item x="187"/>
        <item x="285"/>
        <item x="112"/>
        <item x="19"/>
        <item x="217"/>
        <item x="283"/>
        <item x="232"/>
        <item x="336"/>
        <item x="28"/>
        <item x="191"/>
        <item x="50"/>
        <item x="77"/>
        <item x="295"/>
        <item x="12"/>
        <item x="139"/>
        <item x="26"/>
        <item x="270"/>
        <item x="15"/>
        <item x="107"/>
        <item x="103"/>
        <item x="23"/>
        <item x="69"/>
        <item x="256"/>
        <item x="338"/>
        <item x="200"/>
        <item x="51"/>
        <item x="297"/>
        <item x="291"/>
        <item x="39"/>
        <item x="29"/>
        <item x="53"/>
        <item x="151"/>
        <item x="83"/>
        <item x="306"/>
        <item x="10"/>
        <item x="105"/>
        <item x="293"/>
        <item x="147"/>
        <item x="177"/>
        <item x="33"/>
        <item x="114"/>
        <item x="318"/>
        <item x="120"/>
        <item x="294"/>
        <item x="292"/>
        <item x="85"/>
        <item x="230"/>
        <item x="158"/>
        <item x="2"/>
        <item x="215"/>
        <item x="323"/>
        <item x="255"/>
        <item x="11"/>
        <item x="331"/>
        <item x="34"/>
        <item x="185"/>
        <item x="246"/>
        <item x="184"/>
        <item x="0"/>
        <item x="25"/>
        <item x="341"/>
        <item x="225"/>
        <item x="161"/>
        <item x="21"/>
        <item x="165"/>
        <item x="186"/>
        <item x="127"/>
        <item x="148"/>
        <item x="48"/>
        <item x="153"/>
        <item x="208"/>
        <item x="94"/>
        <item x="95"/>
        <item x="75"/>
        <item x="310"/>
        <item x="17"/>
        <item x="18"/>
        <item x="110"/>
        <item x="333"/>
        <item x="192"/>
        <item x="219"/>
        <item x="339"/>
        <item x="146"/>
        <item x="166"/>
        <item x="150"/>
        <item x="224"/>
        <item x="176"/>
        <item x="315"/>
        <item x="40"/>
        <item x="221"/>
        <item x="280"/>
        <item x="9"/>
        <item x="198"/>
        <item x="84"/>
        <item x="329"/>
        <item x="267"/>
        <item x="290"/>
        <item x="61"/>
        <item x="303"/>
        <item x="78"/>
        <item x="66"/>
        <item x="98"/>
        <item x="1"/>
        <item x="196"/>
        <item x="228"/>
        <item x="131"/>
        <item x="128"/>
        <item x="296"/>
        <item x="203"/>
        <item x="3"/>
        <item x="214"/>
        <item x="197"/>
        <item x="142"/>
        <item x="305"/>
        <item x="179"/>
        <item x="239"/>
        <item x="340"/>
        <item x="111"/>
        <item x="169"/>
        <item x="202"/>
        <item x="209"/>
        <item x="273"/>
        <item x="301"/>
        <item x="124"/>
        <item x="43"/>
        <item x="308"/>
        <item x="244"/>
        <item x="104"/>
        <item x="325"/>
        <item x="90"/>
        <item x="178"/>
        <item x="274"/>
        <item x="96"/>
        <item x="54"/>
        <item x="119"/>
        <item x="311"/>
        <item x="42"/>
        <item x="231"/>
        <item x="100"/>
        <item x="313"/>
        <item x="67"/>
        <item x="183"/>
        <item x="22"/>
        <item x="279"/>
        <item x="88"/>
        <item x="304"/>
        <item x="213"/>
        <item x="14"/>
        <item x="258"/>
        <item x="205"/>
        <item x="227"/>
        <item x="45"/>
        <item t="default"/>
      </items>
    </pivotField>
    <pivotField showAll="0"/>
    <pivotField axis="axisPage" showAll="0" sortType="descending">
      <items count="76">
        <item x="42"/>
        <item x="34"/>
        <item x="32"/>
        <item x="41"/>
        <item x="73"/>
        <item x="36"/>
        <item x="8"/>
        <item x="0"/>
        <item x="30"/>
        <item x="50"/>
        <item x="28"/>
        <item x="37"/>
        <item x="35"/>
        <item x="70"/>
        <item x="48"/>
        <item x="39"/>
        <item x="71"/>
        <item x="66"/>
        <item x="40"/>
        <item x="74"/>
        <item x="4"/>
        <item x="18"/>
        <item x="44"/>
        <item x="6"/>
        <item x="68"/>
        <item x="19"/>
        <item x="23"/>
        <item x="55"/>
        <item x="11"/>
        <item x="52"/>
        <item x="2"/>
        <item x="58"/>
        <item x="59"/>
        <item x="43"/>
        <item x="16"/>
        <item x="15"/>
        <item x="17"/>
        <item x="56"/>
        <item x="60"/>
        <item x="31"/>
        <item x="65"/>
        <item x="27"/>
        <item x="3"/>
        <item x="61"/>
        <item x="72"/>
        <item x="54"/>
        <item x="25"/>
        <item x="26"/>
        <item x="29"/>
        <item x="14"/>
        <item x="53"/>
        <item x="5"/>
        <item x="57"/>
        <item x="51"/>
        <item x="63"/>
        <item x="33"/>
        <item x="13"/>
        <item x="62"/>
        <item x="38"/>
        <item x="47"/>
        <item x="21"/>
        <item x="64"/>
        <item x="45"/>
        <item x="10"/>
        <item x="69"/>
        <item x="67"/>
        <item x="9"/>
        <item x="20"/>
        <item x="22"/>
        <item x="24"/>
        <item x="1"/>
        <item x="46"/>
        <item x="12"/>
        <item x="4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 sortType="descending">
      <items count="31">
        <item x="28"/>
        <item x="1"/>
        <item x="12"/>
        <item x="26"/>
        <item x="8"/>
        <item x="9"/>
        <item x="21"/>
        <item x="11"/>
        <item x="22"/>
        <item x="18"/>
        <item x="24"/>
        <item x="10"/>
        <item x="17"/>
        <item x="23"/>
        <item x="0"/>
        <item x="16"/>
        <item x="3"/>
        <item x="13"/>
        <item x="4"/>
        <item x="19"/>
        <item x="25"/>
        <item x="14"/>
        <item x="15"/>
        <item x="6"/>
        <item x="5"/>
        <item x="7"/>
        <item x="20"/>
        <item x="29"/>
        <item x="2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8">
    <i>
      <x v="12"/>
    </i>
    <i>
      <x v="22"/>
    </i>
    <i>
      <x v="19"/>
    </i>
    <i>
      <x v="13"/>
    </i>
    <i>
      <x v="14"/>
    </i>
    <i>
      <x v="10"/>
    </i>
    <i>
      <x v="23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29" hier="-1"/>
  </pageFields>
  <dataFields count="2">
    <dataField name="Sum of Revenue" fld="11" baseField="0" baseItem="0"/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37575-3EB7-4FAE-9A0F-4AA2AF3DE75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F44" firstHeaderRow="1" firstDataRow="2" firstDataCol="1"/>
  <pivotFields count="18">
    <pivotField showAll="0"/>
    <pivotField numFmtId="164" showAll="0">
      <items count="347">
        <item x="245"/>
        <item x="326"/>
        <item x="342"/>
        <item x="144"/>
        <item x="4"/>
        <item x="248"/>
        <item x="302"/>
        <item x="160"/>
        <item x="175"/>
        <item x="70"/>
        <item x="64"/>
        <item x="13"/>
        <item x="38"/>
        <item x="72"/>
        <item x="143"/>
        <item x="20"/>
        <item x="344"/>
        <item x="121"/>
        <item x="309"/>
        <item x="321"/>
        <item x="335"/>
        <item x="251"/>
        <item x="263"/>
        <item x="44"/>
        <item x="330"/>
        <item x="37"/>
        <item x="170"/>
        <item x="226"/>
        <item x="136"/>
        <item x="182"/>
        <item x="265"/>
        <item x="194"/>
        <item x="190"/>
        <item x="275"/>
        <item x="101"/>
        <item x="154"/>
        <item x="242"/>
        <item x="162"/>
        <item x="7"/>
        <item x="252"/>
        <item x="149"/>
        <item x="299"/>
        <item x="86"/>
        <item x="171"/>
        <item x="172"/>
        <item x="137"/>
        <item x="328"/>
        <item x="52"/>
        <item x="317"/>
        <item x="193"/>
        <item x="87"/>
        <item x="212"/>
        <item x="236"/>
        <item x="163"/>
        <item x="195"/>
        <item x="56"/>
        <item x="71"/>
        <item x="159"/>
        <item x="188"/>
        <item x="260"/>
        <item x="223"/>
        <item x="16"/>
        <item x="307"/>
        <item x="74"/>
        <item x="133"/>
        <item x="247"/>
        <item x="58"/>
        <item x="233"/>
        <item x="35"/>
        <item x="277"/>
        <item x="238"/>
        <item x="312"/>
        <item x="314"/>
        <item x="271"/>
        <item x="76"/>
        <item x="261"/>
        <item x="80"/>
        <item x="334"/>
        <item x="106"/>
        <item x="272"/>
        <item x="47"/>
        <item x="324"/>
        <item x="173"/>
        <item x="259"/>
        <item x="287"/>
        <item x="59"/>
        <item x="257"/>
        <item x="126"/>
        <item x="132"/>
        <item x="199"/>
        <item x="60"/>
        <item x="134"/>
        <item x="93"/>
        <item x="167"/>
        <item x="298"/>
        <item x="237"/>
        <item x="141"/>
        <item x="30"/>
        <item x="276"/>
        <item x="300"/>
        <item x="229"/>
        <item x="41"/>
        <item x="181"/>
        <item x="5"/>
        <item x="282"/>
        <item x="57"/>
        <item x="266"/>
        <item x="46"/>
        <item x="115"/>
        <item x="240"/>
        <item x="234"/>
        <item x="210"/>
        <item x="320"/>
        <item x="206"/>
        <item x="269"/>
        <item x="288"/>
        <item x="189"/>
        <item x="157"/>
        <item x="322"/>
        <item x="79"/>
        <item x="164"/>
        <item x="332"/>
        <item x="253"/>
        <item x="68"/>
        <item x="113"/>
        <item x="216"/>
        <item x="63"/>
        <item x="319"/>
        <item x="62"/>
        <item x="99"/>
        <item x="201"/>
        <item x="27"/>
        <item x="31"/>
        <item x="129"/>
        <item x="268"/>
        <item x="123"/>
        <item x="117"/>
        <item x="174"/>
        <item x="281"/>
        <item x="250"/>
        <item x="327"/>
        <item x="168"/>
        <item x="8"/>
        <item x="222"/>
        <item x="284"/>
        <item x="109"/>
        <item x="92"/>
        <item x="125"/>
        <item x="204"/>
        <item x="316"/>
        <item x="211"/>
        <item x="218"/>
        <item x="140"/>
        <item x="102"/>
        <item x="32"/>
        <item x="337"/>
        <item x="24"/>
        <item x="152"/>
        <item x="156"/>
        <item x="264"/>
        <item x="135"/>
        <item x="116"/>
        <item x="118"/>
        <item x="108"/>
        <item x="254"/>
        <item x="155"/>
        <item x="262"/>
        <item x="243"/>
        <item x="278"/>
        <item x="82"/>
        <item x="49"/>
        <item x="343"/>
        <item x="65"/>
        <item x="55"/>
        <item x="145"/>
        <item x="6"/>
        <item x="289"/>
        <item x="81"/>
        <item x="241"/>
        <item x="286"/>
        <item x="122"/>
        <item x="220"/>
        <item x="207"/>
        <item x="138"/>
        <item x="97"/>
        <item x="36"/>
        <item x="73"/>
        <item x="89"/>
        <item x="235"/>
        <item x="345"/>
        <item x="180"/>
        <item x="249"/>
        <item x="91"/>
        <item x="130"/>
        <item x="187"/>
        <item x="285"/>
        <item x="112"/>
        <item x="19"/>
        <item x="217"/>
        <item x="283"/>
        <item x="232"/>
        <item x="336"/>
        <item x="28"/>
        <item x="191"/>
        <item x="50"/>
        <item x="77"/>
        <item x="295"/>
        <item x="12"/>
        <item x="139"/>
        <item x="26"/>
        <item x="270"/>
        <item x="15"/>
        <item x="107"/>
        <item x="103"/>
        <item x="23"/>
        <item x="69"/>
        <item x="256"/>
        <item x="338"/>
        <item x="200"/>
        <item x="51"/>
        <item x="297"/>
        <item x="291"/>
        <item x="39"/>
        <item x="29"/>
        <item x="53"/>
        <item x="151"/>
        <item x="83"/>
        <item x="306"/>
        <item x="10"/>
        <item x="105"/>
        <item x="293"/>
        <item x="147"/>
        <item x="177"/>
        <item x="33"/>
        <item x="114"/>
        <item x="318"/>
        <item x="120"/>
        <item x="294"/>
        <item x="292"/>
        <item x="85"/>
        <item x="230"/>
        <item x="158"/>
        <item x="2"/>
        <item x="215"/>
        <item x="323"/>
        <item x="255"/>
        <item x="11"/>
        <item x="331"/>
        <item x="34"/>
        <item x="185"/>
        <item x="246"/>
        <item x="184"/>
        <item x="0"/>
        <item x="25"/>
        <item x="341"/>
        <item x="225"/>
        <item x="161"/>
        <item x="21"/>
        <item x="165"/>
        <item x="186"/>
        <item x="127"/>
        <item x="148"/>
        <item x="48"/>
        <item x="153"/>
        <item x="208"/>
        <item x="94"/>
        <item x="95"/>
        <item x="75"/>
        <item x="310"/>
        <item x="17"/>
        <item x="18"/>
        <item x="110"/>
        <item x="333"/>
        <item x="192"/>
        <item x="219"/>
        <item x="339"/>
        <item x="146"/>
        <item x="166"/>
        <item x="150"/>
        <item x="224"/>
        <item x="176"/>
        <item x="315"/>
        <item x="40"/>
        <item x="221"/>
        <item x="280"/>
        <item x="9"/>
        <item x="198"/>
        <item x="84"/>
        <item x="329"/>
        <item x="267"/>
        <item x="290"/>
        <item x="61"/>
        <item x="303"/>
        <item x="78"/>
        <item x="66"/>
        <item x="98"/>
        <item x="1"/>
        <item x="196"/>
        <item x="228"/>
        <item x="131"/>
        <item x="128"/>
        <item x="296"/>
        <item x="203"/>
        <item x="3"/>
        <item x="214"/>
        <item x="197"/>
        <item x="142"/>
        <item x="305"/>
        <item x="179"/>
        <item x="239"/>
        <item x="340"/>
        <item x="111"/>
        <item x="169"/>
        <item x="202"/>
        <item x="209"/>
        <item x="273"/>
        <item x="301"/>
        <item x="124"/>
        <item x="43"/>
        <item x="308"/>
        <item x="244"/>
        <item x="104"/>
        <item x="325"/>
        <item x="90"/>
        <item x="178"/>
        <item x="274"/>
        <item x="96"/>
        <item x="54"/>
        <item x="119"/>
        <item x="311"/>
        <item x="42"/>
        <item x="231"/>
        <item x="100"/>
        <item x="313"/>
        <item x="67"/>
        <item x="183"/>
        <item x="22"/>
        <item x="279"/>
        <item x="88"/>
        <item x="304"/>
        <item x="213"/>
        <item x="14"/>
        <item x="258"/>
        <item x="205"/>
        <item x="227"/>
        <item x="45"/>
        <item t="default"/>
      </items>
    </pivotField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14D40-6171-4D84-8BA8-D2052F0B71F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6:C247" firstHeaderRow="0" firstDataRow="1" firstDataCol="1"/>
  <pivotFields count="18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347">
        <item x="245"/>
        <item x="326"/>
        <item x="342"/>
        <item x="144"/>
        <item x="4"/>
        <item x="248"/>
        <item x="302"/>
        <item x="160"/>
        <item x="175"/>
        <item x="70"/>
        <item x="64"/>
        <item x="13"/>
        <item x="38"/>
        <item x="72"/>
        <item x="143"/>
        <item x="20"/>
        <item x="344"/>
        <item x="121"/>
        <item x="309"/>
        <item x="321"/>
        <item x="335"/>
        <item x="251"/>
        <item x="263"/>
        <item x="44"/>
        <item x="330"/>
        <item x="37"/>
        <item x="170"/>
        <item x="226"/>
        <item x="136"/>
        <item x="182"/>
        <item x="265"/>
        <item x="194"/>
        <item x="190"/>
        <item x="275"/>
        <item x="101"/>
        <item x="154"/>
        <item x="242"/>
        <item x="162"/>
        <item x="7"/>
        <item x="252"/>
        <item x="149"/>
        <item x="299"/>
        <item x="86"/>
        <item x="171"/>
        <item x="172"/>
        <item x="137"/>
        <item x="328"/>
        <item x="52"/>
        <item x="317"/>
        <item x="193"/>
        <item x="87"/>
        <item x="212"/>
        <item x="236"/>
        <item x="163"/>
        <item x="195"/>
        <item x="56"/>
        <item x="71"/>
        <item x="159"/>
        <item x="188"/>
        <item x="260"/>
        <item x="223"/>
        <item x="16"/>
        <item x="307"/>
        <item x="74"/>
        <item x="133"/>
        <item x="247"/>
        <item x="58"/>
        <item x="233"/>
        <item x="35"/>
        <item x="277"/>
        <item x="238"/>
        <item x="312"/>
        <item x="314"/>
        <item x="271"/>
        <item x="76"/>
        <item x="261"/>
        <item x="80"/>
        <item x="334"/>
        <item x="106"/>
        <item x="272"/>
        <item x="47"/>
        <item x="324"/>
        <item x="173"/>
        <item x="259"/>
        <item x="287"/>
        <item x="59"/>
        <item x="257"/>
        <item x="126"/>
        <item x="132"/>
        <item x="199"/>
        <item x="60"/>
        <item x="134"/>
        <item x="93"/>
        <item x="167"/>
        <item x="298"/>
        <item x="237"/>
        <item x="141"/>
        <item x="30"/>
        <item x="276"/>
        <item x="300"/>
        <item x="229"/>
        <item x="41"/>
        <item x="181"/>
        <item x="5"/>
        <item x="282"/>
        <item x="57"/>
        <item x="266"/>
        <item x="46"/>
        <item x="115"/>
        <item x="240"/>
        <item x="234"/>
        <item x="210"/>
        <item x="320"/>
        <item x="206"/>
        <item x="269"/>
        <item x="288"/>
        <item x="189"/>
        <item x="157"/>
        <item x="322"/>
        <item x="79"/>
        <item x="164"/>
        <item x="332"/>
        <item x="253"/>
        <item x="68"/>
        <item x="113"/>
        <item x="216"/>
        <item x="63"/>
        <item x="319"/>
        <item x="62"/>
        <item x="99"/>
        <item x="201"/>
        <item x="27"/>
        <item x="31"/>
        <item x="129"/>
        <item x="268"/>
        <item x="123"/>
        <item x="117"/>
        <item x="174"/>
        <item x="281"/>
        <item x="250"/>
        <item x="327"/>
        <item x="168"/>
        <item x="8"/>
        <item x="222"/>
        <item x="284"/>
        <item x="109"/>
        <item x="92"/>
        <item x="125"/>
        <item x="204"/>
        <item x="316"/>
        <item x="211"/>
        <item x="218"/>
        <item x="140"/>
        <item x="102"/>
        <item x="32"/>
        <item x="337"/>
        <item x="24"/>
        <item x="152"/>
        <item x="156"/>
        <item x="264"/>
        <item x="135"/>
        <item x="116"/>
        <item x="118"/>
        <item x="108"/>
        <item x="254"/>
        <item x="155"/>
        <item x="262"/>
        <item x="243"/>
        <item x="278"/>
        <item x="82"/>
        <item x="49"/>
        <item x="343"/>
        <item x="65"/>
        <item x="55"/>
        <item x="145"/>
        <item x="6"/>
        <item x="289"/>
        <item x="81"/>
        <item x="241"/>
        <item x="286"/>
        <item x="122"/>
        <item x="220"/>
        <item x="207"/>
        <item x="138"/>
        <item x="97"/>
        <item x="36"/>
        <item x="73"/>
        <item x="89"/>
        <item x="235"/>
        <item x="345"/>
        <item x="180"/>
        <item x="249"/>
        <item x="91"/>
        <item x="130"/>
        <item x="187"/>
        <item x="285"/>
        <item x="112"/>
        <item x="19"/>
        <item x="217"/>
        <item x="283"/>
        <item x="232"/>
        <item x="336"/>
        <item x="28"/>
        <item x="191"/>
        <item x="50"/>
        <item x="77"/>
        <item x="295"/>
        <item x="12"/>
        <item x="139"/>
        <item x="26"/>
        <item x="270"/>
        <item x="15"/>
        <item x="107"/>
        <item x="103"/>
        <item x="23"/>
        <item x="69"/>
        <item x="256"/>
        <item x="338"/>
        <item x="200"/>
        <item x="51"/>
        <item x="297"/>
        <item x="291"/>
        <item x="39"/>
        <item x="29"/>
        <item x="53"/>
        <item x="151"/>
        <item x="83"/>
        <item x="306"/>
        <item x="10"/>
        <item x="105"/>
        <item x="293"/>
        <item x="147"/>
        <item x="177"/>
        <item x="33"/>
        <item x="114"/>
        <item x="318"/>
        <item x="120"/>
        <item x="294"/>
        <item x="292"/>
        <item x="85"/>
        <item x="230"/>
        <item x="158"/>
        <item x="2"/>
        <item x="215"/>
        <item x="323"/>
        <item x="255"/>
        <item x="11"/>
        <item x="331"/>
        <item x="34"/>
        <item x="185"/>
        <item x="246"/>
        <item x="184"/>
        <item x="0"/>
        <item x="25"/>
        <item x="341"/>
        <item x="225"/>
        <item x="161"/>
        <item x="21"/>
        <item x="165"/>
        <item x="186"/>
        <item x="127"/>
        <item x="148"/>
        <item x="48"/>
        <item x="153"/>
        <item x="208"/>
        <item x="94"/>
        <item x="95"/>
        <item x="75"/>
        <item x="310"/>
        <item x="17"/>
        <item x="18"/>
        <item x="110"/>
        <item x="333"/>
        <item x="192"/>
        <item x="219"/>
        <item x="339"/>
        <item x="146"/>
        <item x="166"/>
        <item x="150"/>
        <item x="224"/>
        <item x="176"/>
        <item x="315"/>
        <item x="40"/>
        <item x="221"/>
        <item x="280"/>
        <item x="9"/>
        <item x="198"/>
        <item x="84"/>
        <item x="329"/>
        <item x="267"/>
        <item x="290"/>
        <item x="61"/>
        <item x="303"/>
        <item x="78"/>
        <item x="66"/>
        <item x="98"/>
        <item x="1"/>
        <item x="196"/>
        <item x="228"/>
        <item x="131"/>
        <item x="128"/>
        <item x="296"/>
        <item x="203"/>
        <item x="3"/>
        <item x="214"/>
        <item x="197"/>
        <item x="142"/>
        <item x="305"/>
        <item x="179"/>
        <item x="239"/>
        <item x="340"/>
        <item x="111"/>
        <item x="169"/>
        <item x="202"/>
        <item x="209"/>
        <item x="273"/>
        <item x="301"/>
        <item x="124"/>
        <item x="43"/>
        <item x="308"/>
        <item x="244"/>
        <item x="104"/>
        <item x="325"/>
        <item x="90"/>
        <item x="178"/>
        <item x="274"/>
        <item x="96"/>
        <item x="54"/>
        <item x="119"/>
        <item x="311"/>
        <item x="42"/>
        <item x="231"/>
        <item x="100"/>
        <item x="313"/>
        <item x="67"/>
        <item x="183"/>
        <item x="22"/>
        <item x="279"/>
        <item x="88"/>
        <item x="304"/>
        <item x="213"/>
        <item x="14"/>
        <item x="258"/>
        <item x="205"/>
        <item x="227"/>
        <item x="45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31">
        <item x="28"/>
        <item x="1"/>
        <item x="12"/>
        <item x="26"/>
        <item x="8"/>
        <item x="9"/>
        <item x="21"/>
        <item x="11"/>
        <item x="22"/>
        <item x="18"/>
        <item x="24"/>
        <item x="10"/>
        <item x="17"/>
        <item x="23"/>
        <item x="0"/>
        <item x="16"/>
        <item x="3"/>
        <item x="13"/>
        <item x="4"/>
        <item x="19"/>
        <item x="25"/>
        <item x="14"/>
        <item x="15"/>
        <item x="6"/>
        <item x="5"/>
        <item x="7"/>
        <item x="20"/>
        <item x="29"/>
        <item x="2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27">
        <item x="18"/>
        <item x="5"/>
        <item x="12"/>
        <item x="8"/>
        <item x="1"/>
        <item x="23"/>
        <item x="9"/>
        <item x="21"/>
        <item x="6"/>
        <item x="22"/>
        <item x="10"/>
        <item x="19"/>
        <item x="16"/>
        <item x="14"/>
        <item x="25"/>
        <item x="24"/>
        <item x="7"/>
        <item x="0"/>
        <item x="3"/>
        <item x="2"/>
        <item x="11"/>
        <item x="17"/>
        <item x="13"/>
        <item x="4"/>
        <item x="15"/>
        <item x="20"/>
        <item t="default"/>
      </items>
    </pivotField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31">
    <i>
      <x v="13"/>
    </i>
    <i>
      <x v="12"/>
    </i>
    <i>
      <x v="18"/>
    </i>
    <i>
      <x v="22"/>
    </i>
    <i>
      <x v="17"/>
    </i>
    <i>
      <x v="19"/>
    </i>
    <i>
      <x v="28"/>
    </i>
    <i>
      <x v="16"/>
    </i>
    <i>
      <x v="14"/>
    </i>
    <i>
      <x v="25"/>
    </i>
    <i>
      <x v="6"/>
    </i>
    <i>
      <x v="9"/>
    </i>
    <i>
      <x/>
    </i>
    <i>
      <x v="20"/>
    </i>
    <i>
      <x v="15"/>
    </i>
    <i>
      <x v="7"/>
    </i>
    <i>
      <x v="27"/>
    </i>
    <i>
      <x v="10"/>
    </i>
    <i>
      <x v="3"/>
    </i>
    <i>
      <x v="5"/>
    </i>
    <i>
      <x v="29"/>
    </i>
    <i>
      <x v="2"/>
    </i>
    <i>
      <x v="23"/>
    </i>
    <i>
      <x v="11"/>
    </i>
    <i>
      <x v="4"/>
    </i>
    <i>
      <x v="21"/>
    </i>
    <i>
      <x v="8"/>
    </i>
    <i>
      <x v="24"/>
    </i>
    <i>
      <x v="26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/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C7CC5-8D2E-4D61-837B-BE03E087279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4:C350" firstHeaderRow="0" firstDataRow="1" firstDataCol="1"/>
  <pivotFields count="18">
    <pivotField dataField="1" showAll="0"/>
    <pivotField numFmtId="164" showAll="0">
      <items count="347">
        <item x="245"/>
        <item x="326"/>
        <item x="342"/>
        <item x="144"/>
        <item x="4"/>
        <item x="248"/>
        <item x="302"/>
        <item x="160"/>
        <item x="175"/>
        <item x="70"/>
        <item x="64"/>
        <item x="13"/>
        <item x="38"/>
        <item x="72"/>
        <item x="143"/>
        <item x="20"/>
        <item x="344"/>
        <item x="121"/>
        <item x="309"/>
        <item x="321"/>
        <item x="335"/>
        <item x="251"/>
        <item x="263"/>
        <item x="44"/>
        <item x="330"/>
        <item x="37"/>
        <item x="170"/>
        <item x="226"/>
        <item x="136"/>
        <item x="182"/>
        <item x="265"/>
        <item x="194"/>
        <item x="190"/>
        <item x="275"/>
        <item x="101"/>
        <item x="154"/>
        <item x="242"/>
        <item x="162"/>
        <item x="7"/>
        <item x="252"/>
        <item x="149"/>
        <item x="299"/>
        <item x="86"/>
        <item x="171"/>
        <item x="172"/>
        <item x="137"/>
        <item x="328"/>
        <item x="52"/>
        <item x="317"/>
        <item x="193"/>
        <item x="87"/>
        <item x="212"/>
        <item x="236"/>
        <item x="163"/>
        <item x="195"/>
        <item x="56"/>
        <item x="71"/>
        <item x="159"/>
        <item x="188"/>
        <item x="260"/>
        <item x="223"/>
        <item x="16"/>
        <item x="307"/>
        <item x="74"/>
        <item x="133"/>
        <item x="247"/>
        <item x="58"/>
        <item x="233"/>
        <item x="35"/>
        <item x="277"/>
        <item x="238"/>
        <item x="312"/>
        <item x="314"/>
        <item x="271"/>
        <item x="76"/>
        <item x="261"/>
        <item x="80"/>
        <item x="334"/>
        <item x="106"/>
        <item x="272"/>
        <item x="47"/>
        <item x="324"/>
        <item x="173"/>
        <item x="259"/>
        <item x="287"/>
        <item x="59"/>
        <item x="257"/>
        <item x="126"/>
        <item x="132"/>
        <item x="199"/>
        <item x="60"/>
        <item x="134"/>
        <item x="93"/>
        <item x="167"/>
        <item x="298"/>
        <item x="237"/>
        <item x="141"/>
        <item x="30"/>
        <item x="276"/>
        <item x="300"/>
        <item x="229"/>
        <item x="41"/>
        <item x="181"/>
        <item x="5"/>
        <item x="282"/>
        <item x="57"/>
        <item x="266"/>
        <item x="46"/>
        <item x="115"/>
        <item x="240"/>
        <item x="234"/>
        <item x="210"/>
        <item x="320"/>
        <item x="206"/>
        <item x="269"/>
        <item x="288"/>
        <item x="189"/>
        <item x="157"/>
        <item x="322"/>
        <item x="79"/>
        <item x="164"/>
        <item x="332"/>
        <item x="253"/>
        <item x="68"/>
        <item x="113"/>
        <item x="216"/>
        <item x="63"/>
        <item x="319"/>
        <item x="62"/>
        <item x="99"/>
        <item x="201"/>
        <item x="27"/>
        <item x="31"/>
        <item x="129"/>
        <item x="268"/>
        <item x="123"/>
        <item x="117"/>
        <item x="174"/>
        <item x="281"/>
        <item x="250"/>
        <item x="327"/>
        <item x="168"/>
        <item x="8"/>
        <item x="222"/>
        <item x="284"/>
        <item x="109"/>
        <item x="92"/>
        <item x="125"/>
        <item x="204"/>
        <item x="316"/>
        <item x="211"/>
        <item x="218"/>
        <item x="140"/>
        <item x="102"/>
        <item x="32"/>
        <item x="337"/>
        <item x="24"/>
        <item x="152"/>
        <item x="156"/>
        <item x="264"/>
        <item x="135"/>
        <item x="116"/>
        <item x="118"/>
        <item x="108"/>
        <item x="254"/>
        <item x="155"/>
        <item x="262"/>
        <item x="243"/>
        <item x="278"/>
        <item x="82"/>
        <item x="49"/>
        <item x="343"/>
        <item x="65"/>
        <item x="55"/>
        <item x="145"/>
        <item x="6"/>
        <item x="289"/>
        <item x="81"/>
        <item x="241"/>
        <item x="286"/>
        <item x="122"/>
        <item x="220"/>
        <item x="207"/>
        <item x="138"/>
        <item x="97"/>
        <item x="36"/>
        <item x="73"/>
        <item x="89"/>
        <item x="235"/>
        <item x="345"/>
        <item x="180"/>
        <item x="249"/>
        <item x="91"/>
        <item x="130"/>
        <item x="187"/>
        <item x="285"/>
        <item x="112"/>
        <item x="19"/>
        <item x="217"/>
        <item x="283"/>
        <item x="232"/>
        <item x="336"/>
        <item x="28"/>
        <item x="191"/>
        <item x="50"/>
        <item x="77"/>
        <item x="295"/>
        <item x="12"/>
        <item x="139"/>
        <item x="26"/>
        <item x="270"/>
        <item x="15"/>
        <item x="107"/>
        <item x="103"/>
        <item x="23"/>
        <item x="69"/>
        <item x="256"/>
        <item x="338"/>
        <item x="200"/>
        <item x="51"/>
        <item x="297"/>
        <item x="291"/>
        <item x="39"/>
        <item x="29"/>
        <item x="53"/>
        <item x="151"/>
        <item x="83"/>
        <item x="306"/>
        <item x="10"/>
        <item x="105"/>
        <item x="293"/>
        <item x="147"/>
        <item x="177"/>
        <item x="33"/>
        <item x="114"/>
        <item x="318"/>
        <item x="120"/>
        <item x="294"/>
        <item x="292"/>
        <item x="85"/>
        <item x="230"/>
        <item x="158"/>
        <item x="2"/>
        <item x="215"/>
        <item x="323"/>
        <item x="255"/>
        <item x="11"/>
        <item x="331"/>
        <item x="34"/>
        <item x="185"/>
        <item x="246"/>
        <item x="184"/>
        <item x="0"/>
        <item x="25"/>
        <item x="341"/>
        <item x="225"/>
        <item x="161"/>
        <item x="21"/>
        <item x="165"/>
        <item x="186"/>
        <item x="127"/>
        <item x="148"/>
        <item x="48"/>
        <item x="153"/>
        <item x="208"/>
        <item x="94"/>
        <item x="95"/>
        <item x="75"/>
        <item x="310"/>
        <item x="17"/>
        <item x="18"/>
        <item x="110"/>
        <item x="333"/>
        <item x="192"/>
        <item x="219"/>
        <item x="339"/>
        <item x="146"/>
        <item x="166"/>
        <item x="150"/>
        <item x="224"/>
        <item x="176"/>
        <item x="315"/>
        <item x="40"/>
        <item x="221"/>
        <item x="280"/>
        <item x="9"/>
        <item x="198"/>
        <item x="84"/>
        <item x="329"/>
        <item x="267"/>
        <item x="290"/>
        <item x="61"/>
        <item x="303"/>
        <item x="78"/>
        <item x="66"/>
        <item x="98"/>
        <item x="1"/>
        <item x="196"/>
        <item x="228"/>
        <item x="131"/>
        <item x="128"/>
        <item x="296"/>
        <item x="203"/>
        <item x="3"/>
        <item x="214"/>
        <item x="197"/>
        <item x="142"/>
        <item x="305"/>
        <item x="179"/>
        <item x="239"/>
        <item x="340"/>
        <item x="111"/>
        <item x="169"/>
        <item x="202"/>
        <item x="209"/>
        <item x="273"/>
        <item x="301"/>
        <item x="124"/>
        <item x="43"/>
        <item x="308"/>
        <item x="244"/>
        <item x="104"/>
        <item x="325"/>
        <item x="90"/>
        <item x="178"/>
        <item x="274"/>
        <item x="96"/>
        <item x="54"/>
        <item x="119"/>
        <item x="311"/>
        <item x="42"/>
        <item x="231"/>
        <item x="100"/>
        <item x="313"/>
        <item x="67"/>
        <item x="183"/>
        <item x="22"/>
        <item x="279"/>
        <item x="88"/>
        <item x="304"/>
        <item x="213"/>
        <item x="14"/>
        <item x="258"/>
        <item x="205"/>
        <item x="227"/>
        <item x="45"/>
        <item t="default"/>
      </items>
    </pivotField>
    <pivotField showAll="0"/>
    <pivotField axis="axisRow" showAll="0" sortType="descending">
      <items count="76">
        <item x="42"/>
        <item x="34"/>
        <item x="32"/>
        <item x="41"/>
        <item x="73"/>
        <item x="36"/>
        <item x="8"/>
        <item x="0"/>
        <item x="30"/>
        <item x="50"/>
        <item x="28"/>
        <item x="37"/>
        <item x="35"/>
        <item x="70"/>
        <item x="48"/>
        <item x="39"/>
        <item x="71"/>
        <item x="66"/>
        <item x="40"/>
        <item x="74"/>
        <item x="4"/>
        <item x="18"/>
        <item x="44"/>
        <item x="6"/>
        <item x="68"/>
        <item x="19"/>
        <item x="23"/>
        <item x="55"/>
        <item x="11"/>
        <item x="52"/>
        <item x="2"/>
        <item x="58"/>
        <item x="59"/>
        <item x="43"/>
        <item x="16"/>
        <item x="15"/>
        <item x="17"/>
        <item x="56"/>
        <item x="60"/>
        <item x="31"/>
        <item x="65"/>
        <item x="27"/>
        <item x="3"/>
        <item x="61"/>
        <item x="72"/>
        <item x="54"/>
        <item x="25"/>
        <item x="26"/>
        <item x="29"/>
        <item x="14"/>
        <item x="53"/>
        <item x="5"/>
        <item x="57"/>
        <item x="51"/>
        <item x="63"/>
        <item x="33"/>
        <item x="13"/>
        <item x="62"/>
        <item x="38"/>
        <item x="47"/>
        <item x="21"/>
        <item x="64"/>
        <item x="45"/>
        <item x="10"/>
        <item x="69"/>
        <item x="67"/>
        <item x="9"/>
        <item x="20"/>
        <item x="22"/>
        <item x="24"/>
        <item x="1"/>
        <item x="46"/>
        <item x="12"/>
        <item x="4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6">
    <i>
      <x v="23"/>
    </i>
    <i>
      <x v="7"/>
    </i>
    <i>
      <x v="51"/>
    </i>
    <i>
      <x v="55"/>
    </i>
    <i>
      <x v="35"/>
    </i>
    <i>
      <x v="52"/>
    </i>
    <i>
      <x v="2"/>
    </i>
    <i>
      <x v="67"/>
    </i>
    <i>
      <x v="10"/>
    </i>
    <i>
      <x v="36"/>
    </i>
    <i>
      <x v="28"/>
    </i>
    <i>
      <x v="39"/>
    </i>
    <i>
      <x v="48"/>
    </i>
    <i>
      <x v="29"/>
    </i>
    <i>
      <x v="46"/>
    </i>
    <i>
      <x v="70"/>
    </i>
    <i>
      <x v="25"/>
    </i>
    <i>
      <x v="69"/>
    </i>
    <i>
      <x v="53"/>
    </i>
    <i>
      <x v="56"/>
    </i>
    <i>
      <x v="62"/>
    </i>
    <i>
      <x v="3"/>
    </i>
    <i>
      <x v="42"/>
    </i>
    <i>
      <x v="5"/>
    </i>
    <i>
      <x v="34"/>
    </i>
    <i>
      <x v="27"/>
    </i>
    <i>
      <x v="21"/>
    </i>
    <i>
      <x v="30"/>
    </i>
    <i>
      <x v="71"/>
    </i>
    <i>
      <x v="40"/>
    </i>
    <i>
      <x v="54"/>
    </i>
    <i>
      <x v="49"/>
    </i>
    <i>
      <x v="12"/>
    </i>
    <i>
      <x v="45"/>
    </i>
    <i>
      <x v="1"/>
    </i>
    <i>
      <x v="63"/>
    </i>
    <i>
      <x v="18"/>
    </i>
    <i>
      <x v="33"/>
    </i>
    <i>
      <x v="31"/>
    </i>
    <i>
      <x v="20"/>
    </i>
    <i>
      <x v="58"/>
    </i>
    <i>
      <x/>
    </i>
    <i>
      <x v="14"/>
    </i>
    <i>
      <x v="66"/>
    </i>
    <i>
      <x v="11"/>
    </i>
    <i>
      <x v="72"/>
    </i>
    <i>
      <x v="68"/>
    </i>
    <i>
      <x v="73"/>
    </i>
    <i>
      <x v="43"/>
    </i>
    <i>
      <x v="8"/>
    </i>
    <i>
      <x v="13"/>
    </i>
    <i>
      <x v="38"/>
    </i>
    <i>
      <x v="26"/>
    </i>
    <i>
      <x v="6"/>
    </i>
    <i>
      <x v="60"/>
    </i>
    <i>
      <x v="9"/>
    </i>
    <i>
      <x v="74"/>
    </i>
    <i>
      <x v="32"/>
    </i>
    <i>
      <x v="50"/>
    </i>
    <i>
      <x v="37"/>
    </i>
    <i>
      <x v="47"/>
    </i>
    <i>
      <x v="41"/>
    </i>
    <i>
      <x v="57"/>
    </i>
    <i>
      <x v="59"/>
    </i>
    <i>
      <x v="22"/>
    </i>
    <i>
      <x v="16"/>
    </i>
    <i>
      <x v="65"/>
    </i>
    <i>
      <x v="61"/>
    </i>
    <i>
      <x v="17"/>
    </i>
    <i>
      <x v="64"/>
    </i>
    <i>
      <x v="24"/>
    </i>
    <i>
      <x v="15"/>
    </i>
    <i>
      <x v="4"/>
    </i>
    <i>
      <x v="19"/>
    </i>
    <i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/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AB5AD-097B-460A-8707-EC610A649DF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C21" firstHeaderRow="0" firstDataRow="1" firstDataCol="1"/>
  <pivotFields count="18">
    <pivotField dataField="1" showAll="0"/>
    <pivotField numFmtId="164" showAll="0">
      <items count="347">
        <item x="245"/>
        <item x="326"/>
        <item x="342"/>
        <item x="144"/>
        <item x="4"/>
        <item x="248"/>
        <item x="302"/>
        <item x="160"/>
        <item x="175"/>
        <item x="70"/>
        <item x="64"/>
        <item x="13"/>
        <item x="38"/>
        <item x="72"/>
        <item x="143"/>
        <item x="20"/>
        <item x="344"/>
        <item x="121"/>
        <item x="309"/>
        <item x="321"/>
        <item x="335"/>
        <item x="251"/>
        <item x="263"/>
        <item x="44"/>
        <item x="330"/>
        <item x="37"/>
        <item x="170"/>
        <item x="226"/>
        <item x="136"/>
        <item x="182"/>
        <item x="265"/>
        <item x="194"/>
        <item x="190"/>
        <item x="275"/>
        <item x="101"/>
        <item x="154"/>
        <item x="242"/>
        <item x="162"/>
        <item x="7"/>
        <item x="252"/>
        <item x="149"/>
        <item x="299"/>
        <item x="86"/>
        <item x="171"/>
        <item x="172"/>
        <item x="137"/>
        <item x="328"/>
        <item x="52"/>
        <item x="317"/>
        <item x="193"/>
        <item x="87"/>
        <item x="212"/>
        <item x="236"/>
        <item x="163"/>
        <item x="195"/>
        <item x="56"/>
        <item x="71"/>
        <item x="159"/>
        <item x="188"/>
        <item x="260"/>
        <item x="223"/>
        <item x="16"/>
        <item x="307"/>
        <item x="74"/>
        <item x="133"/>
        <item x="247"/>
        <item x="58"/>
        <item x="233"/>
        <item x="35"/>
        <item x="277"/>
        <item x="238"/>
        <item x="312"/>
        <item x="314"/>
        <item x="271"/>
        <item x="76"/>
        <item x="261"/>
        <item x="80"/>
        <item x="334"/>
        <item x="106"/>
        <item x="272"/>
        <item x="47"/>
        <item x="324"/>
        <item x="173"/>
        <item x="259"/>
        <item x="287"/>
        <item x="59"/>
        <item x="257"/>
        <item x="126"/>
        <item x="132"/>
        <item x="199"/>
        <item x="60"/>
        <item x="134"/>
        <item x="93"/>
        <item x="167"/>
        <item x="298"/>
        <item x="237"/>
        <item x="141"/>
        <item x="30"/>
        <item x="276"/>
        <item x="300"/>
        <item x="229"/>
        <item x="41"/>
        <item x="181"/>
        <item x="5"/>
        <item x="282"/>
        <item x="57"/>
        <item x="266"/>
        <item x="46"/>
        <item x="115"/>
        <item x="240"/>
        <item x="234"/>
        <item x="210"/>
        <item x="320"/>
        <item x="206"/>
        <item x="269"/>
        <item x="288"/>
        <item x="189"/>
        <item x="157"/>
        <item x="322"/>
        <item x="79"/>
        <item x="164"/>
        <item x="332"/>
        <item x="253"/>
        <item x="68"/>
        <item x="113"/>
        <item x="216"/>
        <item x="63"/>
        <item x="319"/>
        <item x="62"/>
        <item x="99"/>
        <item x="201"/>
        <item x="27"/>
        <item x="31"/>
        <item x="129"/>
        <item x="268"/>
        <item x="123"/>
        <item x="117"/>
        <item x="174"/>
        <item x="281"/>
        <item x="250"/>
        <item x="327"/>
        <item x="168"/>
        <item x="8"/>
        <item x="222"/>
        <item x="284"/>
        <item x="109"/>
        <item x="92"/>
        <item x="125"/>
        <item x="204"/>
        <item x="316"/>
        <item x="211"/>
        <item x="218"/>
        <item x="140"/>
        <item x="102"/>
        <item x="32"/>
        <item x="337"/>
        <item x="24"/>
        <item x="152"/>
        <item x="156"/>
        <item x="264"/>
        <item x="135"/>
        <item x="116"/>
        <item x="118"/>
        <item x="108"/>
        <item x="254"/>
        <item x="155"/>
        <item x="262"/>
        <item x="243"/>
        <item x="278"/>
        <item x="82"/>
        <item x="49"/>
        <item x="343"/>
        <item x="65"/>
        <item x="55"/>
        <item x="145"/>
        <item x="6"/>
        <item x="289"/>
        <item x="81"/>
        <item x="241"/>
        <item x="286"/>
        <item x="122"/>
        <item x="220"/>
        <item x="207"/>
        <item x="138"/>
        <item x="97"/>
        <item x="36"/>
        <item x="73"/>
        <item x="89"/>
        <item x="235"/>
        <item x="345"/>
        <item x="180"/>
        <item x="249"/>
        <item x="91"/>
        <item x="130"/>
        <item x="187"/>
        <item x="285"/>
        <item x="112"/>
        <item x="19"/>
        <item x="217"/>
        <item x="283"/>
        <item x="232"/>
        <item x="336"/>
        <item x="28"/>
        <item x="191"/>
        <item x="50"/>
        <item x="77"/>
        <item x="295"/>
        <item x="12"/>
        <item x="139"/>
        <item x="26"/>
        <item x="270"/>
        <item x="15"/>
        <item x="107"/>
        <item x="103"/>
        <item x="23"/>
        <item x="69"/>
        <item x="256"/>
        <item x="338"/>
        <item x="200"/>
        <item x="51"/>
        <item x="297"/>
        <item x="291"/>
        <item x="39"/>
        <item x="29"/>
        <item x="53"/>
        <item x="151"/>
        <item x="83"/>
        <item x="306"/>
        <item x="10"/>
        <item x="105"/>
        <item x="293"/>
        <item x="147"/>
        <item x="177"/>
        <item x="33"/>
        <item x="114"/>
        <item x="318"/>
        <item x="120"/>
        <item x="294"/>
        <item x="292"/>
        <item x="85"/>
        <item x="230"/>
        <item x="158"/>
        <item x="2"/>
        <item x="215"/>
        <item x="323"/>
        <item x="255"/>
        <item x="11"/>
        <item x="331"/>
        <item x="34"/>
        <item x="185"/>
        <item x="246"/>
        <item x="184"/>
        <item x="0"/>
        <item x="25"/>
        <item x="341"/>
        <item x="225"/>
        <item x="161"/>
        <item x="21"/>
        <item x="165"/>
        <item x="186"/>
        <item x="127"/>
        <item x="148"/>
        <item x="48"/>
        <item x="153"/>
        <item x="208"/>
        <item x="94"/>
        <item x="95"/>
        <item x="75"/>
        <item x="310"/>
        <item x="17"/>
        <item x="18"/>
        <item x="110"/>
        <item x="333"/>
        <item x="192"/>
        <item x="219"/>
        <item x="339"/>
        <item x="146"/>
        <item x="166"/>
        <item x="150"/>
        <item x="224"/>
        <item x="176"/>
        <item x="315"/>
        <item x="40"/>
        <item x="221"/>
        <item x="280"/>
        <item x="9"/>
        <item x="198"/>
        <item x="84"/>
        <item x="329"/>
        <item x="267"/>
        <item x="290"/>
        <item x="61"/>
        <item x="303"/>
        <item x="78"/>
        <item x="66"/>
        <item x="98"/>
        <item x="1"/>
        <item x="196"/>
        <item x="228"/>
        <item x="131"/>
        <item x="128"/>
        <item x="296"/>
        <item x="203"/>
        <item x="3"/>
        <item x="214"/>
        <item x="197"/>
        <item x="142"/>
        <item x="305"/>
        <item x="179"/>
        <item x="239"/>
        <item x="340"/>
        <item x="111"/>
        <item x="169"/>
        <item x="202"/>
        <item x="209"/>
        <item x="273"/>
        <item x="301"/>
        <item x="124"/>
        <item x="43"/>
        <item x="308"/>
        <item x="244"/>
        <item x="104"/>
        <item x="325"/>
        <item x="90"/>
        <item x="178"/>
        <item x="274"/>
        <item x="96"/>
        <item x="54"/>
        <item x="119"/>
        <item x="311"/>
        <item x="42"/>
        <item x="231"/>
        <item x="100"/>
        <item x="313"/>
        <item x="67"/>
        <item x="183"/>
        <item x="22"/>
        <item x="279"/>
        <item x="88"/>
        <item x="304"/>
        <item x="213"/>
        <item x="14"/>
        <item x="258"/>
        <item x="205"/>
        <item x="227"/>
        <item x="45"/>
        <item t="default"/>
      </items>
    </pivotField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5A402-4946-4673-A8C6-9A548BF2049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3:C209" firstHeaderRow="0" firstDataRow="1" firstDataCol="1"/>
  <pivotFields count="18">
    <pivotField dataField="1" showAll="0"/>
    <pivotField numFmtId="164" showAll="0">
      <items count="347">
        <item x="245"/>
        <item x="326"/>
        <item x="342"/>
        <item x="144"/>
        <item x="4"/>
        <item x="248"/>
        <item x="302"/>
        <item x="160"/>
        <item x="175"/>
        <item x="70"/>
        <item x="64"/>
        <item x="13"/>
        <item x="38"/>
        <item x="72"/>
        <item x="143"/>
        <item x="20"/>
        <item x="344"/>
        <item x="121"/>
        <item x="309"/>
        <item x="321"/>
        <item x="335"/>
        <item x="251"/>
        <item x="263"/>
        <item x="44"/>
        <item x="330"/>
        <item x="37"/>
        <item x="170"/>
        <item x="226"/>
        <item x="136"/>
        <item x="182"/>
        <item x="265"/>
        <item x="194"/>
        <item x="190"/>
        <item x="275"/>
        <item x="101"/>
        <item x="154"/>
        <item x="242"/>
        <item x="162"/>
        <item x="7"/>
        <item x="252"/>
        <item x="149"/>
        <item x="299"/>
        <item x="86"/>
        <item x="171"/>
        <item x="172"/>
        <item x="137"/>
        <item x="328"/>
        <item x="52"/>
        <item x="317"/>
        <item x="193"/>
        <item x="87"/>
        <item x="212"/>
        <item x="236"/>
        <item x="163"/>
        <item x="195"/>
        <item x="56"/>
        <item x="71"/>
        <item x="159"/>
        <item x="188"/>
        <item x="260"/>
        <item x="223"/>
        <item x="16"/>
        <item x="307"/>
        <item x="74"/>
        <item x="133"/>
        <item x="247"/>
        <item x="58"/>
        <item x="233"/>
        <item x="35"/>
        <item x="277"/>
        <item x="238"/>
        <item x="312"/>
        <item x="314"/>
        <item x="271"/>
        <item x="76"/>
        <item x="261"/>
        <item x="80"/>
        <item x="334"/>
        <item x="106"/>
        <item x="272"/>
        <item x="47"/>
        <item x="324"/>
        <item x="173"/>
        <item x="259"/>
        <item x="287"/>
        <item x="59"/>
        <item x="257"/>
        <item x="126"/>
        <item x="132"/>
        <item x="199"/>
        <item x="60"/>
        <item x="134"/>
        <item x="93"/>
        <item x="167"/>
        <item x="298"/>
        <item x="237"/>
        <item x="141"/>
        <item x="30"/>
        <item x="276"/>
        <item x="300"/>
        <item x="229"/>
        <item x="41"/>
        <item x="181"/>
        <item x="5"/>
        <item x="282"/>
        <item x="57"/>
        <item x="266"/>
        <item x="46"/>
        <item x="115"/>
        <item x="240"/>
        <item x="234"/>
        <item x="210"/>
        <item x="320"/>
        <item x="206"/>
        <item x="269"/>
        <item x="288"/>
        <item x="189"/>
        <item x="157"/>
        <item x="322"/>
        <item x="79"/>
        <item x="164"/>
        <item x="332"/>
        <item x="253"/>
        <item x="68"/>
        <item x="113"/>
        <item x="216"/>
        <item x="63"/>
        <item x="319"/>
        <item x="62"/>
        <item x="99"/>
        <item x="201"/>
        <item x="27"/>
        <item x="31"/>
        <item x="129"/>
        <item x="268"/>
        <item x="123"/>
        <item x="117"/>
        <item x="174"/>
        <item x="281"/>
        <item x="250"/>
        <item x="327"/>
        <item x="168"/>
        <item x="8"/>
        <item x="222"/>
        <item x="284"/>
        <item x="109"/>
        <item x="92"/>
        <item x="125"/>
        <item x="204"/>
        <item x="316"/>
        <item x="211"/>
        <item x="218"/>
        <item x="140"/>
        <item x="102"/>
        <item x="32"/>
        <item x="337"/>
        <item x="24"/>
        <item x="152"/>
        <item x="156"/>
        <item x="264"/>
        <item x="135"/>
        <item x="116"/>
        <item x="118"/>
        <item x="108"/>
        <item x="254"/>
        <item x="155"/>
        <item x="262"/>
        <item x="243"/>
        <item x="278"/>
        <item x="82"/>
        <item x="49"/>
        <item x="343"/>
        <item x="65"/>
        <item x="55"/>
        <item x="145"/>
        <item x="6"/>
        <item x="289"/>
        <item x="81"/>
        <item x="241"/>
        <item x="286"/>
        <item x="122"/>
        <item x="220"/>
        <item x="207"/>
        <item x="138"/>
        <item x="97"/>
        <item x="36"/>
        <item x="73"/>
        <item x="89"/>
        <item x="235"/>
        <item x="345"/>
        <item x="180"/>
        <item x="249"/>
        <item x="91"/>
        <item x="130"/>
        <item x="187"/>
        <item x="285"/>
        <item x="112"/>
        <item x="19"/>
        <item x="217"/>
        <item x="283"/>
        <item x="232"/>
        <item x="336"/>
        <item x="28"/>
        <item x="191"/>
        <item x="50"/>
        <item x="77"/>
        <item x="295"/>
        <item x="12"/>
        <item x="139"/>
        <item x="26"/>
        <item x="270"/>
        <item x="15"/>
        <item x="107"/>
        <item x="103"/>
        <item x="23"/>
        <item x="69"/>
        <item x="256"/>
        <item x="338"/>
        <item x="200"/>
        <item x="51"/>
        <item x="297"/>
        <item x="291"/>
        <item x="39"/>
        <item x="29"/>
        <item x="53"/>
        <item x="151"/>
        <item x="83"/>
        <item x="306"/>
        <item x="10"/>
        <item x="105"/>
        <item x="293"/>
        <item x="147"/>
        <item x="177"/>
        <item x="33"/>
        <item x="114"/>
        <item x="318"/>
        <item x="120"/>
        <item x="294"/>
        <item x="292"/>
        <item x="85"/>
        <item x="230"/>
        <item x="158"/>
        <item x="2"/>
        <item x="215"/>
        <item x="323"/>
        <item x="255"/>
        <item x="11"/>
        <item x="331"/>
        <item x="34"/>
        <item x="185"/>
        <item x="246"/>
        <item x="184"/>
        <item x="0"/>
        <item x="25"/>
        <item x="341"/>
        <item x="225"/>
        <item x="161"/>
        <item x="21"/>
        <item x="165"/>
        <item x="186"/>
        <item x="127"/>
        <item x="148"/>
        <item x="48"/>
        <item x="153"/>
        <item x="208"/>
        <item x="94"/>
        <item x="95"/>
        <item x="75"/>
        <item x="310"/>
        <item x="17"/>
        <item x="18"/>
        <item x="110"/>
        <item x="333"/>
        <item x="192"/>
        <item x="219"/>
        <item x="339"/>
        <item x="146"/>
        <item x="166"/>
        <item x="150"/>
        <item x="224"/>
        <item x="176"/>
        <item x="315"/>
        <item x="40"/>
        <item x="221"/>
        <item x="280"/>
        <item x="9"/>
        <item x="198"/>
        <item x="84"/>
        <item x="329"/>
        <item x="267"/>
        <item x="290"/>
        <item x="61"/>
        <item x="303"/>
        <item x="78"/>
        <item x="66"/>
        <item x="98"/>
        <item x="1"/>
        <item x="196"/>
        <item x="228"/>
        <item x="131"/>
        <item x="128"/>
        <item x="296"/>
        <item x="203"/>
        <item x="3"/>
        <item x="214"/>
        <item x="197"/>
        <item x="142"/>
        <item x="305"/>
        <item x="179"/>
        <item x="239"/>
        <item x="340"/>
        <item x="111"/>
        <item x="169"/>
        <item x="202"/>
        <item x="209"/>
        <item x="273"/>
        <item x="301"/>
        <item x="124"/>
        <item x="43"/>
        <item x="308"/>
        <item x="244"/>
        <item x="104"/>
        <item x="325"/>
        <item x="90"/>
        <item x="178"/>
        <item x="274"/>
        <item x="96"/>
        <item x="54"/>
        <item x="119"/>
        <item x="311"/>
        <item x="42"/>
        <item x="231"/>
        <item x="100"/>
        <item x="313"/>
        <item x="67"/>
        <item x="183"/>
        <item x="22"/>
        <item x="279"/>
        <item x="88"/>
        <item x="304"/>
        <item x="213"/>
        <item x="14"/>
        <item x="258"/>
        <item x="205"/>
        <item x="227"/>
        <item x="45"/>
        <item t="default"/>
      </items>
    </pivotField>
    <pivotField showAll="0"/>
    <pivotField axis="axisRow" showAll="0" sortType="descending">
      <items count="76">
        <item x="42"/>
        <item x="34"/>
        <item x="32"/>
        <item x="41"/>
        <item x="73"/>
        <item x="36"/>
        <item x="8"/>
        <item x="0"/>
        <item x="30"/>
        <item x="50"/>
        <item x="28"/>
        <item x="37"/>
        <item x="35"/>
        <item x="70"/>
        <item x="48"/>
        <item x="39"/>
        <item x="71"/>
        <item x="66"/>
        <item x="40"/>
        <item x="74"/>
        <item x="4"/>
        <item x="18"/>
        <item x="44"/>
        <item x="6"/>
        <item x="68"/>
        <item x="19"/>
        <item x="23"/>
        <item x="55"/>
        <item x="11"/>
        <item x="52"/>
        <item x="2"/>
        <item x="58"/>
        <item x="59"/>
        <item x="43"/>
        <item x="16"/>
        <item x="15"/>
        <item x="17"/>
        <item x="56"/>
        <item x="60"/>
        <item x="31"/>
        <item x="65"/>
        <item x="27"/>
        <item x="3"/>
        <item x="61"/>
        <item x="72"/>
        <item x="54"/>
        <item x="25"/>
        <item x="26"/>
        <item x="29"/>
        <item x="14"/>
        <item x="53"/>
        <item x="5"/>
        <item x="57"/>
        <item x="51"/>
        <item x="63"/>
        <item x="33"/>
        <item x="13"/>
        <item x="62"/>
        <item x="38"/>
        <item x="47"/>
        <item x="21"/>
        <item x="64"/>
        <item x="45"/>
        <item x="10"/>
        <item x="69"/>
        <item x="67"/>
        <item x="9"/>
        <item x="20"/>
        <item x="22"/>
        <item x="24"/>
        <item x="1"/>
        <item x="46"/>
        <item x="12"/>
        <item x="4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6">
    <i>
      <x v="36"/>
    </i>
    <i>
      <x v="10"/>
    </i>
    <i>
      <x v="67"/>
    </i>
    <i>
      <x v="2"/>
    </i>
    <i>
      <x v="23"/>
    </i>
    <i>
      <x v="51"/>
    </i>
    <i>
      <x v="69"/>
    </i>
    <i>
      <x v="7"/>
    </i>
    <i>
      <x v="28"/>
    </i>
    <i>
      <x v="55"/>
    </i>
    <i>
      <x v="21"/>
    </i>
    <i>
      <x v="49"/>
    </i>
    <i>
      <x v="35"/>
    </i>
    <i>
      <x v="70"/>
    </i>
    <i>
      <x v="42"/>
    </i>
    <i>
      <x v="62"/>
    </i>
    <i>
      <x v="60"/>
    </i>
    <i>
      <x v="34"/>
    </i>
    <i>
      <x v="73"/>
    </i>
    <i>
      <x v="6"/>
    </i>
    <i>
      <x v="20"/>
    </i>
    <i>
      <x v="26"/>
    </i>
    <i>
      <x v="25"/>
    </i>
    <i>
      <x v="48"/>
    </i>
    <i>
      <x v="33"/>
    </i>
    <i>
      <x v="8"/>
    </i>
    <i>
      <x v="47"/>
    </i>
    <i>
      <x v="41"/>
    </i>
    <i>
      <x v="53"/>
    </i>
    <i>
      <x v="56"/>
    </i>
    <i>
      <x v="57"/>
    </i>
    <i>
      <x v="46"/>
    </i>
    <i>
      <x v="30"/>
    </i>
    <i>
      <x/>
    </i>
    <i>
      <x v="52"/>
    </i>
    <i>
      <x v="5"/>
    </i>
    <i>
      <x v="14"/>
    </i>
    <i>
      <x v="63"/>
    </i>
    <i>
      <x v="18"/>
    </i>
    <i>
      <x v="22"/>
    </i>
    <i>
      <x v="3"/>
    </i>
    <i>
      <x v="13"/>
    </i>
    <i>
      <x v="39"/>
    </i>
    <i>
      <x v="71"/>
    </i>
    <i>
      <x v="66"/>
    </i>
    <i>
      <x v="54"/>
    </i>
    <i>
      <x v="31"/>
    </i>
    <i>
      <x v="61"/>
    </i>
    <i>
      <x v="27"/>
    </i>
    <i>
      <x v="45"/>
    </i>
    <i>
      <x v="59"/>
    </i>
    <i>
      <x v="50"/>
    </i>
    <i>
      <x v="72"/>
    </i>
    <i>
      <x v="12"/>
    </i>
    <i>
      <x v="37"/>
    </i>
    <i>
      <x v="32"/>
    </i>
    <i>
      <x v="58"/>
    </i>
    <i>
      <x v="38"/>
    </i>
    <i>
      <x v="29"/>
    </i>
    <i>
      <x v="40"/>
    </i>
    <i>
      <x v="43"/>
    </i>
    <i>
      <x v="11"/>
    </i>
    <i>
      <x v="16"/>
    </i>
    <i>
      <x v="9"/>
    </i>
    <i>
      <x v="1"/>
    </i>
    <i>
      <x v="68"/>
    </i>
    <i>
      <x v="24"/>
    </i>
    <i>
      <x v="17"/>
    </i>
    <i>
      <x v="15"/>
    </i>
    <i>
      <x v="74"/>
    </i>
    <i>
      <x v="65"/>
    </i>
    <i>
      <x v="19"/>
    </i>
    <i>
      <x v="64"/>
    </i>
    <i>
      <x v="4"/>
    </i>
    <i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555E1-827F-4DE0-9B09-BFE26B560CD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4:C269" firstHeaderRow="0" firstDataRow="1" firstDataCol="1"/>
  <pivotFields count="18">
    <pivotField dataField="1" showAll="0"/>
    <pivotField numFmtId="164" showAll="0">
      <items count="347">
        <item x="245"/>
        <item x="326"/>
        <item x="342"/>
        <item x="144"/>
        <item x="4"/>
        <item x="248"/>
        <item x="302"/>
        <item x="160"/>
        <item x="175"/>
        <item x="70"/>
        <item x="64"/>
        <item x="13"/>
        <item x="38"/>
        <item x="72"/>
        <item x="143"/>
        <item x="20"/>
        <item x="344"/>
        <item x="121"/>
        <item x="309"/>
        <item x="321"/>
        <item x="335"/>
        <item x="251"/>
        <item x="263"/>
        <item x="44"/>
        <item x="330"/>
        <item x="37"/>
        <item x="170"/>
        <item x="226"/>
        <item x="136"/>
        <item x="182"/>
        <item x="265"/>
        <item x="194"/>
        <item x="190"/>
        <item x="275"/>
        <item x="101"/>
        <item x="154"/>
        <item x="242"/>
        <item x="162"/>
        <item x="7"/>
        <item x="252"/>
        <item x="149"/>
        <item x="299"/>
        <item x="86"/>
        <item x="171"/>
        <item x="172"/>
        <item x="137"/>
        <item x="328"/>
        <item x="52"/>
        <item x="317"/>
        <item x="193"/>
        <item x="87"/>
        <item x="212"/>
        <item x="236"/>
        <item x="163"/>
        <item x="195"/>
        <item x="56"/>
        <item x="71"/>
        <item x="159"/>
        <item x="188"/>
        <item x="260"/>
        <item x="223"/>
        <item x="16"/>
        <item x="307"/>
        <item x="74"/>
        <item x="133"/>
        <item x="247"/>
        <item x="58"/>
        <item x="233"/>
        <item x="35"/>
        <item x="277"/>
        <item x="238"/>
        <item x="312"/>
        <item x="314"/>
        <item x="271"/>
        <item x="76"/>
        <item x="261"/>
        <item x="80"/>
        <item x="334"/>
        <item x="106"/>
        <item x="272"/>
        <item x="47"/>
        <item x="324"/>
        <item x="173"/>
        <item x="259"/>
        <item x="287"/>
        <item x="59"/>
        <item x="257"/>
        <item x="126"/>
        <item x="132"/>
        <item x="199"/>
        <item x="60"/>
        <item x="134"/>
        <item x="93"/>
        <item x="167"/>
        <item x="298"/>
        <item x="237"/>
        <item x="141"/>
        <item x="30"/>
        <item x="276"/>
        <item x="300"/>
        <item x="229"/>
        <item x="41"/>
        <item x="181"/>
        <item x="5"/>
        <item x="282"/>
        <item x="57"/>
        <item x="266"/>
        <item x="46"/>
        <item x="115"/>
        <item x="240"/>
        <item x="234"/>
        <item x="210"/>
        <item x="320"/>
        <item x="206"/>
        <item x="269"/>
        <item x="288"/>
        <item x="189"/>
        <item x="157"/>
        <item x="322"/>
        <item x="79"/>
        <item x="164"/>
        <item x="332"/>
        <item x="253"/>
        <item x="68"/>
        <item x="113"/>
        <item x="216"/>
        <item x="63"/>
        <item x="319"/>
        <item x="62"/>
        <item x="99"/>
        <item x="201"/>
        <item x="27"/>
        <item x="31"/>
        <item x="129"/>
        <item x="268"/>
        <item x="123"/>
        <item x="117"/>
        <item x="174"/>
        <item x="281"/>
        <item x="250"/>
        <item x="327"/>
        <item x="168"/>
        <item x="8"/>
        <item x="222"/>
        <item x="284"/>
        <item x="109"/>
        <item x="92"/>
        <item x="125"/>
        <item x="204"/>
        <item x="316"/>
        <item x="211"/>
        <item x="218"/>
        <item x="140"/>
        <item x="102"/>
        <item x="32"/>
        <item x="337"/>
        <item x="24"/>
        <item x="152"/>
        <item x="156"/>
        <item x="264"/>
        <item x="135"/>
        <item x="116"/>
        <item x="118"/>
        <item x="108"/>
        <item x="254"/>
        <item x="155"/>
        <item x="262"/>
        <item x="243"/>
        <item x="278"/>
        <item x="82"/>
        <item x="49"/>
        <item x="343"/>
        <item x="65"/>
        <item x="55"/>
        <item x="145"/>
        <item x="6"/>
        <item x="289"/>
        <item x="81"/>
        <item x="241"/>
        <item x="286"/>
        <item x="122"/>
        <item x="220"/>
        <item x="207"/>
        <item x="138"/>
        <item x="97"/>
        <item x="36"/>
        <item x="73"/>
        <item x="89"/>
        <item x="235"/>
        <item x="345"/>
        <item x="180"/>
        <item x="249"/>
        <item x="91"/>
        <item x="130"/>
        <item x="187"/>
        <item x="285"/>
        <item x="112"/>
        <item x="19"/>
        <item x="217"/>
        <item x="283"/>
        <item x="232"/>
        <item x="336"/>
        <item x="28"/>
        <item x="191"/>
        <item x="50"/>
        <item x="77"/>
        <item x="295"/>
        <item x="12"/>
        <item x="139"/>
        <item x="26"/>
        <item x="270"/>
        <item x="15"/>
        <item x="107"/>
        <item x="103"/>
        <item x="23"/>
        <item x="69"/>
        <item x="256"/>
        <item x="338"/>
        <item x="200"/>
        <item x="51"/>
        <item x="297"/>
        <item x="291"/>
        <item x="39"/>
        <item x="29"/>
        <item x="53"/>
        <item x="151"/>
        <item x="83"/>
        <item x="306"/>
        <item x="10"/>
        <item x="105"/>
        <item x="293"/>
        <item x="147"/>
        <item x="177"/>
        <item x="33"/>
        <item x="114"/>
        <item x="318"/>
        <item x="120"/>
        <item x="294"/>
        <item x="292"/>
        <item x="85"/>
        <item x="230"/>
        <item x="158"/>
        <item x="2"/>
        <item x="215"/>
        <item x="323"/>
        <item x="255"/>
        <item x="11"/>
        <item x="331"/>
        <item x="34"/>
        <item x="185"/>
        <item x="246"/>
        <item x="184"/>
        <item x="0"/>
        <item x="25"/>
        <item x="341"/>
        <item x="225"/>
        <item x="161"/>
        <item x="21"/>
        <item x="165"/>
        <item x="186"/>
        <item x="127"/>
        <item x="148"/>
        <item x="48"/>
        <item x="153"/>
        <item x="208"/>
        <item x="94"/>
        <item x="95"/>
        <item x="75"/>
        <item x="310"/>
        <item x="17"/>
        <item x="18"/>
        <item x="110"/>
        <item x="333"/>
        <item x="192"/>
        <item x="219"/>
        <item x="339"/>
        <item x="146"/>
        <item x="166"/>
        <item x="150"/>
        <item x="224"/>
        <item x="176"/>
        <item x="315"/>
        <item x="40"/>
        <item x="221"/>
        <item x="280"/>
        <item x="9"/>
        <item x="198"/>
        <item x="84"/>
        <item x="329"/>
        <item x="267"/>
        <item x="290"/>
        <item x="61"/>
        <item x="303"/>
        <item x="78"/>
        <item x="66"/>
        <item x="98"/>
        <item x="1"/>
        <item x="196"/>
        <item x="228"/>
        <item x="131"/>
        <item x="128"/>
        <item x="296"/>
        <item x="203"/>
        <item x="3"/>
        <item x="214"/>
        <item x="197"/>
        <item x="142"/>
        <item x="305"/>
        <item x="179"/>
        <item x="239"/>
        <item x="340"/>
        <item x="111"/>
        <item x="169"/>
        <item x="202"/>
        <item x="209"/>
        <item x="273"/>
        <item x="301"/>
        <item x="124"/>
        <item x="43"/>
        <item x="308"/>
        <item x="244"/>
        <item x="104"/>
        <item x="325"/>
        <item x="90"/>
        <item x="178"/>
        <item x="274"/>
        <item x="96"/>
        <item x="54"/>
        <item x="119"/>
        <item x="311"/>
        <item x="42"/>
        <item x="231"/>
        <item x="100"/>
        <item x="313"/>
        <item x="67"/>
        <item x="183"/>
        <item x="22"/>
        <item x="279"/>
        <item x="88"/>
        <item x="304"/>
        <item x="213"/>
        <item x="14"/>
        <item x="258"/>
        <item x="205"/>
        <item x="227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1"/>
  <sheetViews>
    <sheetView workbookViewId="0">
      <selection activeCell="G30" sqref="A1:L1201"/>
    </sheetView>
  </sheetViews>
  <sheetFormatPr defaultRowHeight="14.4" x14ac:dyDescent="0.3"/>
  <cols>
    <col min="1" max="1" width="8.5546875" bestFit="1" customWidth="1"/>
    <col min="2" max="2" width="10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10001</v>
      </c>
      <c r="B2" s="2">
        <v>45920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</v>
      </c>
      <c r="K2">
        <v>11000</v>
      </c>
      <c r="L2">
        <v>22000</v>
      </c>
    </row>
    <row r="3" spans="1:12" x14ac:dyDescent="0.3">
      <c r="A3">
        <v>10002</v>
      </c>
      <c r="B3" s="2">
        <v>45965</v>
      </c>
      <c r="C3" t="s">
        <v>19</v>
      </c>
      <c r="D3" t="s">
        <v>20</v>
      </c>
      <c r="E3" t="s">
        <v>21</v>
      </c>
      <c r="F3" t="s">
        <v>15</v>
      </c>
      <c r="G3" t="s">
        <v>22</v>
      </c>
      <c r="H3" t="s">
        <v>23</v>
      </c>
      <c r="I3" t="s">
        <v>24</v>
      </c>
      <c r="J3">
        <v>2</v>
      </c>
      <c r="K3">
        <v>2400</v>
      </c>
      <c r="L3">
        <v>4800</v>
      </c>
    </row>
    <row r="4" spans="1:12" x14ac:dyDescent="0.3">
      <c r="A4">
        <v>10003</v>
      </c>
      <c r="B4" s="2">
        <v>45909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18</v>
      </c>
      <c r="J4">
        <v>2</v>
      </c>
      <c r="K4">
        <v>15000</v>
      </c>
      <c r="L4">
        <v>30000</v>
      </c>
    </row>
    <row r="5" spans="1:12" x14ac:dyDescent="0.3">
      <c r="A5">
        <v>10004</v>
      </c>
      <c r="B5" s="2">
        <v>45972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1</v>
      </c>
      <c r="K5">
        <v>12000</v>
      </c>
      <c r="L5">
        <v>12000</v>
      </c>
    </row>
    <row r="6" spans="1:12" x14ac:dyDescent="0.3">
      <c r="A6">
        <v>10005</v>
      </c>
      <c r="B6" s="2">
        <v>45663</v>
      </c>
      <c r="C6" t="s">
        <v>38</v>
      </c>
      <c r="D6" t="s">
        <v>39</v>
      </c>
      <c r="E6" t="s">
        <v>40</v>
      </c>
      <c r="F6" t="s">
        <v>15</v>
      </c>
      <c r="G6" t="s">
        <v>41</v>
      </c>
      <c r="H6" t="s">
        <v>42</v>
      </c>
      <c r="I6" t="s">
        <v>37</v>
      </c>
      <c r="J6">
        <v>3</v>
      </c>
      <c r="K6">
        <v>30000</v>
      </c>
      <c r="L6">
        <v>90000</v>
      </c>
    </row>
    <row r="7" spans="1:12" x14ac:dyDescent="0.3">
      <c r="A7">
        <v>10006</v>
      </c>
      <c r="B7" s="2">
        <v>45765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>
        <v>1</v>
      </c>
      <c r="K7">
        <v>1600</v>
      </c>
      <c r="L7">
        <v>1600</v>
      </c>
    </row>
    <row r="8" spans="1:12" x14ac:dyDescent="0.3">
      <c r="A8">
        <v>10007</v>
      </c>
      <c r="B8" s="2">
        <v>45840</v>
      </c>
      <c r="C8" t="s">
        <v>50</v>
      </c>
      <c r="D8" t="s">
        <v>51</v>
      </c>
      <c r="E8" t="s">
        <v>14</v>
      </c>
      <c r="F8" t="s">
        <v>15</v>
      </c>
      <c r="G8" t="s">
        <v>52</v>
      </c>
      <c r="H8" t="s">
        <v>53</v>
      </c>
      <c r="I8" t="s">
        <v>24</v>
      </c>
      <c r="J8">
        <v>3</v>
      </c>
      <c r="K8">
        <v>3500</v>
      </c>
      <c r="L8">
        <v>10500</v>
      </c>
    </row>
    <row r="9" spans="1:12" x14ac:dyDescent="0.3">
      <c r="A9">
        <v>10008</v>
      </c>
      <c r="B9" s="2">
        <v>45697</v>
      </c>
      <c r="C9" t="s">
        <v>54</v>
      </c>
      <c r="D9" t="s">
        <v>55</v>
      </c>
      <c r="E9" t="s">
        <v>33</v>
      </c>
      <c r="F9" t="s">
        <v>34</v>
      </c>
      <c r="G9" t="s">
        <v>56</v>
      </c>
      <c r="H9" t="s">
        <v>57</v>
      </c>
      <c r="I9" t="s">
        <v>18</v>
      </c>
      <c r="J9">
        <v>2</v>
      </c>
      <c r="K9">
        <v>9000</v>
      </c>
      <c r="L9">
        <v>18000</v>
      </c>
    </row>
    <row r="10" spans="1:12" x14ac:dyDescent="0.3">
      <c r="A10">
        <v>10009</v>
      </c>
      <c r="B10" s="2">
        <v>45805</v>
      </c>
      <c r="C10" t="s">
        <v>58</v>
      </c>
      <c r="D10" t="s">
        <v>59</v>
      </c>
      <c r="E10" t="s">
        <v>21</v>
      </c>
      <c r="F10" t="s">
        <v>15</v>
      </c>
      <c r="G10" t="s">
        <v>60</v>
      </c>
      <c r="H10" t="s">
        <v>61</v>
      </c>
      <c r="I10" t="s">
        <v>18</v>
      </c>
      <c r="J10">
        <v>1</v>
      </c>
      <c r="K10">
        <v>2200</v>
      </c>
      <c r="L10">
        <v>2200</v>
      </c>
    </row>
    <row r="11" spans="1:12" x14ac:dyDescent="0.3">
      <c r="A11">
        <v>10010</v>
      </c>
      <c r="B11" s="2">
        <v>45953</v>
      </c>
      <c r="C11" t="s">
        <v>62</v>
      </c>
      <c r="D11" t="s">
        <v>63</v>
      </c>
      <c r="E11" t="s">
        <v>64</v>
      </c>
      <c r="F11" t="s">
        <v>46</v>
      </c>
      <c r="G11" t="s">
        <v>65</v>
      </c>
      <c r="H11" t="s">
        <v>66</v>
      </c>
      <c r="I11" t="s">
        <v>49</v>
      </c>
      <c r="J11">
        <v>1</v>
      </c>
      <c r="K11">
        <v>2400</v>
      </c>
      <c r="L11">
        <v>2400</v>
      </c>
    </row>
    <row r="12" spans="1:12" x14ac:dyDescent="0.3">
      <c r="A12">
        <v>10011</v>
      </c>
      <c r="B12" s="2">
        <v>45894</v>
      </c>
      <c r="C12" t="s">
        <v>67</v>
      </c>
      <c r="D12" t="s">
        <v>68</v>
      </c>
      <c r="E12" t="s">
        <v>69</v>
      </c>
      <c r="F12" t="s">
        <v>28</v>
      </c>
      <c r="G12" t="s">
        <v>70</v>
      </c>
      <c r="H12" t="s">
        <v>71</v>
      </c>
      <c r="I12" t="s">
        <v>37</v>
      </c>
      <c r="J12">
        <v>1</v>
      </c>
      <c r="K12">
        <v>2200</v>
      </c>
      <c r="L12">
        <v>2200</v>
      </c>
    </row>
    <row r="13" spans="1:12" x14ac:dyDescent="0.3">
      <c r="A13">
        <v>10012</v>
      </c>
      <c r="B13" s="2">
        <v>45913</v>
      </c>
      <c r="C13" t="s">
        <v>72</v>
      </c>
      <c r="D13" t="s">
        <v>73</v>
      </c>
      <c r="E13" t="s">
        <v>74</v>
      </c>
      <c r="F13" t="s">
        <v>28</v>
      </c>
      <c r="G13" t="s">
        <v>29</v>
      </c>
      <c r="H13" t="s">
        <v>30</v>
      </c>
      <c r="I13" t="s">
        <v>18</v>
      </c>
      <c r="J13">
        <v>3</v>
      </c>
      <c r="K13">
        <v>15000</v>
      </c>
      <c r="L13">
        <v>45000</v>
      </c>
    </row>
    <row r="14" spans="1:12" x14ac:dyDescent="0.3">
      <c r="A14">
        <v>10013</v>
      </c>
      <c r="B14" s="2">
        <v>45965</v>
      </c>
      <c r="C14" t="s">
        <v>25</v>
      </c>
      <c r="D14" t="s">
        <v>26</v>
      </c>
      <c r="E14" t="s">
        <v>27</v>
      </c>
      <c r="F14" t="s">
        <v>28</v>
      </c>
      <c r="G14" t="s">
        <v>75</v>
      </c>
      <c r="H14" t="s">
        <v>76</v>
      </c>
      <c r="I14" t="s">
        <v>49</v>
      </c>
      <c r="J14">
        <v>3</v>
      </c>
      <c r="K14">
        <v>3000</v>
      </c>
      <c r="L14">
        <v>9000</v>
      </c>
    </row>
    <row r="15" spans="1:12" x14ac:dyDescent="0.3">
      <c r="A15">
        <v>10014</v>
      </c>
      <c r="B15" s="2">
        <v>45873</v>
      </c>
      <c r="C15" t="s">
        <v>72</v>
      </c>
      <c r="D15" t="s">
        <v>73</v>
      </c>
      <c r="E15" t="s">
        <v>74</v>
      </c>
      <c r="F15" t="s">
        <v>28</v>
      </c>
      <c r="G15" t="s">
        <v>56</v>
      </c>
      <c r="H15" t="s">
        <v>57</v>
      </c>
      <c r="I15" t="s">
        <v>18</v>
      </c>
      <c r="J15">
        <v>2</v>
      </c>
      <c r="K15">
        <v>9000</v>
      </c>
      <c r="L15">
        <v>18000</v>
      </c>
    </row>
    <row r="16" spans="1:12" x14ac:dyDescent="0.3">
      <c r="A16">
        <v>10015</v>
      </c>
      <c r="B16" s="2">
        <v>45670</v>
      </c>
      <c r="C16" t="s">
        <v>77</v>
      </c>
      <c r="D16" t="s">
        <v>78</v>
      </c>
      <c r="E16" t="s">
        <v>79</v>
      </c>
      <c r="F16" t="s">
        <v>34</v>
      </c>
      <c r="G16" t="s">
        <v>56</v>
      </c>
      <c r="H16" t="s">
        <v>57</v>
      </c>
      <c r="I16" t="s">
        <v>18</v>
      </c>
      <c r="J16">
        <v>2</v>
      </c>
      <c r="K16">
        <v>9000</v>
      </c>
      <c r="L16">
        <v>18000</v>
      </c>
    </row>
    <row r="17" spans="1:12" x14ac:dyDescent="0.3">
      <c r="A17">
        <v>10016</v>
      </c>
      <c r="B17" s="2">
        <v>46018</v>
      </c>
      <c r="C17" t="s">
        <v>80</v>
      </c>
      <c r="D17" t="s">
        <v>81</v>
      </c>
      <c r="E17" t="s">
        <v>79</v>
      </c>
      <c r="F17" t="s">
        <v>34</v>
      </c>
      <c r="G17" t="s">
        <v>75</v>
      </c>
      <c r="H17" t="s">
        <v>76</v>
      </c>
      <c r="I17" t="s">
        <v>49</v>
      </c>
      <c r="J17">
        <v>2</v>
      </c>
      <c r="K17">
        <v>3000</v>
      </c>
      <c r="L17">
        <v>6000</v>
      </c>
    </row>
    <row r="18" spans="1:12" x14ac:dyDescent="0.3">
      <c r="A18">
        <v>10017</v>
      </c>
      <c r="B18" s="2">
        <v>45877</v>
      </c>
      <c r="C18" t="s">
        <v>82</v>
      </c>
      <c r="D18" t="s">
        <v>83</v>
      </c>
      <c r="E18" t="s">
        <v>84</v>
      </c>
      <c r="F18" t="s">
        <v>46</v>
      </c>
      <c r="G18" t="s">
        <v>65</v>
      </c>
      <c r="H18" t="s">
        <v>66</v>
      </c>
      <c r="I18" t="s">
        <v>49</v>
      </c>
      <c r="J18">
        <v>1</v>
      </c>
      <c r="K18">
        <v>2400</v>
      </c>
      <c r="L18">
        <v>2400</v>
      </c>
    </row>
    <row r="19" spans="1:12" x14ac:dyDescent="0.3">
      <c r="A19">
        <v>10018</v>
      </c>
      <c r="B19" s="2">
        <v>45720</v>
      </c>
      <c r="C19" t="s">
        <v>85</v>
      </c>
      <c r="D19" t="s">
        <v>86</v>
      </c>
      <c r="E19" t="s">
        <v>45</v>
      </c>
      <c r="F19" t="s">
        <v>46</v>
      </c>
      <c r="G19" t="s">
        <v>35</v>
      </c>
      <c r="H19" t="s">
        <v>36</v>
      </c>
      <c r="I19" t="s">
        <v>37</v>
      </c>
      <c r="J19">
        <v>2</v>
      </c>
      <c r="K19">
        <v>12000</v>
      </c>
      <c r="L19">
        <v>24000</v>
      </c>
    </row>
    <row r="20" spans="1:12" x14ac:dyDescent="0.3">
      <c r="A20">
        <v>10019</v>
      </c>
      <c r="B20" s="2">
        <v>45937</v>
      </c>
      <c r="C20" t="s">
        <v>87</v>
      </c>
      <c r="D20" t="s">
        <v>88</v>
      </c>
      <c r="E20" t="s">
        <v>64</v>
      </c>
      <c r="F20" t="s">
        <v>46</v>
      </c>
      <c r="G20" t="s">
        <v>89</v>
      </c>
      <c r="H20" t="s">
        <v>90</v>
      </c>
      <c r="I20" t="s">
        <v>18</v>
      </c>
      <c r="J20">
        <v>1</v>
      </c>
      <c r="K20">
        <v>4200</v>
      </c>
      <c r="L20">
        <v>4200</v>
      </c>
    </row>
    <row r="21" spans="1:12" x14ac:dyDescent="0.3">
      <c r="A21">
        <v>10020</v>
      </c>
      <c r="B21" s="2">
        <v>45938</v>
      </c>
      <c r="C21" t="s">
        <v>72</v>
      </c>
      <c r="D21" t="s">
        <v>73</v>
      </c>
      <c r="E21" t="s">
        <v>74</v>
      </c>
      <c r="F21" t="s">
        <v>28</v>
      </c>
      <c r="G21" t="s">
        <v>52</v>
      </c>
      <c r="H21" t="s">
        <v>53</v>
      </c>
      <c r="I21" t="s">
        <v>24</v>
      </c>
      <c r="J21">
        <v>2</v>
      </c>
      <c r="K21">
        <v>3500</v>
      </c>
      <c r="L21">
        <v>7000</v>
      </c>
    </row>
    <row r="22" spans="1:12" x14ac:dyDescent="0.3">
      <c r="A22">
        <v>10021</v>
      </c>
      <c r="B22" s="2">
        <v>45863</v>
      </c>
      <c r="C22" t="s">
        <v>91</v>
      </c>
      <c r="D22" t="s">
        <v>92</v>
      </c>
      <c r="E22" t="s">
        <v>40</v>
      </c>
      <c r="F22" t="s">
        <v>15</v>
      </c>
      <c r="G22" t="s">
        <v>16</v>
      </c>
      <c r="H22" t="s">
        <v>17</v>
      </c>
      <c r="I22" t="s">
        <v>18</v>
      </c>
      <c r="J22">
        <v>1</v>
      </c>
      <c r="K22">
        <v>11000</v>
      </c>
      <c r="L22">
        <v>11000</v>
      </c>
    </row>
    <row r="23" spans="1:12" x14ac:dyDescent="0.3">
      <c r="A23">
        <v>10022</v>
      </c>
      <c r="B23" s="2">
        <v>45674</v>
      </c>
      <c r="C23" t="s">
        <v>93</v>
      </c>
      <c r="D23" t="s">
        <v>94</v>
      </c>
      <c r="E23" t="s">
        <v>95</v>
      </c>
      <c r="F23" t="s">
        <v>15</v>
      </c>
      <c r="G23" t="s">
        <v>96</v>
      </c>
      <c r="H23" t="s">
        <v>97</v>
      </c>
      <c r="I23" t="s">
        <v>37</v>
      </c>
      <c r="J23">
        <v>1</v>
      </c>
      <c r="K23">
        <v>18000</v>
      </c>
      <c r="L23">
        <v>18000</v>
      </c>
    </row>
    <row r="24" spans="1:12" x14ac:dyDescent="0.3">
      <c r="A24">
        <v>10023</v>
      </c>
      <c r="B24" s="2">
        <v>45925</v>
      </c>
      <c r="C24" t="s">
        <v>62</v>
      </c>
      <c r="D24" t="s">
        <v>63</v>
      </c>
      <c r="E24" t="s">
        <v>64</v>
      </c>
      <c r="F24" t="s">
        <v>46</v>
      </c>
      <c r="G24" t="s">
        <v>98</v>
      </c>
      <c r="H24" t="s">
        <v>99</v>
      </c>
      <c r="I24" t="s">
        <v>24</v>
      </c>
      <c r="J24">
        <v>4</v>
      </c>
      <c r="K24">
        <v>2000</v>
      </c>
      <c r="L24">
        <v>8000</v>
      </c>
    </row>
    <row r="25" spans="1:12" x14ac:dyDescent="0.3">
      <c r="A25">
        <v>10024</v>
      </c>
      <c r="B25" s="2">
        <v>46012</v>
      </c>
      <c r="C25" t="s">
        <v>100</v>
      </c>
      <c r="D25" t="s">
        <v>101</v>
      </c>
      <c r="E25" t="s">
        <v>102</v>
      </c>
      <c r="F25" t="s">
        <v>34</v>
      </c>
      <c r="G25" t="s">
        <v>103</v>
      </c>
      <c r="H25" t="s">
        <v>104</v>
      </c>
      <c r="I25" t="s">
        <v>37</v>
      </c>
      <c r="J25">
        <v>1</v>
      </c>
      <c r="K25">
        <v>28000</v>
      </c>
      <c r="L25">
        <v>28000</v>
      </c>
    </row>
    <row r="26" spans="1:12" x14ac:dyDescent="0.3">
      <c r="A26">
        <v>10025</v>
      </c>
      <c r="B26" s="2">
        <v>45880</v>
      </c>
      <c r="C26" t="s">
        <v>91</v>
      </c>
      <c r="D26" t="s">
        <v>92</v>
      </c>
      <c r="E26" t="s">
        <v>40</v>
      </c>
      <c r="F26" t="s">
        <v>15</v>
      </c>
      <c r="G26" t="s">
        <v>75</v>
      </c>
      <c r="H26" t="s">
        <v>76</v>
      </c>
      <c r="I26" t="s">
        <v>49</v>
      </c>
      <c r="J26">
        <v>2</v>
      </c>
      <c r="K26">
        <v>3000</v>
      </c>
      <c r="L26">
        <v>6000</v>
      </c>
    </row>
    <row r="27" spans="1:12" x14ac:dyDescent="0.3">
      <c r="A27">
        <v>10026</v>
      </c>
      <c r="B27" s="2">
        <v>45820</v>
      </c>
      <c r="C27" t="s">
        <v>105</v>
      </c>
      <c r="D27" t="s">
        <v>106</v>
      </c>
      <c r="E27" t="s">
        <v>45</v>
      </c>
      <c r="F27" t="s">
        <v>46</v>
      </c>
      <c r="G27" t="s">
        <v>75</v>
      </c>
      <c r="H27" t="s">
        <v>76</v>
      </c>
      <c r="I27" t="s">
        <v>49</v>
      </c>
      <c r="J27">
        <v>1</v>
      </c>
      <c r="K27">
        <v>3000</v>
      </c>
      <c r="L27">
        <v>3000</v>
      </c>
    </row>
    <row r="28" spans="1:12" x14ac:dyDescent="0.3">
      <c r="A28">
        <v>10027</v>
      </c>
      <c r="B28" s="2">
        <v>45921</v>
      </c>
      <c r="C28" t="s">
        <v>107</v>
      </c>
      <c r="D28" t="s">
        <v>108</v>
      </c>
      <c r="E28" t="s">
        <v>74</v>
      </c>
      <c r="F28" t="s">
        <v>28</v>
      </c>
      <c r="G28" t="s">
        <v>109</v>
      </c>
      <c r="H28" t="s">
        <v>110</v>
      </c>
      <c r="I28" t="s">
        <v>18</v>
      </c>
      <c r="J28">
        <v>1</v>
      </c>
      <c r="K28">
        <v>5000</v>
      </c>
      <c r="L28">
        <v>5000</v>
      </c>
    </row>
    <row r="29" spans="1:12" x14ac:dyDescent="0.3">
      <c r="A29">
        <v>10028</v>
      </c>
      <c r="B29" s="2">
        <v>45875</v>
      </c>
      <c r="C29" t="s">
        <v>111</v>
      </c>
      <c r="D29" t="s">
        <v>112</v>
      </c>
      <c r="E29" t="s">
        <v>40</v>
      </c>
      <c r="F29" t="s">
        <v>15</v>
      </c>
      <c r="G29" t="s">
        <v>103</v>
      </c>
      <c r="H29" t="s">
        <v>104</v>
      </c>
      <c r="I29" t="s">
        <v>37</v>
      </c>
      <c r="J29">
        <v>3</v>
      </c>
      <c r="K29">
        <v>28000</v>
      </c>
      <c r="L29">
        <v>84000</v>
      </c>
    </row>
    <row r="30" spans="1:12" x14ac:dyDescent="0.3">
      <c r="A30">
        <v>10029</v>
      </c>
      <c r="B30" s="2">
        <v>45794</v>
      </c>
      <c r="C30" t="s">
        <v>85</v>
      </c>
      <c r="D30" t="s">
        <v>86</v>
      </c>
      <c r="E30" t="s">
        <v>45</v>
      </c>
      <c r="F30" t="s">
        <v>46</v>
      </c>
      <c r="G30" t="s">
        <v>113</v>
      </c>
      <c r="H30" t="s">
        <v>114</v>
      </c>
      <c r="I30" t="s">
        <v>37</v>
      </c>
      <c r="J30">
        <v>3</v>
      </c>
      <c r="K30">
        <v>52000</v>
      </c>
      <c r="L30">
        <v>156000</v>
      </c>
    </row>
    <row r="31" spans="1:12" x14ac:dyDescent="0.3">
      <c r="A31">
        <v>10030</v>
      </c>
      <c r="B31" s="2">
        <v>45868</v>
      </c>
      <c r="C31" t="s">
        <v>115</v>
      </c>
      <c r="D31" t="s">
        <v>116</v>
      </c>
      <c r="E31" t="s">
        <v>33</v>
      </c>
      <c r="F31" t="s">
        <v>34</v>
      </c>
      <c r="G31" t="s">
        <v>103</v>
      </c>
      <c r="H31" t="s">
        <v>104</v>
      </c>
      <c r="I31" t="s">
        <v>37</v>
      </c>
      <c r="J31">
        <v>1</v>
      </c>
      <c r="K31">
        <v>28000</v>
      </c>
      <c r="L31">
        <v>28000</v>
      </c>
    </row>
    <row r="32" spans="1:12" x14ac:dyDescent="0.3">
      <c r="A32">
        <v>10031</v>
      </c>
      <c r="B32" s="2">
        <v>45889</v>
      </c>
      <c r="C32" t="s">
        <v>105</v>
      </c>
      <c r="D32" t="s">
        <v>106</v>
      </c>
      <c r="E32" t="s">
        <v>45</v>
      </c>
      <c r="F32" t="s">
        <v>46</v>
      </c>
      <c r="G32" t="s">
        <v>41</v>
      </c>
      <c r="H32" t="s">
        <v>42</v>
      </c>
      <c r="I32" t="s">
        <v>37</v>
      </c>
      <c r="J32">
        <v>2</v>
      </c>
      <c r="K32">
        <v>30000</v>
      </c>
      <c r="L32">
        <v>60000</v>
      </c>
    </row>
    <row r="33" spans="1:12" x14ac:dyDescent="0.3">
      <c r="A33">
        <v>10032</v>
      </c>
      <c r="B33" s="2">
        <v>45759</v>
      </c>
      <c r="C33" t="s">
        <v>117</v>
      </c>
      <c r="D33" t="s">
        <v>118</v>
      </c>
      <c r="E33" t="s">
        <v>95</v>
      </c>
      <c r="F33" t="s">
        <v>15</v>
      </c>
      <c r="G33" t="s">
        <v>113</v>
      </c>
      <c r="H33" t="s">
        <v>114</v>
      </c>
      <c r="I33" t="s">
        <v>37</v>
      </c>
      <c r="J33">
        <v>1</v>
      </c>
      <c r="K33">
        <v>52000</v>
      </c>
      <c r="L33">
        <v>52000</v>
      </c>
    </row>
    <row r="34" spans="1:12" x14ac:dyDescent="0.3">
      <c r="A34">
        <v>10033</v>
      </c>
      <c r="B34" s="2">
        <v>45795</v>
      </c>
      <c r="C34" t="s">
        <v>119</v>
      </c>
      <c r="D34" t="s">
        <v>120</v>
      </c>
      <c r="E34" t="s">
        <v>27</v>
      </c>
      <c r="F34" t="s">
        <v>28</v>
      </c>
      <c r="G34" t="s">
        <v>121</v>
      </c>
      <c r="H34" t="s">
        <v>122</v>
      </c>
      <c r="I34" t="s">
        <v>49</v>
      </c>
      <c r="J34">
        <v>2</v>
      </c>
      <c r="K34">
        <v>4800</v>
      </c>
      <c r="L34">
        <v>9600</v>
      </c>
    </row>
    <row r="35" spans="1:12" x14ac:dyDescent="0.3">
      <c r="A35">
        <v>10034</v>
      </c>
      <c r="B35" s="2">
        <v>45818</v>
      </c>
      <c r="C35" t="s">
        <v>123</v>
      </c>
      <c r="D35" t="s">
        <v>124</v>
      </c>
      <c r="E35" t="s">
        <v>69</v>
      </c>
      <c r="F35" t="s">
        <v>28</v>
      </c>
      <c r="G35" t="s">
        <v>125</v>
      </c>
      <c r="H35" t="s">
        <v>126</v>
      </c>
      <c r="I35" t="s">
        <v>37</v>
      </c>
      <c r="J35">
        <v>2</v>
      </c>
      <c r="K35">
        <v>22000</v>
      </c>
      <c r="L35">
        <v>44000</v>
      </c>
    </row>
    <row r="36" spans="1:12" x14ac:dyDescent="0.3">
      <c r="A36">
        <v>10035</v>
      </c>
      <c r="B36" s="2">
        <v>45909</v>
      </c>
      <c r="C36" t="s">
        <v>127</v>
      </c>
      <c r="D36" t="s">
        <v>128</v>
      </c>
      <c r="E36" t="s">
        <v>102</v>
      </c>
      <c r="F36" t="s">
        <v>34</v>
      </c>
      <c r="G36" t="s">
        <v>129</v>
      </c>
      <c r="H36" t="s">
        <v>130</v>
      </c>
      <c r="I36" t="s">
        <v>24</v>
      </c>
      <c r="J36">
        <v>2</v>
      </c>
      <c r="K36">
        <v>1400</v>
      </c>
      <c r="L36">
        <v>2800</v>
      </c>
    </row>
    <row r="37" spans="1:12" x14ac:dyDescent="0.3">
      <c r="A37">
        <v>10036</v>
      </c>
      <c r="B37" s="2">
        <v>45900</v>
      </c>
      <c r="C37" t="s">
        <v>117</v>
      </c>
      <c r="D37" t="s">
        <v>118</v>
      </c>
      <c r="E37" t="s">
        <v>95</v>
      </c>
      <c r="F37" t="s">
        <v>15</v>
      </c>
      <c r="G37" t="s">
        <v>60</v>
      </c>
      <c r="H37" t="s">
        <v>61</v>
      </c>
      <c r="I37" t="s">
        <v>18</v>
      </c>
      <c r="J37">
        <v>2</v>
      </c>
      <c r="K37">
        <v>2200</v>
      </c>
      <c r="L37">
        <v>4400</v>
      </c>
    </row>
    <row r="38" spans="1:12" x14ac:dyDescent="0.3">
      <c r="A38">
        <v>10037</v>
      </c>
      <c r="B38" s="2">
        <v>45916</v>
      </c>
      <c r="C38" t="s">
        <v>19</v>
      </c>
      <c r="D38" t="s">
        <v>20</v>
      </c>
      <c r="E38" t="s">
        <v>21</v>
      </c>
      <c r="F38" t="s">
        <v>15</v>
      </c>
      <c r="G38" t="s">
        <v>22</v>
      </c>
      <c r="H38" t="s">
        <v>23</v>
      </c>
      <c r="I38" t="s">
        <v>24</v>
      </c>
      <c r="J38">
        <v>1</v>
      </c>
      <c r="K38">
        <v>2400</v>
      </c>
      <c r="L38">
        <v>2400</v>
      </c>
    </row>
    <row r="39" spans="1:12" x14ac:dyDescent="0.3">
      <c r="A39">
        <v>10038</v>
      </c>
      <c r="B39" s="2">
        <v>45727</v>
      </c>
      <c r="C39" t="s">
        <v>25</v>
      </c>
      <c r="D39" t="s">
        <v>26</v>
      </c>
      <c r="E39" t="s">
        <v>27</v>
      </c>
      <c r="F39" t="s">
        <v>28</v>
      </c>
      <c r="G39" t="s">
        <v>125</v>
      </c>
      <c r="H39" t="s">
        <v>126</v>
      </c>
      <c r="I39" t="s">
        <v>37</v>
      </c>
      <c r="J39">
        <v>2</v>
      </c>
      <c r="K39">
        <v>22000</v>
      </c>
      <c r="L39">
        <v>44000</v>
      </c>
    </row>
    <row r="40" spans="1:12" x14ac:dyDescent="0.3">
      <c r="A40">
        <v>10039</v>
      </c>
      <c r="B40" s="2">
        <v>45868</v>
      </c>
      <c r="C40" t="s">
        <v>105</v>
      </c>
      <c r="D40" t="s">
        <v>106</v>
      </c>
      <c r="E40" t="s">
        <v>45</v>
      </c>
      <c r="F40" t="s">
        <v>46</v>
      </c>
      <c r="G40" t="s">
        <v>131</v>
      </c>
      <c r="H40" t="s">
        <v>132</v>
      </c>
      <c r="I40" t="s">
        <v>37</v>
      </c>
      <c r="J40">
        <v>1</v>
      </c>
      <c r="K40">
        <v>4500</v>
      </c>
      <c r="L40">
        <v>4500</v>
      </c>
    </row>
    <row r="41" spans="1:12" x14ac:dyDescent="0.3">
      <c r="A41">
        <v>10040</v>
      </c>
      <c r="B41" s="2">
        <v>45850</v>
      </c>
      <c r="C41" t="s">
        <v>133</v>
      </c>
      <c r="D41" t="s">
        <v>134</v>
      </c>
      <c r="E41" t="s">
        <v>33</v>
      </c>
      <c r="F41" t="s">
        <v>34</v>
      </c>
      <c r="G41" t="s">
        <v>75</v>
      </c>
      <c r="H41" t="s">
        <v>76</v>
      </c>
      <c r="I41" t="s">
        <v>49</v>
      </c>
      <c r="J41">
        <v>1</v>
      </c>
      <c r="K41">
        <v>3000</v>
      </c>
      <c r="L41">
        <v>3000</v>
      </c>
    </row>
    <row r="42" spans="1:12" x14ac:dyDescent="0.3">
      <c r="A42">
        <v>10041</v>
      </c>
      <c r="B42" s="2">
        <v>45684</v>
      </c>
      <c r="C42" t="s">
        <v>12</v>
      </c>
      <c r="D42" t="s">
        <v>13</v>
      </c>
      <c r="E42" t="s">
        <v>14</v>
      </c>
      <c r="F42" t="s">
        <v>15</v>
      </c>
      <c r="G42" t="s">
        <v>22</v>
      </c>
      <c r="H42" t="s">
        <v>23</v>
      </c>
      <c r="I42" t="s">
        <v>24</v>
      </c>
      <c r="J42">
        <v>3</v>
      </c>
      <c r="K42">
        <v>2400</v>
      </c>
      <c r="L42">
        <v>7200</v>
      </c>
    </row>
    <row r="43" spans="1:12" x14ac:dyDescent="0.3">
      <c r="A43">
        <v>10042</v>
      </c>
      <c r="B43" s="2">
        <v>45671</v>
      </c>
      <c r="C43" t="s">
        <v>135</v>
      </c>
      <c r="D43" t="s">
        <v>136</v>
      </c>
      <c r="E43" t="s">
        <v>137</v>
      </c>
      <c r="F43" t="s">
        <v>46</v>
      </c>
      <c r="G43" t="s">
        <v>129</v>
      </c>
      <c r="H43" t="s">
        <v>130</v>
      </c>
      <c r="I43" t="s">
        <v>24</v>
      </c>
      <c r="J43">
        <v>1</v>
      </c>
      <c r="K43">
        <v>1400</v>
      </c>
      <c r="L43">
        <v>1400</v>
      </c>
    </row>
    <row r="44" spans="1:12" x14ac:dyDescent="0.3">
      <c r="A44">
        <v>10043</v>
      </c>
      <c r="B44" s="2">
        <v>45888</v>
      </c>
      <c r="C44" t="s">
        <v>85</v>
      </c>
      <c r="D44" t="s">
        <v>86</v>
      </c>
      <c r="E44" t="s">
        <v>45</v>
      </c>
      <c r="F44" t="s">
        <v>46</v>
      </c>
      <c r="G44" t="s">
        <v>47</v>
      </c>
      <c r="H44" t="s">
        <v>48</v>
      </c>
      <c r="I44" t="s">
        <v>49</v>
      </c>
      <c r="J44">
        <v>1</v>
      </c>
      <c r="K44">
        <v>1600</v>
      </c>
      <c r="L44">
        <v>1600</v>
      </c>
    </row>
    <row r="45" spans="1:12" x14ac:dyDescent="0.3">
      <c r="A45">
        <v>10044</v>
      </c>
      <c r="B45" s="2">
        <v>45950</v>
      </c>
      <c r="C45" t="s">
        <v>138</v>
      </c>
      <c r="D45" t="s">
        <v>139</v>
      </c>
      <c r="E45" t="s">
        <v>79</v>
      </c>
      <c r="F45" t="s">
        <v>34</v>
      </c>
      <c r="G45" t="s">
        <v>98</v>
      </c>
      <c r="H45" t="s">
        <v>99</v>
      </c>
      <c r="I45" t="s">
        <v>24</v>
      </c>
      <c r="J45">
        <v>2</v>
      </c>
      <c r="K45">
        <v>2000</v>
      </c>
      <c r="L45">
        <v>4000</v>
      </c>
    </row>
    <row r="46" spans="1:12" x14ac:dyDescent="0.3">
      <c r="A46">
        <v>10045</v>
      </c>
      <c r="B46" s="2">
        <v>45763</v>
      </c>
      <c r="C46" t="s">
        <v>133</v>
      </c>
      <c r="D46" t="s">
        <v>134</v>
      </c>
      <c r="E46" t="s">
        <v>33</v>
      </c>
      <c r="F46" t="s">
        <v>34</v>
      </c>
      <c r="G46" t="s">
        <v>140</v>
      </c>
      <c r="H46" t="s">
        <v>141</v>
      </c>
      <c r="I46" t="s">
        <v>18</v>
      </c>
      <c r="J46">
        <v>1</v>
      </c>
      <c r="K46">
        <v>3000</v>
      </c>
      <c r="L46">
        <v>3000</v>
      </c>
    </row>
    <row r="47" spans="1:12" x14ac:dyDescent="0.3">
      <c r="A47">
        <v>10046</v>
      </c>
      <c r="B47" s="2">
        <v>46005</v>
      </c>
      <c r="C47" t="s">
        <v>50</v>
      </c>
      <c r="D47" t="s">
        <v>51</v>
      </c>
      <c r="E47" t="s">
        <v>14</v>
      </c>
      <c r="F47" t="s">
        <v>15</v>
      </c>
      <c r="G47" t="s">
        <v>140</v>
      </c>
      <c r="H47" t="s">
        <v>141</v>
      </c>
      <c r="I47" t="s">
        <v>18</v>
      </c>
      <c r="J47">
        <v>2</v>
      </c>
      <c r="K47">
        <v>3000</v>
      </c>
      <c r="L47">
        <v>6000</v>
      </c>
    </row>
    <row r="48" spans="1:12" x14ac:dyDescent="0.3">
      <c r="A48">
        <v>10047</v>
      </c>
      <c r="B48" s="2">
        <v>45989</v>
      </c>
      <c r="C48" t="s">
        <v>142</v>
      </c>
      <c r="D48" t="s">
        <v>143</v>
      </c>
      <c r="E48" t="s">
        <v>14</v>
      </c>
      <c r="F48" t="s">
        <v>15</v>
      </c>
      <c r="G48" t="s">
        <v>144</v>
      </c>
      <c r="H48" t="s">
        <v>145</v>
      </c>
      <c r="I48" t="s">
        <v>37</v>
      </c>
      <c r="J48">
        <v>4</v>
      </c>
      <c r="K48">
        <v>65000</v>
      </c>
      <c r="L48">
        <v>260000</v>
      </c>
    </row>
    <row r="49" spans="1:12" x14ac:dyDescent="0.3">
      <c r="A49">
        <v>10048</v>
      </c>
      <c r="B49" s="2">
        <v>45682</v>
      </c>
      <c r="C49" t="s">
        <v>146</v>
      </c>
      <c r="D49" t="s">
        <v>147</v>
      </c>
      <c r="E49" t="s">
        <v>64</v>
      </c>
      <c r="F49" t="s">
        <v>46</v>
      </c>
      <c r="G49" t="s">
        <v>60</v>
      </c>
      <c r="H49" t="s">
        <v>61</v>
      </c>
      <c r="I49" t="s">
        <v>18</v>
      </c>
      <c r="J49">
        <v>1</v>
      </c>
      <c r="K49">
        <v>2200</v>
      </c>
      <c r="L49">
        <v>2200</v>
      </c>
    </row>
    <row r="50" spans="1:12" x14ac:dyDescent="0.3">
      <c r="A50">
        <v>10049</v>
      </c>
      <c r="B50" s="2">
        <v>46022</v>
      </c>
      <c r="C50" t="s">
        <v>148</v>
      </c>
      <c r="D50" t="s">
        <v>149</v>
      </c>
      <c r="E50" t="s">
        <v>14</v>
      </c>
      <c r="F50" t="s">
        <v>15</v>
      </c>
      <c r="G50" t="s">
        <v>103</v>
      </c>
      <c r="H50" t="s">
        <v>104</v>
      </c>
      <c r="I50" t="s">
        <v>37</v>
      </c>
      <c r="J50">
        <v>2</v>
      </c>
      <c r="K50">
        <v>28000</v>
      </c>
      <c r="L50">
        <v>56000</v>
      </c>
    </row>
    <row r="51" spans="1:12" x14ac:dyDescent="0.3">
      <c r="A51">
        <v>10050</v>
      </c>
      <c r="B51" s="2">
        <v>45769</v>
      </c>
      <c r="C51" t="s">
        <v>150</v>
      </c>
      <c r="D51" t="s">
        <v>151</v>
      </c>
      <c r="E51" t="s">
        <v>84</v>
      </c>
      <c r="F51" t="s">
        <v>46</v>
      </c>
      <c r="G51" t="s">
        <v>152</v>
      </c>
      <c r="H51" t="s">
        <v>153</v>
      </c>
      <c r="I51" t="s">
        <v>49</v>
      </c>
      <c r="J51">
        <v>2</v>
      </c>
      <c r="K51">
        <v>3200</v>
      </c>
      <c r="L51">
        <v>6400</v>
      </c>
    </row>
    <row r="52" spans="1:12" x14ac:dyDescent="0.3">
      <c r="A52">
        <v>10051</v>
      </c>
      <c r="B52" s="2">
        <v>45740</v>
      </c>
      <c r="C52" t="s">
        <v>91</v>
      </c>
      <c r="D52" t="s">
        <v>92</v>
      </c>
      <c r="E52" t="s">
        <v>40</v>
      </c>
      <c r="F52" t="s">
        <v>15</v>
      </c>
      <c r="G52" t="s">
        <v>98</v>
      </c>
      <c r="H52" t="s">
        <v>99</v>
      </c>
      <c r="I52" t="s">
        <v>24</v>
      </c>
      <c r="J52">
        <v>2</v>
      </c>
      <c r="K52">
        <v>2000</v>
      </c>
      <c r="L52">
        <v>4000</v>
      </c>
    </row>
    <row r="53" spans="1:12" x14ac:dyDescent="0.3">
      <c r="A53">
        <v>10052</v>
      </c>
      <c r="B53" s="2">
        <v>45930</v>
      </c>
      <c r="C53" t="s">
        <v>154</v>
      </c>
      <c r="D53" t="s">
        <v>155</v>
      </c>
      <c r="E53" t="s">
        <v>74</v>
      </c>
      <c r="F53" t="s">
        <v>28</v>
      </c>
      <c r="G53" t="s">
        <v>96</v>
      </c>
      <c r="H53" t="s">
        <v>97</v>
      </c>
      <c r="I53" t="s">
        <v>37</v>
      </c>
      <c r="J53">
        <v>1</v>
      </c>
      <c r="K53">
        <v>18000</v>
      </c>
      <c r="L53">
        <v>18000</v>
      </c>
    </row>
    <row r="54" spans="1:12" x14ac:dyDescent="0.3">
      <c r="A54">
        <v>10053</v>
      </c>
      <c r="B54" s="2">
        <v>45834</v>
      </c>
      <c r="C54" t="s">
        <v>156</v>
      </c>
      <c r="D54" t="s">
        <v>157</v>
      </c>
      <c r="E54" t="s">
        <v>95</v>
      </c>
      <c r="F54" t="s">
        <v>15</v>
      </c>
      <c r="G54" t="s">
        <v>131</v>
      </c>
      <c r="H54" t="s">
        <v>132</v>
      </c>
      <c r="I54" t="s">
        <v>37</v>
      </c>
      <c r="J54">
        <v>1</v>
      </c>
      <c r="K54">
        <v>4500</v>
      </c>
      <c r="L54">
        <v>4500</v>
      </c>
    </row>
    <row r="55" spans="1:12" x14ac:dyDescent="0.3">
      <c r="A55">
        <v>10054</v>
      </c>
      <c r="B55" s="2">
        <v>45870</v>
      </c>
      <c r="C55" t="s">
        <v>87</v>
      </c>
      <c r="D55" t="s">
        <v>88</v>
      </c>
      <c r="E55" t="s">
        <v>64</v>
      </c>
      <c r="F55" t="s">
        <v>46</v>
      </c>
      <c r="G55" t="s">
        <v>52</v>
      </c>
      <c r="H55" t="s">
        <v>53</v>
      </c>
      <c r="I55" t="s">
        <v>24</v>
      </c>
      <c r="J55">
        <v>1</v>
      </c>
      <c r="K55">
        <v>3500</v>
      </c>
      <c r="L55">
        <v>3500</v>
      </c>
    </row>
    <row r="56" spans="1:12" x14ac:dyDescent="0.3">
      <c r="A56">
        <v>10055</v>
      </c>
      <c r="B56" s="2">
        <v>45885</v>
      </c>
      <c r="C56" t="s">
        <v>158</v>
      </c>
      <c r="D56" t="s">
        <v>159</v>
      </c>
      <c r="E56" t="s">
        <v>160</v>
      </c>
      <c r="F56" t="s">
        <v>34</v>
      </c>
      <c r="G56" t="s">
        <v>56</v>
      </c>
      <c r="H56" t="s">
        <v>57</v>
      </c>
      <c r="I56" t="s">
        <v>18</v>
      </c>
      <c r="J56">
        <v>1</v>
      </c>
      <c r="K56">
        <v>9000</v>
      </c>
      <c r="L56">
        <v>9000</v>
      </c>
    </row>
    <row r="57" spans="1:12" x14ac:dyDescent="0.3">
      <c r="A57">
        <v>10056</v>
      </c>
      <c r="B57" s="2">
        <v>45706</v>
      </c>
      <c r="C57" t="s">
        <v>161</v>
      </c>
      <c r="D57" t="s">
        <v>162</v>
      </c>
      <c r="E57" t="s">
        <v>33</v>
      </c>
      <c r="F57" t="s">
        <v>34</v>
      </c>
      <c r="G57" t="s">
        <v>163</v>
      </c>
      <c r="H57" t="s">
        <v>164</v>
      </c>
      <c r="I57" t="s">
        <v>49</v>
      </c>
      <c r="J57">
        <v>3</v>
      </c>
      <c r="K57">
        <v>4200</v>
      </c>
      <c r="L57">
        <v>12600</v>
      </c>
    </row>
    <row r="58" spans="1:12" x14ac:dyDescent="0.3">
      <c r="A58">
        <v>10057</v>
      </c>
      <c r="B58" s="2">
        <v>45890</v>
      </c>
      <c r="C58" t="s">
        <v>165</v>
      </c>
      <c r="D58" t="s">
        <v>166</v>
      </c>
      <c r="E58" t="s">
        <v>69</v>
      </c>
      <c r="F58" t="s">
        <v>28</v>
      </c>
      <c r="G58" t="s">
        <v>98</v>
      </c>
      <c r="H58" t="s">
        <v>99</v>
      </c>
      <c r="I58" t="s">
        <v>24</v>
      </c>
      <c r="J58">
        <v>2</v>
      </c>
      <c r="K58">
        <v>2000</v>
      </c>
      <c r="L58">
        <v>4000</v>
      </c>
    </row>
    <row r="59" spans="1:12" x14ac:dyDescent="0.3">
      <c r="A59">
        <v>10058</v>
      </c>
      <c r="B59" s="2">
        <v>46001</v>
      </c>
      <c r="C59" t="s">
        <v>72</v>
      </c>
      <c r="D59" t="s">
        <v>73</v>
      </c>
      <c r="E59" t="s">
        <v>74</v>
      </c>
      <c r="F59" t="s">
        <v>28</v>
      </c>
      <c r="G59" t="s">
        <v>163</v>
      </c>
      <c r="H59" t="s">
        <v>164</v>
      </c>
      <c r="I59" t="s">
        <v>49</v>
      </c>
      <c r="J59">
        <v>1</v>
      </c>
      <c r="K59">
        <v>4200</v>
      </c>
      <c r="L59">
        <v>4200</v>
      </c>
    </row>
    <row r="60" spans="1:12" x14ac:dyDescent="0.3">
      <c r="A60">
        <v>10059</v>
      </c>
      <c r="B60" s="2">
        <v>45838</v>
      </c>
      <c r="C60" t="s">
        <v>146</v>
      </c>
      <c r="D60" t="s">
        <v>147</v>
      </c>
      <c r="E60" t="s">
        <v>64</v>
      </c>
      <c r="F60" t="s">
        <v>46</v>
      </c>
      <c r="G60" t="s">
        <v>167</v>
      </c>
      <c r="H60" t="s">
        <v>168</v>
      </c>
      <c r="I60" t="s">
        <v>49</v>
      </c>
      <c r="J60">
        <v>2</v>
      </c>
      <c r="K60">
        <v>3800</v>
      </c>
      <c r="L60">
        <v>7600</v>
      </c>
    </row>
    <row r="61" spans="1:12" x14ac:dyDescent="0.3">
      <c r="A61">
        <v>10060</v>
      </c>
      <c r="B61" s="2">
        <v>45714</v>
      </c>
      <c r="C61" t="s">
        <v>127</v>
      </c>
      <c r="D61" t="s">
        <v>128</v>
      </c>
      <c r="E61" t="s">
        <v>102</v>
      </c>
      <c r="F61" t="s">
        <v>34</v>
      </c>
      <c r="G61" t="s">
        <v>60</v>
      </c>
      <c r="H61" t="s">
        <v>61</v>
      </c>
      <c r="I61" t="s">
        <v>18</v>
      </c>
      <c r="J61">
        <v>2</v>
      </c>
      <c r="K61">
        <v>2200</v>
      </c>
      <c r="L61">
        <v>4400</v>
      </c>
    </row>
    <row r="62" spans="1:12" x14ac:dyDescent="0.3">
      <c r="A62">
        <v>10061</v>
      </c>
      <c r="B62" s="2">
        <v>45767</v>
      </c>
      <c r="C62" t="s">
        <v>38</v>
      </c>
      <c r="D62" t="s">
        <v>39</v>
      </c>
      <c r="E62" t="s">
        <v>40</v>
      </c>
      <c r="F62" t="s">
        <v>15</v>
      </c>
      <c r="G62" t="s">
        <v>121</v>
      </c>
      <c r="H62" t="s">
        <v>122</v>
      </c>
      <c r="I62" t="s">
        <v>49</v>
      </c>
      <c r="J62">
        <v>2</v>
      </c>
      <c r="K62">
        <v>4800</v>
      </c>
      <c r="L62">
        <v>9600</v>
      </c>
    </row>
    <row r="63" spans="1:12" x14ac:dyDescent="0.3">
      <c r="A63">
        <v>10062</v>
      </c>
      <c r="B63" s="2">
        <v>45725</v>
      </c>
      <c r="C63" t="s">
        <v>127</v>
      </c>
      <c r="D63" t="s">
        <v>128</v>
      </c>
      <c r="E63" t="s">
        <v>102</v>
      </c>
      <c r="F63" t="s">
        <v>34</v>
      </c>
      <c r="G63" t="s">
        <v>47</v>
      </c>
      <c r="H63" t="s">
        <v>48</v>
      </c>
      <c r="I63" t="s">
        <v>49</v>
      </c>
      <c r="J63">
        <v>1</v>
      </c>
      <c r="K63">
        <v>1600</v>
      </c>
      <c r="L63">
        <v>1600</v>
      </c>
    </row>
    <row r="64" spans="1:12" x14ac:dyDescent="0.3">
      <c r="A64">
        <v>10063</v>
      </c>
      <c r="B64" s="2">
        <v>45745</v>
      </c>
      <c r="C64" t="s">
        <v>169</v>
      </c>
      <c r="D64" t="s">
        <v>170</v>
      </c>
      <c r="E64" t="s">
        <v>64</v>
      </c>
      <c r="F64" t="s">
        <v>46</v>
      </c>
      <c r="G64" t="s">
        <v>98</v>
      </c>
      <c r="H64" t="s">
        <v>99</v>
      </c>
      <c r="I64" t="s">
        <v>24</v>
      </c>
      <c r="J64">
        <v>1</v>
      </c>
      <c r="K64">
        <v>2000</v>
      </c>
      <c r="L64">
        <v>2000</v>
      </c>
    </row>
    <row r="65" spans="1:12" x14ac:dyDescent="0.3">
      <c r="A65">
        <v>10064</v>
      </c>
      <c r="B65" s="2">
        <v>45752</v>
      </c>
      <c r="C65" t="s">
        <v>171</v>
      </c>
      <c r="D65" t="s">
        <v>172</v>
      </c>
      <c r="E65" t="s">
        <v>45</v>
      </c>
      <c r="F65" t="s">
        <v>46</v>
      </c>
      <c r="G65" t="s">
        <v>70</v>
      </c>
      <c r="H65" t="s">
        <v>71</v>
      </c>
      <c r="I65" t="s">
        <v>37</v>
      </c>
      <c r="J65">
        <v>2</v>
      </c>
      <c r="K65">
        <v>2200</v>
      </c>
      <c r="L65">
        <v>4400</v>
      </c>
    </row>
    <row r="66" spans="1:12" x14ac:dyDescent="0.3">
      <c r="A66">
        <v>10065</v>
      </c>
      <c r="B66" s="2">
        <v>45959</v>
      </c>
      <c r="C66" t="s">
        <v>12</v>
      </c>
      <c r="D66" t="s">
        <v>13</v>
      </c>
      <c r="E66" t="s">
        <v>14</v>
      </c>
      <c r="F66" t="s">
        <v>15</v>
      </c>
      <c r="G66" t="s">
        <v>131</v>
      </c>
      <c r="H66" t="s">
        <v>132</v>
      </c>
      <c r="I66" t="s">
        <v>37</v>
      </c>
      <c r="J66">
        <v>3</v>
      </c>
      <c r="K66">
        <v>4500</v>
      </c>
      <c r="L66">
        <v>13500</v>
      </c>
    </row>
    <row r="67" spans="1:12" x14ac:dyDescent="0.3">
      <c r="A67">
        <v>10066</v>
      </c>
      <c r="B67" s="2">
        <v>45791</v>
      </c>
      <c r="C67" t="s">
        <v>93</v>
      </c>
      <c r="D67" t="s">
        <v>94</v>
      </c>
      <c r="E67" t="s">
        <v>95</v>
      </c>
      <c r="F67" t="s">
        <v>15</v>
      </c>
      <c r="G67" t="s">
        <v>131</v>
      </c>
      <c r="H67" t="s">
        <v>132</v>
      </c>
      <c r="I67" t="s">
        <v>37</v>
      </c>
      <c r="J67">
        <v>1</v>
      </c>
      <c r="K67">
        <v>4500</v>
      </c>
      <c r="L67">
        <v>4500</v>
      </c>
    </row>
    <row r="68" spans="1:12" x14ac:dyDescent="0.3">
      <c r="A68">
        <v>10067</v>
      </c>
      <c r="B68" s="2">
        <v>45789</v>
      </c>
      <c r="C68" t="s">
        <v>173</v>
      </c>
      <c r="D68" t="s">
        <v>174</v>
      </c>
      <c r="E68" t="s">
        <v>137</v>
      </c>
      <c r="F68" t="s">
        <v>46</v>
      </c>
      <c r="G68" t="s">
        <v>167</v>
      </c>
      <c r="H68" t="s">
        <v>168</v>
      </c>
      <c r="I68" t="s">
        <v>49</v>
      </c>
      <c r="J68">
        <v>1</v>
      </c>
      <c r="K68">
        <v>3800</v>
      </c>
      <c r="L68">
        <v>3800</v>
      </c>
    </row>
    <row r="69" spans="1:12" x14ac:dyDescent="0.3">
      <c r="A69">
        <v>10068</v>
      </c>
      <c r="B69" s="2">
        <v>45669</v>
      </c>
      <c r="C69" t="s">
        <v>173</v>
      </c>
      <c r="D69" t="s">
        <v>174</v>
      </c>
      <c r="E69" t="s">
        <v>137</v>
      </c>
      <c r="F69" t="s">
        <v>46</v>
      </c>
      <c r="G69" t="s">
        <v>41</v>
      </c>
      <c r="H69" t="s">
        <v>42</v>
      </c>
      <c r="I69" t="s">
        <v>37</v>
      </c>
      <c r="J69">
        <v>1</v>
      </c>
      <c r="K69">
        <v>30000</v>
      </c>
      <c r="L69">
        <v>30000</v>
      </c>
    </row>
    <row r="70" spans="1:12" x14ac:dyDescent="0.3">
      <c r="A70">
        <v>10069</v>
      </c>
      <c r="B70" s="2">
        <v>45837</v>
      </c>
      <c r="C70" t="s">
        <v>58</v>
      </c>
      <c r="D70" t="s">
        <v>59</v>
      </c>
      <c r="E70" t="s">
        <v>21</v>
      </c>
      <c r="F70" t="s">
        <v>15</v>
      </c>
      <c r="G70" t="s">
        <v>29</v>
      </c>
      <c r="H70" t="s">
        <v>30</v>
      </c>
      <c r="I70" t="s">
        <v>18</v>
      </c>
      <c r="J70">
        <v>1</v>
      </c>
      <c r="K70">
        <v>15000</v>
      </c>
      <c r="L70">
        <v>15000</v>
      </c>
    </row>
    <row r="71" spans="1:12" x14ac:dyDescent="0.3">
      <c r="A71">
        <v>10070</v>
      </c>
      <c r="B71" s="2">
        <v>45972</v>
      </c>
      <c r="C71" t="s">
        <v>175</v>
      </c>
      <c r="D71" t="s">
        <v>176</v>
      </c>
      <c r="E71" t="s">
        <v>84</v>
      </c>
      <c r="F71" t="s">
        <v>46</v>
      </c>
      <c r="G71" t="s">
        <v>152</v>
      </c>
      <c r="H71" t="s">
        <v>153</v>
      </c>
      <c r="I71" t="s">
        <v>49</v>
      </c>
      <c r="J71">
        <v>1</v>
      </c>
      <c r="K71">
        <v>3200</v>
      </c>
      <c r="L71">
        <v>3200</v>
      </c>
    </row>
    <row r="72" spans="1:12" x14ac:dyDescent="0.3">
      <c r="A72">
        <v>10071</v>
      </c>
      <c r="B72" s="2">
        <v>45962</v>
      </c>
      <c r="C72" t="s">
        <v>72</v>
      </c>
      <c r="D72" t="s">
        <v>73</v>
      </c>
      <c r="E72" t="s">
        <v>74</v>
      </c>
      <c r="F72" t="s">
        <v>28</v>
      </c>
      <c r="G72" t="s">
        <v>140</v>
      </c>
      <c r="H72" t="s">
        <v>141</v>
      </c>
      <c r="I72" t="s">
        <v>18</v>
      </c>
      <c r="J72">
        <v>1</v>
      </c>
      <c r="K72">
        <v>3000</v>
      </c>
      <c r="L72">
        <v>3000</v>
      </c>
    </row>
    <row r="73" spans="1:12" x14ac:dyDescent="0.3">
      <c r="A73">
        <v>10072</v>
      </c>
      <c r="B73" s="2">
        <v>46009</v>
      </c>
      <c r="C73" t="s">
        <v>77</v>
      </c>
      <c r="D73" t="s">
        <v>78</v>
      </c>
      <c r="E73" t="s">
        <v>79</v>
      </c>
      <c r="F73" t="s">
        <v>34</v>
      </c>
      <c r="G73" t="s">
        <v>22</v>
      </c>
      <c r="H73" t="s">
        <v>23</v>
      </c>
      <c r="I73" t="s">
        <v>24</v>
      </c>
      <c r="J73">
        <v>1</v>
      </c>
      <c r="K73">
        <v>2400</v>
      </c>
      <c r="L73">
        <v>2400</v>
      </c>
    </row>
    <row r="74" spans="1:12" x14ac:dyDescent="0.3">
      <c r="A74">
        <v>10073</v>
      </c>
      <c r="B74" s="2">
        <v>45786</v>
      </c>
      <c r="C74" t="s">
        <v>91</v>
      </c>
      <c r="D74" t="s">
        <v>92</v>
      </c>
      <c r="E74" t="s">
        <v>40</v>
      </c>
      <c r="F74" t="s">
        <v>15</v>
      </c>
      <c r="G74" t="s">
        <v>52</v>
      </c>
      <c r="H74" t="s">
        <v>53</v>
      </c>
      <c r="I74" t="s">
        <v>24</v>
      </c>
      <c r="J74">
        <v>1</v>
      </c>
      <c r="K74">
        <v>3500</v>
      </c>
      <c r="L74">
        <v>3500</v>
      </c>
    </row>
    <row r="75" spans="1:12" x14ac:dyDescent="0.3">
      <c r="A75">
        <v>10074</v>
      </c>
      <c r="B75" s="2">
        <v>45881</v>
      </c>
      <c r="C75" t="s">
        <v>19</v>
      </c>
      <c r="D75" t="s">
        <v>20</v>
      </c>
      <c r="E75" t="s">
        <v>21</v>
      </c>
      <c r="F75" t="s">
        <v>15</v>
      </c>
      <c r="G75" t="s">
        <v>70</v>
      </c>
      <c r="H75" t="s">
        <v>71</v>
      </c>
      <c r="I75" t="s">
        <v>37</v>
      </c>
      <c r="J75">
        <v>3</v>
      </c>
      <c r="K75">
        <v>2200</v>
      </c>
      <c r="L75">
        <v>6600</v>
      </c>
    </row>
    <row r="76" spans="1:12" x14ac:dyDescent="0.3">
      <c r="A76">
        <v>10075</v>
      </c>
      <c r="B76" s="2">
        <v>45720</v>
      </c>
      <c r="C76" t="s">
        <v>38</v>
      </c>
      <c r="D76" t="s">
        <v>39</v>
      </c>
      <c r="E76" t="s">
        <v>40</v>
      </c>
      <c r="F76" t="s">
        <v>15</v>
      </c>
      <c r="G76" t="s">
        <v>177</v>
      </c>
      <c r="H76" t="s">
        <v>178</v>
      </c>
      <c r="I76" t="s">
        <v>37</v>
      </c>
      <c r="J76">
        <v>1</v>
      </c>
      <c r="K76">
        <v>2500</v>
      </c>
      <c r="L76">
        <v>2500</v>
      </c>
    </row>
    <row r="77" spans="1:12" x14ac:dyDescent="0.3">
      <c r="A77">
        <v>10076</v>
      </c>
      <c r="B77" s="2">
        <v>45668</v>
      </c>
      <c r="C77" t="s">
        <v>25</v>
      </c>
      <c r="D77" t="s">
        <v>26</v>
      </c>
      <c r="E77" t="s">
        <v>27</v>
      </c>
      <c r="F77" t="s">
        <v>28</v>
      </c>
      <c r="G77" t="s">
        <v>29</v>
      </c>
      <c r="H77" t="s">
        <v>30</v>
      </c>
      <c r="I77" t="s">
        <v>18</v>
      </c>
      <c r="J77">
        <v>2</v>
      </c>
      <c r="K77">
        <v>15000</v>
      </c>
      <c r="L77">
        <v>30000</v>
      </c>
    </row>
    <row r="78" spans="1:12" x14ac:dyDescent="0.3">
      <c r="A78">
        <v>10077</v>
      </c>
      <c r="B78" s="2">
        <v>45715</v>
      </c>
      <c r="C78" t="s">
        <v>50</v>
      </c>
      <c r="D78" t="s">
        <v>51</v>
      </c>
      <c r="E78" t="s">
        <v>14</v>
      </c>
      <c r="F78" t="s">
        <v>15</v>
      </c>
      <c r="G78" t="s">
        <v>60</v>
      </c>
      <c r="H78" t="s">
        <v>61</v>
      </c>
      <c r="I78" t="s">
        <v>18</v>
      </c>
      <c r="J78">
        <v>1</v>
      </c>
      <c r="K78">
        <v>2200</v>
      </c>
      <c r="L78">
        <v>2200</v>
      </c>
    </row>
    <row r="79" spans="1:12" x14ac:dyDescent="0.3">
      <c r="A79">
        <v>10078</v>
      </c>
      <c r="B79" s="2">
        <v>45925</v>
      </c>
      <c r="C79" t="s">
        <v>138</v>
      </c>
      <c r="D79" t="s">
        <v>139</v>
      </c>
      <c r="E79" t="s">
        <v>79</v>
      </c>
      <c r="F79" t="s">
        <v>34</v>
      </c>
      <c r="G79" t="s">
        <v>144</v>
      </c>
      <c r="H79" t="s">
        <v>145</v>
      </c>
      <c r="I79" t="s">
        <v>37</v>
      </c>
      <c r="J79">
        <v>1</v>
      </c>
      <c r="K79">
        <v>65000</v>
      </c>
      <c r="L79">
        <v>65000</v>
      </c>
    </row>
    <row r="80" spans="1:12" x14ac:dyDescent="0.3">
      <c r="A80">
        <v>10079</v>
      </c>
      <c r="B80" s="2">
        <v>45672</v>
      </c>
      <c r="C80" t="s">
        <v>135</v>
      </c>
      <c r="D80" t="s">
        <v>136</v>
      </c>
      <c r="E80" t="s">
        <v>137</v>
      </c>
      <c r="F80" t="s">
        <v>46</v>
      </c>
      <c r="G80" t="s">
        <v>47</v>
      </c>
      <c r="H80" t="s">
        <v>48</v>
      </c>
      <c r="I80" t="s">
        <v>49</v>
      </c>
      <c r="J80">
        <v>1</v>
      </c>
      <c r="K80">
        <v>1600</v>
      </c>
      <c r="L80">
        <v>1600</v>
      </c>
    </row>
    <row r="81" spans="1:12" x14ac:dyDescent="0.3">
      <c r="A81">
        <v>10080</v>
      </c>
      <c r="B81" s="2">
        <v>45851</v>
      </c>
      <c r="C81" t="s">
        <v>138</v>
      </c>
      <c r="D81" t="s">
        <v>139</v>
      </c>
      <c r="E81" t="s">
        <v>79</v>
      </c>
      <c r="F81" t="s">
        <v>34</v>
      </c>
      <c r="G81" t="s">
        <v>179</v>
      </c>
      <c r="H81" t="s">
        <v>180</v>
      </c>
      <c r="I81" t="s">
        <v>18</v>
      </c>
      <c r="J81">
        <v>1</v>
      </c>
      <c r="K81">
        <v>6500</v>
      </c>
      <c r="L81">
        <v>6500</v>
      </c>
    </row>
    <row r="82" spans="1:12" x14ac:dyDescent="0.3">
      <c r="A82">
        <v>10081</v>
      </c>
      <c r="B82" s="2">
        <v>45722</v>
      </c>
      <c r="C82" t="s">
        <v>25</v>
      </c>
      <c r="D82" t="s">
        <v>26</v>
      </c>
      <c r="E82" t="s">
        <v>27</v>
      </c>
      <c r="F82" t="s">
        <v>28</v>
      </c>
      <c r="G82" t="s">
        <v>35</v>
      </c>
      <c r="H82" t="s">
        <v>36</v>
      </c>
      <c r="I82" t="s">
        <v>37</v>
      </c>
      <c r="J82">
        <v>1</v>
      </c>
      <c r="K82">
        <v>12000</v>
      </c>
      <c r="L82">
        <v>12000</v>
      </c>
    </row>
    <row r="83" spans="1:12" x14ac:dyDescent="0.3">
      <c r="A83">
        <v>10082</v>
      </c>
      <c r="B83" s="2">
        <v>45935</v>
      </c>
      <c r="C83" t="s">
        <v>146</v>
      </c>
      <c r="D83" t="s">
        <v>147</v>
      </c>
      <c r="E83" t="s">
        <v>64</v>
      </c>
      <c r="F83" t="s">
        <v>46</v>
      </c>
      <c r="G83" t="s">
        <v>65</v>
      </c>
      <c r="H83" t="s">
        <v>66</v>
      </c>
      <c r="I83" t="s">
        <v>49</v>
      </c>
      <c r="J83">
        <v>2</v>
      </c>
      <c r="K83">
        <v>2400</v>
      </c>
      <c r="L83">
        <v>4800</v>
      </c>
    </row>
    <row r="84" spans="1:12" x14ac:dyDescent="0.3">
      <c r="A84">
        <v>10083</v>
      </c>
      <c r="B84" s="2">
        <v>45733</v>
      </c>
      <c r="C84" t="s">
        <v>72</v>
      </c>
      <c r="D84" t="s">
        <v>73</v>
      </c>
      <c r="E84" t="s">
        <v>74</v>
      </c>
      <c r="F84" t="s">
        <v>28</v>
      </c>
      <c r="G84" t="s">
        <v>96</v>
      </c>
      <c r="H84" t="s">
        <v>97</v>
      </c>
      <c r="I84" t="s">
        <v>37</v>
      </c>
      <c r="J84">
        <v>1</v>
      </c>
      <c r="K84">
        <v>18000</v>
      </c>
      <c r="L84">
        <v>18000</v>
      </c>
    </row>
    <row r="85" spans="1:12" x14ac:dyDescent="0.3">
      <c r="A85">
        <v>10084</v>
      </c>
      <c r="B85" s="2">
        <v>45871</v>
      </c>
      <c r="C85" t="s">
        <v>173</v>
      </c>
      <c r="D85" t="s">
        <v>174</v>
      </c>
      <c r="E85" t="s">
        <v>137</v>
      </c>
      <c r="F85" t="s">
        <v>46</v>
      </c>
      <c r="G85" t="s">
        <v>60</v>
      </c>
      <c r="H85" t="s">
        <v>61</v>
      </c>
      <c r="I85" t="s">
        <v>18</v>
      </c>
      <c r="J85">
        <v>1</v>
      </c>
      <c r="K85">
        <v>2200</v>
      </c>
      <c r="L85">
        <v>2200</v>
      </c>
    </row>
    <row r="86" spans="1:12" x14ac:dyDescent="0.3">
      <c r="A86">
        <v>10085</v>
      </c>
      <c r="B86" s="2">
        <v>45961</v>
      </c>
      <c r="C86" t="s">
        <v>181</v>
      </c>
      <c r="D86" t="s">
        <v>182</v>
      </c>
      <c r="E86" t="s">
        <v>21</v>
      </c>
      <c r="F86" t="s">
        <v>15</v>
      </c>
      <c r="G86" t="s">
        <v>129</v>
      </c>
      <c r="H86" t="s">
        <v>130</v>
      </c>
      <c r="I86" t="s">
        <v>24</v>
      </c>
      <c r="J86">
        <v>1</v>
      </c>
      <c r="K86">
        <v>1400</v>
      </c>
      <c r="L86">
        <v>1400</v>
      </c>
    </row>
    <row r="87" spans="1:12" x14ac:dyDescent="0.3">
      <c r="A87">
        <v>10086</v>
      </c>
      <c r="B87" s="2">
        <v>45921</v>
      </c>
      <c r="C87" t="s">
        <v>158</v>
      </c>
      <c r="D87" t="s">
        <v>159</v>
      </c>
      <c r="E87" t="s">
        <v>160</v>
      </c>
      <c r="F87" t="s">
        <v>34</v>
      </c>
      <c r="G87" t="s">
        <v>144</v>
      </c>
      <c r="H87" t="s">
        <v>145</v>
      </c>
      <c r="I87" t="s">
        <v>37</v>
      </c>
      <c r="J87">
        <v>3</v>
      </c>
      <c r="K87">
        <v>65000</v>
      </c>
      <c r="L87">
        <v>195000</v>
      </c>
    </row>
    <row r="88" spans="1:12" x14ac:dyDescent="0.3">
      <c r="A88">
        <v>10087</v>
      </c>
      <c r="B88" s="2">
        <v>45820</v>
      </c>
      <c r="C88" t="s">
        <v>50</v>
      </c>
      <c r="D88" t="s">
        <v>51</v>
      </c>
      <c r="E88" t="s">
        <v>14</v>
      </c>
      <c r="F88" t="s">
        <v>15</v>
      </c>
      <c r="G88" t="s">
        <v>56</v>
      </c>
      <c r="H88" t="s">
        <v>57</v>
      </c>
      <c r="I88" t="s">
        <v>18</v>
      </c>
      <c r="J88">
        <v>1</v>
      </c>
      <c r="K88">
        <v>9000</v>
      </c>
      <c r="L88">
        <v>9000</v>
      </c>
    </row>
    <row r="89" spans="1:12" x14ac:dyDescent="0.3">
      <c r="A89">
        <v>10088</v>
      </c>
      <c r="B89" s="2">
        <v>45782</v>
      </c>
      <c r="C89" t="s">
        <v>183</v>
      </c>
      <c r="D89" t="s">
        <v>184</v>
      </c>
      <c r="E89" t="s">
        <v>27</v>
      </c>
      <c r="F89" t="s">
        <v>28</v>
      </c>
      <c r="G89" t="s">
        <v>152</v>
      </c>
      <c r="H89" t="s">
        <v>153</v>
      </c>
      <c r="I89" t="s">
        <v>49</v>
      </c>
      <c r="J89">
        <v>1</v>
      </c>
      <c r="K89">
        <v>3200</v>
      </c>
      <c r="L89">
        <v>3200</v>
      </c>
    </row>
    <row r="90" spans="1:12" x14ac:dyDescent="0.3">
      <c r="A90">
        <v>10089</v>
      </c>
      <c r="B90" s="2">
        <v>45735</v>
      </c>
      <c r="C90" t="s">
        <v>185</v>
      </c>
      <c r="D90" t="s">
        <v>186</v>
      </c>
      <c r="E90" t="s">
        <v>14</v>
      </c>
      <c r="F90" t="s">
        <v>15</v>
      </c>
      <c r="G90" t="s">
        <v>47</v>
      </c>
      <c r="H90" t="s">
        <v>48</v>
      </c>
      <c r="I90" t="s">
        <v>49</v>
      </c>
      <c r="J90">
        <v>4</v>
      </c>
      <c r="K90">
        <v>1600</v>
      </c>
      <c r="L90">
        <v>6400</v>
      </c>
    </row>
    <row r="91" spans="1:12" x14ac:dyDescent="0.3">
      <c r="A91">
        <v>10090</v>
      </c>
      <c r="B91" s="2">
        <v>45842</v>
      </c>
      <c r="C91" t="s">
        <v>105</v>
      </c>
      <c r="D91" t="s">
        <v>106</v>
      </c>
      <c r="E91" t="s">
        <v>45</v>
      </c>
      <c r="F91" t="s">
        <v>46</v>
      </c>
      <c r="G91" t="s">
        <v>179</v>
      </c>
      <c r="H91" t="s">
        <v>180</v>
      </c>
      <c r="I91" t="s">
        <v>18</v>
      </c>
      <c r="J91">
        <v>4</v>
      </c>
      <c r="K91">
        <v>6500</v>
      </c>
      <c r="L91">
        <v>26000</v>
      </c>
    </row>
    <row r="92" spans="1:12" x14ac:dyDescent="0.3">
      <c r="A92">
        <v>10091</v>
      </c>
      <c r="B92" s="2">
        <v>45833</v>
      </c>
      <c r="C92" t="s">
        <v>165</v>
      </c>
      <c r="D92" t="s">
        <v>166</v>
      </c>
      <c r="E92" t="s">
        <v>69</v>
      </c>
      <c r="F92" t="s">
        <v>28</v>
      </c>
      <c r="G92" t="s">
        <v>75</v>
      </c>
      <c r="H92" t="s">
        <v>76</v>
      </c>
      <c r="I92" t="s">
        <v>49</v>
      </c>
      <c r="J92">
        <v>3</v>
      </c>
      <c r="K92">
        <v>3000</v>
      </c>
      <c r="L92">
        <v>9000</v>
      </c>
    </row>
    <row r="93" spans="1:12" x14ac:dyDescent="0.3">
      <c r="A93">
        <v>10092</v>
      </c>
      <c r="B93" s="2">
        <v>45892</v>
      </c>
      <c r="C93" t="s">
        <v>115</v>
      </c>
      <c r="D93" t="s">
        <v>116</v>
      </c>
      <c r="E93" t="s">
        <v>33</v>
      </c>
      <c r="F93" t="s">
        <v>34</v>
      </c>
      <c r="G93" t="s">
        <v>89</v>
      </c>
      <c r="H93" t="s">
        <v>90</v>
      </c>
      <c r="I93" t="s">
        <v>18</v>
      </c>
      <c r="J93">
        <v>2</v>
      </c>
      <c r="K93">
        <v>4200</v>
      </c>
      <c r="L93">
        <v>8400</v>
      </c>
    </row>
    <row r="94" spans="1:12" x14ac:dyDescent="0.3">
      <c r="A94">
        <v>10093</v>
      </c>
      <c r="B94" s="2">
        <v>45955</v>
      </c>
      <c r="C94" t="s">
        <v>85</v>
      </c>
      <c r="D94" t="s">
        <v>86</v>
      </c>
      <c r="E94" t="s">
        <v>45</v>
      </c>
      <c r="F94" t="s">
        <v>46</v>
      </c>
      <c r="G94" t="s">
        <v>163</v>
      </c>
      <c r="H94" t="s">
        <v>164</v>
      </c>
      <c r="I94" t="s">
        <v>49</v>
      </c>
      <c r="J94">
        <v>1</v>
      </c>
      <c r="K94">
        <v>4200</v>
      </c>
      <c r="L94">
        <v>4200</v>
      </c>
    </row>
    <row r="95" spans="1:12" x14ac:dyDescent="0.3">
      <c r="A95">
        <v>10094</v>
      </c>
      <c r="B95" s="2">
        <v>45906</v>
      </c>
      <c r="C95" t="s">
        <v>133</v>
      </c>
      <c r="D95" t="s">
        <v>134</v>
      </c>
      <c r="E95" t="s">
        <v>33</v>
      </c>
      <c r="F95" t="s">
        <v>34</v>
      </c>
      <c r="G95" t="s">
        <v>179</v>
      </c>
      <c r="H95" t="s">
        <v>180</v>
      </c>
      <c r="I95" t="s">
        <v>18</v>
      </c>
      <c r="J95">
        <v>3</v>
      </c>
      <c r="K95">
        <v>6500</v>
      </c>
      <c r="L95">
        <v>19500</v>
      </c>
    </row>
    <row r="96" spans="1:12" x14ac:dyDescent="0.3">
      <c r="A96">
        <v>10095</v>
      </c>
      <c r="B96" s="2">
        <v>45925</v>
      </c>
      <c r="C96" t="s">
        <v>19</v>
      </c>
      <c r="D96" t="s">
        <v>20</v>
      </c>
      <c r="E96" t="s">
        <v>21</v>
      </c>
      <c r="F96" t="s">
        <v>15</v>
      </c>
      <c r="G96" t="s">
        <v>75</v>
      </c>
      <c r="H96" t="s">
        <v>76</v>
      </c>
      <c r="I96" t="s">
        <v>49</v>
      </c>
      <c r="J96">
        <v>2</v>
      </c>
      <c r="K96">
        <v>3000</v>
      </c>
      <c r="L96">
        <v>6000</v>
      </c>
    </row>
    <row r="97" spans="1:12" x14ac:dyDescent="0.3">
      <c r="A97">
        <v>10096</v>
      </c>
      <c r="B97" s="2">
        <v>45701</v>
      </c>
      <c r="C97" t="s">
        <v>161</v>
      </c>
      <c r="D97" t="s">
        <v>162</v>
      </c>
      <c r="E97" t="s">
        <v>33</v>
      </c>
      <c r="F97" t="s">
        <v>34</v>
      </c>
      <c r="G97" t="s">
        <v>152</v>
      </c>
      <c r="H97" t="s">
        <v>153</v>
      </c>
      <c r="I97" t="s">
        <v>49</v>
      </c>
      <c r="J97">
        <v>1</v>
      </c>
      <c r="K97">
        <v>3200</v>
      </c>
      <c r="L97">
        <v>3200</v>
      </c>
    </row>
    <row r="98" spans="1:12" x14ac:dyDescent="0.3">
      <c r="A98">
        <v>10097</v>
      </c>
      <c r="B98" s="2">
        <v>45709</v>
      </c>
      <c r="C98" t="s">
        <v>142</v>
      </c>
      <c r="D98" t="s">
        <v>143</v>
      </c>
      <c r="E98" t="s">
        <v>14</v>
      </c>
      <c r="F98" t="s">
        <v>15</v>
      </c>
      <c r="G98" t="s">
        <v>96</v>
      </c>
      <c r="H98" t="s">
        <v>97</v>
      </c>
      <c r="I98" t="s">
        <v>37</v>
      </c>
      <c r="J98">
        <v>5</v>
      </c>
      <c r="K98">
        <v>18000</v>
      </c>
      <c r="L98">
        <v>90000</v>
      </c>
    </row>
    <row r="99" spans="1:12" x14ac:dyDescent="0.3">
      <c r="A99">
        <v>10098</v>
      </c>
      <c r="B99" s="2">
        <v>46014</v>
      </c>
      <c r="C99" t="s">
        <v>150</v>
      </c>
      <c r="D99" t="s">
        <v>151</v>
      </c>
      <c r="E99" t="s">
        <v>84</v>
      </c>
      <c r="F99" t="s">
        <v>46</v>
      </c>
      <c r="G99" t="s">
        <v>35</v>
      </c>
      <c r="H99" t="s">
        <v>36</v>
      </c>
      <c r="I99" t="s">
        <v>37</v>
      </c>
      <c r="J99">
        <v>2</v>
      </c>
      <c r="K99">
        <v>12000</v>
      </c>
      <c r="L99">
        <v>24000</v>
      </c>
    </row>
    <row r="100" spans="1:12" x14ac:dyDescent="0.3">
      <c r="A100">
        <v>10099</v>
      </c>
      <c r="B100" s="2">
        <v>45852</v>
      </c>
      <c r="C100" t="s">
        <v>127</v>
      </c>
      <c r="D100" t="s">
        <v>128</v>
      </c>
      <c r="E100" t="s">
        <v>102</v>
      </c>
      <c r="F100" t="s">
        <v>34</v>
      </c>
      <c r="G100" t="s">
        <v>98</v>
      </c>
      <c r="H100" t="s">
        <v>99</v>
      </c>
      <c r="I100" t="s">
        <v>24</v>
      </c>
      <c r="J100">
        <v>2</v>
      </c>
      <c r="K100">
        <v>2000</v>
      </c>
      <c r="L100">
        <v>4000</v>
      </c>
    </row>
    <row r="101" spans="1:12" x14ac:dyDescent="0.3">
      <c r="A101">
        <v>10100</v>
      </c>
      <c r="B101" s="2">
        <v>45996</v>
      </c>
      <c r="C101" t="s">
        <v>185</v>
      </c>
      <c r="D101" t="s">
        <v>186</v>
      </c>
      <c r="E101" t="s">
        <v>14</v>
      </c>
      <c r="F101" t="s">
        <v>15</v>
      </c>
      <c r="G101" t="s">
        <v>75</v>
      </c>
      <c r="H101" t="s">
        <v>76</v>
      </c>
      <c r="I101" t="s">
        <v>49</v>
      </c>
      <c r="J101">
        <v>1</v>
      </c>
      <c r="K101">
        <v>3000</v>
      </c>
      <c r="L101">
        <v>3000</v>
      </c>
    </row>
    <row r="102" spans="1:12" x14ac:dyDescent="0.3">
      <c r="A102">
        <v>10101</v>
      </c>
      <c r="B102" s="2">
        <v>45857</v>
      </c>
      <c r="C102" t="s">
        <v>91</v>
      </c>
      <c r="D102" t="s">
        <v>92</v>
      </c>
      <c r="E102" t="s">
        <v>40</v>
      </c>
      <c r="F102" t="s">
        <v>15</v>
      </c>
      <c r="G102" t="s">
        <v>113</v>
      </c>
      <c r="H102" t="s">
        <v>114</v>
      </c>
      <c r="I102" t="s">
        <v>37</v>
      </c>
      <c r="J102">
        <v>1</v>
      </c>
      <c r="K102">
        <v>52000</v>
      </c>
      <c r="L102">
        <v>52000</v>
      </c>
    </row>
    <row r="103" spans="1:12" x14ac:dyDescent="0.3">
      <c r="A103">
        <v>10102</v>
      </c>
      <c r="B103" s="2">
        <v>45961</v>
      </c>
      <c r="C103" t="s">
        <v>169</v>
      </c>
      <c r="D103" t="s">
        <v>170</v>
      </c>
      <c r="E103" t="s">
        <v>64</v>
      </c>
      <c r="F103" t="s">
        <v>46</v>
      </c>
      <c r="G103" t="s">
        <v>144</v>
      </c>
      <c r="H103" t="s">
        <v>145</v>
      </c>
      <c r="I103" t="s">
        <v>37</v>
      </c>
      <c r="J103">
        <v>2</v>
      </c>
      <c r="K103">
        <v>65000</v>
      </c>
      <c r="L103">
        <v>130000</v>
      </c>
    </row>
    <row r="104" spans="1:12" x14ac:dyDescent="0.3">
      <c r="A104">
        <v>10103</v>
      </c>
      <c r="B104" s="2">
        <v>45809</v>
      </c>
      <c r="C104" t="s">
        <v>154</v>
      </c>
      <c r="D104" t="s">
        <v>155</v>
      </c>
      <c r="E104" t="s">
        <v>74</v>
      </c>
      <c r="F104" t="s">
        <v>28</v>
      </c>
      <c r="G104" t="s">
        <v>187</v>
      </c>
      <c r="H104" t="s">
        <v>188</v>
      </c>
      <c r="I104" t="s">
        <v>24</v>
      </c>
      <c r="J104">
        <v>2</v>
      </c>
      <c r="K104">
        <v>5500</v>
      </c>
      <c r="L104">
        <v>11000</v>
      </c>
    </row>
    <row r="105" spans="1:12" x14ac:dyDescent="0.3">
      <c r="A105">
        <v>10104</v>
      </c>
      <c r="B105" s="2">
        <v>45754</v>
      </c>
      <c r="C105" t="s">
        <v>100</v>
      </c>
      <c r="D105" t="s">
        <v>101</v>
      </c>
      <c r="E105" t="s">
        <v>102</v>
      </c>
      <c r="F105" t="s">
        <v>34</v>
      </c>
      <c r="G105" t="s">
        <v>98</v>
      </c>
      <c r="H105" t="s">
        <v>99</v>
      </c>
      <c r="I105" t="s">
        <v>24</v>
      </c>
      <c r="J105">
        <v>4</v>
      </c>
      <c r="K105">
        <v>2000</v>
      </c>
      <c r="L105">
        <v>8000</v>
      </c>
    </row>
    <row r="106" spans="1:12" x14ac:dyDescent="0.3">
      <c r="A106">
        <v>10105</v>
      </c>
      <c r="B106" s="2">
        <v>45989</v>
      </c>
      <c r="C106" t="s">
        <v>119</v>
      </c>
      <c r="D106" t="s">
        <v>120</v>
      </c>
      <c r="E106" t="s">
        <v>27</v>
      </c>
      <c r="F106" t="s">
        <v>28</v>
      </c>
      <c r="G106" t="s">
        <v>167</v>
      </c>
      <c r="H106" t="s">
        <v>168</v>
      </c>
      <c r="I106" t="s">
        <v>49</v>
      </c>
      <c r="J106">
        <v>1</v>
      </c>
      <c r="K106">
        <v>3800</v>
      </c>
      <c r="L106">
        <v>3800</v>
      </c>
    </row>
    <row r="107" spans="1:12" x14ac:dyDescent="0.3">
      <c r="A107">
        <v>10106</v>
      </c>
      <c r="B107" s="2">
        <v>45933</v>
      </c>
      <c r="C107" t="s">
        <v>25</v>
      </c>
      <c r="D107" t="s">
        <v>26</v>
      </c>
      <c r="E107" t="s">
        <v>27</v>
      </c>
      <c r="F107" t="s">
        <v>28</v>
      </c>
      <c r="G107" t="s">
        <v>75</v>
      </c>
      <c r="H107" t="s">
        <v>76</v>
      </c>
      <c r="I107" t="s">
        <v>49</v>
      </c>
      <c r="J107">
        <v>1</v>
      </c>
      <c r="K107">
        <v>3000</v>
      </c>
      <c r="L107">
        <v>3000</v>
      </c>
    </row>
    <row r="108" spans="1:12" x14ac:dyDescent="0.3">
      <c r="A108">
        <v>10107</v>
      </c>
      <c r="B108" s="2">
        <v>45934</v>
      </c>
      <c r="C108" t="s">
        <v>91</v>
      </c>
      <c r="D108" t="s">
        <v>92</v>
      </c>
      <c r="E108" t="s">
        <v>40</v>
      </c>
      <c r="F108" t="s">
        <v>15</v>
      </c>
      <c r="G108" t="s">
        <v>103</v>
      </c>
      <c r="H108" t="s">
        <v>104</v>
      </c>
      <c r="I108" t="s">
        <v>37</v>
      </c>
      <c r="J108">
        <v>1</v>
      </c>
      <c r="K108">
        <v>28000</v>
      </c>
      <c r="L108">
        <v>28000</v>
      </c>
    </row>
    <row r="109" spans="1:12" x14ac:dyDescent="0.3">
      <c r="A109">
        <v>10108</v>
      </c>
      <c r="B109" s="2">
        <v>45999</v>
      </c>
      <c r="C109" t="s">
        <v>146</v>
      </c>
      <c r="D109" t="s">
        <v>147</v>
      </c>
      <c r="E109" t="s">
        <v>64</v>
      </c>
      <c r="F109" t="s">
        <v>46</v>
      </c>
      <c r="G109" t="s">
        <v>41</v>
      </c>
      <c r="H109" t="s">
        <v>42</v>
      </c>
      <c r="I109" t="s">
        <v>37</v>
      </c>
      <c r="J109">
        <v>3</v>
      </c>
      <c r="K109">
        <v>30000</v>
      </c>
      <c r="L109">
        <v>90000</v>
      </c>
    </row>
    <row r="110" spans="1:12" x14ac:dyDescent="0.3">
      <c r="A110">
        <v>10109</v>
      </c>
      <c r="B110" s="2">
        <v>45849</v>
      </c>
      <c r="C110" t="s">
        <v>135</v>
      </c>
      <c r="D110" t="s">
        <v>136</v>
      </c>
      <c r="E110" t="s">
        <v>137</v>
      </c>
      <c r="F110" t="s">
        <v>46</v>
      </c>
      <c r="G110" t="s">
        <v>144</v>
      </c>
      <c r="H110" t="s">
        <v>145</v>
      </c>
      <c r="I110" t="s">
        <v>37</v>
      </c>
      <c r="J110">
        <v>1</v>
      </c>
      <c r="K110">
        <v>65000</v>
      </c>
      <c r="L110">
        <v>65000</v>
      </c>
    </row>
    <row r="111" spans="1:12" x14ac:dyDescent="0.3">
      <c r="A111">
        <v>10110</v>
      </c>
      <c r="B111" s="2">
        <v>45964</v>
      </c>
      <c r="C111" t="s">
        <v>93</v>
      </c>
      <c r="D111" t="s">
        <v>94</v>
      </c>
      <c r="E111" t="s">
        <v>95</v>
      </c>
      <c r="F111" t="s">
        <v>15</v>
      </c>
      <c r="G111" t="s">
        <v>56</v>
      </c>
      <c r="H111" t="s">
        <v>57</v>
      </c>
      <c r="I111" t="s">
        <v>18</v>
      </c>
      <c r="J111">
        <v>2</v>
      </c>
      <c r="K111">
        <v>9000</v>
      </c>
      <c r="L111">
        <v>18000</v>
      </c>
    </row>
    <row r="112" spans="1:12" x14ac:dyDescent="0.3">
      <c r="A112">
        <v>10111</v>
      </c>
      <c r="B112" s="2">
        <v>45906</v>
      </c>
      <c r="C112" t="s">
        <v>138</v>
      </c>
      <c r="D112" t="s">
        <v>139</v>
      </c>
      <c r="E112" t="s">
        <v>79</v>
      </c>
      <c r="F112" t="s">
        <v>34</v>
      </c>
      <c r="G112" t="s">
        <v>52</v>
      </c>
      <c r="H112" t="s">
        <v>53</v>
      </c>
      <c r="I112" t="s">
        <v>24</v>
      </c>
      <c r="J112">
        <v>1</v>
      </c>
      <c r="K112">
        <v>3500</v>
      </c>
      <c r="L112">
        <v>3500</v>
      </c>
    </row>
    <row r="113" spans="1:12" x14ac:dyDescent="0.3">
      <c r="A113">
        <v>10112</v>
      </c>
      <c r="B113" s="2">
        <v>45792</v>
      </c>
      <c r="C113" t="s">
        <v>183</v>
      </c>
      <c r="D113" t="s">
        <v>184</v>
      </c>
      <c r="E113" t="s">
        <v>27</v>
      </c>
      <c r="F113" t="s">
        <v>28</v>
      </c>
      <c r="G113" t="s">
        <v>113</v>
      </c>
      <c r="H113" t="s">
        <v>114</v>
      </c>
      <c r="I113" t="s">
        <v>37</v>
      </c>
      <c r="J113">
        <v>2</v>
      </c>
      <c r="K113">
        <v>52000</v>
      </c>
      <c r="L113">
        <v>104000</v>
      </c>
    </row>
    <row r="114" spans="1:12" x14ac:dyDescent="0.3">
      <c r="A114">
        <v>10113</v>
      </c>
      <c r="B114" s="2">
        <v>45913</v>
      </c>
      <c r="C114" t="s">
        <v>135</v>
      </c>
      <c r="D114" t="s">
        <v>136</v>
      </c>
      <c r="E114" t="s">
        <v>137</v>
      </c>
      <c r="F114" t="s">
        <v>46</v>
      </c>
      <c r="G114" t="s">
        <v>177</v>
      </c>
      <c r="H114" t="s">
        <v>178</v>
      </c>
      <c r="I114" t="s">
        <v>37</v>
      </c>
      <c r="J114">
        <v>1</v>
      </c>
      <c r="K114">
        <v>2500</v>
      </c>
      <c r="L114">
        <v>2500</v>
      </c>
    </row>
    <row r="115" spans="1:12" x14ac:dyDescent="0.3">
      <c r="A115">
        <v>10114</v>
      </c>
      <c r="B115" s="2">
        <v>46007</v>
      </c>
      <c r="C115" t="s">
        <v>91</v>
      </c>
      <c r="D115" t="s">
        <v>92</v>
      </c>
      <c r="E115" t="s">
        <v>40</v>
      </c>
      <c r="F115" t="s">
        <v>15</v>
      </c>
      <c r="G115" t="s">
        <v>75</v>
      </c>
      <c r="H115" t="s">
        <v>76</v>
      </c>
      <c r="I115" t="s">
        <v>49</v>
      </c>
      <c r="J115">
        <v>3</v>
      </c>
      <c r="K115">
        <v>3000</v>
      </c>
      <c r="L115">
        <v>9000</v>
      </c>
    </row>
    <row r="116" spans="1:12" x14ac:dyDescent="0.3">
      <c r="A116">
        <v>10115</v>
      </c>
      <c r="B116" s="2">
        <v>45693</v>
      </c>
      <c r="C116" t="s">
        <v>105</v>
      </c>
      <c r="D116" t="s">
        <v>106</v>
      </c>
      <c r="E116" t="s">
        <v>45</v>
      </c>
      <c r="F116" t="s">
        <v>46</v>
      </c>
      <c r="G116" t="s">
        <v>177</v>
      </c>
      <c r="H116" t="s">
        <v>178</v>
      </c>
      <c r="I116" t="s">
        <v>37</v>
      </c>
      <c r="J116">
        <v>2</v>
      </c>
      <c r="K116">
        <v>2500</v>
      </c>
      <c r="L116">
        <v>5000</v>
      </c>
    </row>
    <row r="117" spans="1:12" x14ac:dyDescent="0.3">
      <c r="A117">
        <v>10116</v>
      </c>
      <c r="B117" s="2">
        <v>45817</v>
      </c>
      <c r="C117" t="s">
        <v>58</v>
      </c>
      <c r="D117" t="s">
        <v>59</v>
      </c>
      <c r="E117" t="s">
        <v>21</v>
      </c>
      <c r="F117" t="s">
        <v>15</v>
      </c>
      <c r="G117" t="s">
        <v>16</v>
      </c>
      <c r="H117" t="s">
        <v>17</v>
      </c>
      <c r="I117" t="s">
        <v>18</v>
      </c>
      <c r="J117">
        <v>1</v>
      </c>
      <c r="K117">
        <v>11000</v>
      </c>
      <c r="L117">
        <v>11000</v>
      </c>
    </row>
    <row r="118" spans="1:12" x14ac:dyDescent="0.3">
      <c r="A118">
        <v>10117</v>
      </c>
      <c r="B118" s="2">
        <v>45879</v>
      </c>
      <c r="C118" t="s">
        <v>82</v>
      </c>
      <c r="D118" t="s">
        <v>83</v>
      </c>
      <c r="E118" t="s">
        <v>84</v>
      </c>
      <c r="F118" t="s">
        <v>46</v>
      </c>
      <c r="G118" t="s">
        <v>125</v>
      </c>
      <c r="H118" t="s">
        <v>126</v>
      </c>
      <c r="I118" t="s">
        <v>37</v>
      </c>
      <c r="J118">
        <v>1</v>
      </c>
      <c r="K118">
        <v>22000</v>
      </c>
      <c r="L118">
        <v>22000</v>
      </c>
    </row>
    <row r="119" spans="1:12" x14ac:dyDescent="0.3">
      <c r="A119">
        <v>10118</v>
      </c>
      <c r="B119" s="2">
        <v>45994</v>
      </c>
      <c r="C119" t="s">
        <v>50</v>
      </c>
      <c r="D119" t="s">
        <v>51</v>
      </c>
      <c r="E119" t="s">
        <v>14</v>
      </c>
      <c r="F119" t="s">
        <v>15</v>
      </c>
      <c r="G119" t="s">
        <v>187</v>
      </c>
      <c r="H119" t="s">
        <v>188</v>
      </c>
      <c r="I119" t="s">
        <v>24</v>
      </c>
      <c r="J119">
        <v>3</v>
      </c>
      <c r="K119">
        <v>5500</v>
      </c>
      <c r="L119">
        <v>16500</v>
      </c>
    </row>
    <row r="120" spans="1:12" x14ac:dyDescent="0.3">
      <c r="A120">
        <v>10119</v>
      </c>
      <c r="B120" s="2">
        <v>45895</v>
      </c>
      <c r="C120" t="s">
        <v>72</v>
      </c>
      <c r="D120" t="s">
        <v>73</v>
      </c>
      <c r="E120" t="s">
        <v>74</v>
      </c>
      <c r="F120" t="s">
        <v>28</v>
      </c>
      <c r="G120" t="s">
        <v>103</v>
      </c>
      <c r="H120" t="s">
        <v>104</v>
      </c>
      <c r="I120" t="s">
        <v>37</v>
      </c>
      <c r="J120">
        <v>1</v>
      </c>
      <c r="K120">
        <v>28000</v>
      </c>
      <c r="L120">
        <v>28000</v>
      </c>
    </row>
    <row r="121" spans="1:12" x14ac:dyDescent="0.3">
      <c r="A121">
        <v>10120</v>
      </c>
      <c r="B121" s="2">
        <v>45837</v>
      </c>
      <c r="C121" t="s">
        <v>43</v>
      </c>
      <c r="D121" t="s">
        <v>44</v>
      </c>
      <c r="E121" t="s">
        <v>45</v>
      </c>
      <c r="F121" t="s">
        <v>46</v>
      </c>
      <c r="G121" t="s">
        <v>177</v>
      </c>
      <c r="H121" t="s">
        <v>178</v>
      </c>
      <c r="I121" t="s">
        <v>37</v>
      </c>
      <c r="J121">
        <v>1</v>
      </c>
      <c r="K121">
        <v>2500</v>
      </c>
      <c r="L121">
        <v>2500</v>
      </c>
    </row>
    <row r="122" spans="1:12" x14ac:dyDescent="0.3">
      <c r="A122">
        <v>10121</v>
      </c>
      <c r="B122" s="2">
        <v>45737</v>
      </c>
      <c r="C122" t="s">
        <v>189</v>
      </c>
      <c r="D122" t="s">
        <v>190</v>
      </c>
      <c r="E122" t="s">
        <v>160</v>
      </c>
      <c r="F122" t="s">
        <v>34</v>
      </c>
      <c r="G122" t="s">
        <v>70</v>
      </c>
      <c r="H122" t="s">
        <v>71</v>
      </c>
      <c r="I122" t="s">
        <v>37</v>
      </c>
      <c r="J122">
        <v>1</v>
      </c>
      <c r="K122">
        <v>2200</v>
      </c>
      <c r="L122">
        <v>2200</v>
      </c>
    </row>
    <row r="123" spans="1:12" x14ac:dyDescent="0.3">
      <c r="A123">
        <v>10122</v>
      </c>
      <c r="B123" s="2">
        <v>45878</v>
      </c>
      <c r="C123" t="s">
        <v>127</v>
      </c>
      <c r="D123" t="s">
        <v>128</v>
      </c>
      <c r="E123" t="s">
        <v>102</v>
      </c>
      <c r="F123" t="s">
        <v>34</v>
      </c>
      <c r="G123" t="s">
        <v>121</v>
      </c>
      <c r="H123" t="s">
        <v>122</v>
      </c>
      <c r="I123" t="s">
        <v>49</v>
      </c>
      <c r="J123">
        <v>1</v>
      </c>
      <c r="K123">
        <v>4800</v>
      </c>
      <c r="L123">
        <v>4800</v>
      </c>
    </row>
    <row r="124" spans="1:12" x14ac:dyDescent="0.3">
      <c r="A124">
        <v>10123</v>
      </c>
      <c r="B124" s="2">
        <v>45885</v>
      </c>
      <c r="C124" t="s">
        <v>183</v>
      </c>
      <c r="D124" t="s">
        <v>184</v>
      </c>
      <c r="E124" t="s">
        <v>27</v>
      </c>
      <c r="F124" t="s">
        <v>28</v>
      </c>
      <c r="G124" t="s">
        <v>177</v>
      </c>
      <c r="H124" t="s">
        <v>178</v>
      </c>
      <c r="I124" t="s">
        <v>37</v>
      </c>
      <c r="J124">
        <v>1</v>
      </c>
      <c r="K124">
        <v>2500</v>
      </c>
      <c r="L124">
        <v>2500</v>
      </c>
    </row>
    <row r="125" spans="1:12" x14ac:dyDescent="0.3">
      <c r="A125">
        <v>10124</v>
      </c>
      <c r="B125" s="2">
        <v>45827</v>
      </c>
      <c r="C125" t="s">
        <v>142</v>
      </c>
      <c r="D125" t="s">
        <v>143</v>
      </c>
      <c r="E125" t="s">
        <v>14</v>
      </c>
      <c r="F125" t="s">
        <v>15</v>
      </c>
      <c r="G125" t="s">
        <v>96</v>
      </c>
      <c r="H125" t="s">
        <v>97</v>
      </c>
      <c r="I125" t="s">
        <v>37</v>
      </c>
      <c r="J125">
        <v>4</v>
      </c>
      <c r="K125">
        <v>18000</v>
      </c>
      <c r="L125">
        <v>72000</v>
      </c>
    </row>
    <row r="126" spans="1:12" x14ac:dyDescent="0.3">
      <c r="A126">
        <v>10125</v>
      </c>
      <c r="B126" s="2">
        <v>45808</v>
      </c>
      <c r="C126" t="s">
        <v>127</v>
      </c>
      <c r="D126" t="s">
        <v>128</v>
      </c>
      <c r="E126" t="s">
        <v>102</v>
      </c>
      <c r="F126" t="s">
        <v>34</v>
      </c>
      <c r="G126" t="s">
        <v>41</v>
      </c>
      <c r="H126" t="s">
        <v>42</v>
      </c>
      <c r="I126" t="s">
        <v>37</v>
      </c>
      <c r="J126">
        <v>2</v>
      </c>
      <c r="K126">
        <v>30000</v>
      </c>
      <c r="L126">
        <v>60000</v>
      </c>
    </row>
    <row r="127" spans="1:12" x14ac:dyDescent="0.3">
      <c r="A127">
        <v>10126</v>
      </c>
      <c r="B127" s="2">
        <v>45939</v>
      </c>
      <c r="C127" t="s">
        <v>123</v>
      </c>
      <c r="D127" t="s">
        <v>124</v>
      </c>
      <c r="E127" t="s">
        <v>69</v>
      </c>
      <c r="F127" t="s">
        <v>28</v>
      </c>
      <c r="G127" t="s">
        <v>179</v>
      </c>
      <c r="H127" t="s">
        <v>180</v>
      </c>
      <c r="I127" t="s">
        <v>18</v>
      </c>
      <c r="J127">
        <v>2</v>
      </c>
      <c r="K127">
        <v>6500</v>
      </c>
      <c r="L127">
        <v>13000</v>
      </c>
    </row>
    <row r="128" spans="1:12" x14ac:dyDescent="0.3">
      <c r="A128">
        <v>10127</v>
      </c>
      <c r="B128" s="2">
        <v>46005</v>
      </c>
      <c r="C128" t="s">
        <v>82</v>
      </c>
      <c r="D128" t="s">
        <v>83</v>
      </c>
      <c r="E128" t="s">
        <v>84</v>
      </c>
      <c r="F128" t="s">
        <v>46</v>
      </c>
      <c r="G128" t="s">
        <v>177</v>
      </c>
      <c r="H128" t="s">
        <v>178</v>
      </c>
      <c r="I128" t="s">
        <v>37</v>
      </c>
      <c r="J128">
        <v>2</v>
      </c>
      <c r="K128">
        <v>2500</v>
      </c>
      <c r="L128">
        <v>5000</v>
      </c>
    </row>
    <row r="129" spans="1:12" x14ac:dyDescent="0.3">
      <c r="A129">
        <v>10128</v>
      </c>
      <c r="B129" s="2">
        <v>45982</v>
      </c>
      <c r="C129" t="s">
        <v>91</v>
      </c>
      <c r="D129" t="s">
        <v>92</v>
      </c>
      <c r="E129" t="s">
        <v>40</v>
      </c>
      <c r="F129" t="s">
        <v>15</v>
      </c>
      <c r="G129" t="s">
        <v>47</v>
      </c>
      <c r="H129" t="s">
        <v>48</v>
      </c>
      <c r="I129" t="s">
        <v>49</v>
      </c>
      <c r="J129">
        <v>4</v>
      </c>
      <c r="K129">
        <v>1600</v>
      </c>
      <c r="L129">
        <v>6400</v>
      </c>
    </row>
    <row r="130" spans="1:12" x14ac:dyDescent="0.3">
      <c r="A130">
        <v>10129</v>
      </c>
      <c r="B130" s="2">
        <v>45765</v>
      </c>
      <c r="C130" t="s">
        <v>82</v>
      </c>
      <c r="D130" t="s">
        <v>83</v>
      </c>
      <c r="E130" t="s">
        <v>84</v>
      </c>
      <c r="F130" t="s">
        <v>46</v>
      </c>
      <c r="G130" t="s">
        <v>60</v>
      </c>
      <c r="H130" t="s">
        <v>61</v>
      </c>
      <c r="I130" t="s">
        <v>18</v>
      </c>
      <c r="J130">
        <v>1</v>
      </c>
      <c r="K130">
        <v>2200</v>
      </c>
      <c r="L130">
        <v>2200</v>
      </c>
    </row>
    <row r="131" spans="1:12" x14ac:dyDescent="0.3">
      <c r="A131">
        <v>10130</v>
      </c>
      <c r="B131" s="2">
        <v>45862</v>
      </c>
      <c r="C131" t="s">
        <v>135</v>
      </c>
      <c r="D131" t="s">
        <v>136</v>
      </c>
      <c r="E131" t="s">
        <v>137</v>
      </c>
      <c r="F131" t="s">
        <v>46</v>
      </c>
      <c r="G131" t="s">
        <v>113</v>
      </c>
      <c r="H131" t="s">
        <v>114</v>
      </c>
      <c r="I131" t="s">
        <v>37</v>
      </c>
      <c r="J131">
        <v>2</v>
      </c>
      <c r="K131">
        <v>52000</v>
      </c>
      <c r="L131">
        <v>104000</v>
      </c>
    </row>
    <row r="132" spans="1:12" x14ac:dyDescent="0.3">
      <c r="A132">
        <v>10131</v>
      </c>
      <c r="B132" s="2">
        <v>45787</v>
      </c>
      <c r="C132" t="s">
        <v>173</v>
      </c>
      <c r="D132" t="s">
        <v>174</v>
      </c>
      <c r="E132" t="s">
        <v>137</v>
      </c>
      <c r="F132" t="s">
        <v>46</v>
      </c>
      <c r="G132" t="s">
        <v>60</v>
      </c>
      <c r="H132" t="s">
        <v>61</v>
      </c>
      <c r="I132" t="s">
        <v>18</v>
      </c>
      <c r="J132">
        <v>1</v>
      </c>
      <c r="K132">
        <v>2200</v>
      </c>
      <c r="L132">
        <v>2200</v>
      </c>
    </row>
    <row r="133" spans="1:12" x14ac:dyDescent="0.3">
      <c r="A133">
        <v>10132</v>
      </c>
      <c r="B133" s="2">
        <v>45901</v>
      </c>
      <c r="C133" t="s">
        <v>31</v>
      </c>
      <c r="D133" t="s">
        <v>32</v>
      </c>
      <c r="E133" t="s">
        <v>33</v>
      </c>
      <c r="F133" t="s">
        <v>34</v>
      </c>
      <c r="G133" t="s">
        <v>140</v>
      </c>
      <c r="H133" t="s">
        <v>141</v>
      </c>
      <c r="I133" t="s">
        <v>18</v>
      </c>
      <c r="J133">
        <v>3</v>
      </c>
      <c r="K133">
        <v>3000</v>
      </c>
      <c r="L133">
        <v>9000</v>
      </c>
    </row>
    <row r="134" spans="1:12" x14ac:dyDescent="0.3">
      <c r="A134">
        <v>10133</v>
      </c>
      <c r="B134" s="2">
        <v>45770</v>
      </c>
      <c r="C134" t="s">
        <v>85</v>
      </c>
      <c r="D134" t="s">
        <v>86</v>
      </c>
      <c r="E134" t="s">
        <v>45</v>
      </c>
      <c r="F134" t="s">
        <v>46</v>
      </c>
      <c r="G134" t="s">
        <v>144</v>
      </c>
      <c r="H134" t="s">
        <v>145</v>
      </c>
      <c r="I134" t="s">
        <v>37</v>
      </c>
      <c r="J134">
        <v>2</v>
      </c>
      <c r="K134">
        <v>65000</v>
      </c>
      <c r="L134">
        <v>130000</v>
      </c>
    </row>
    <row r="135" spans="1:12" x14ac:dyDescent="0.3">
      <c r="A135">
        <v>10134</v>
      </c>
      <c r="B135" s="2">
        <v>45825</v>
      </c>
      <c r="C135" t="s">
        <v>82</v>
      </c>
      <c r="D135" t="s">
        <v>83</v>
      </c>
      <c r="E135" t="s">
        <v>84</v>
      </c>
      <c r="F135" t="s">
        <v>46</v>
      </c>
      <c r="G135" t="s">
        <v>129</v>
      </c>
      <c r="H135" t="s">
        <v>130</v>
      </c>
      <c r="I135" t="s">
        <v>24</v>
      </c>
      <c r="J135">
        <v>1</v>
      </c>
      <c r="K135">
        <v>1400</v>
      </c>
      <c r="L135">
        <v>1400</v>
      </c>
    </row>
    <row r="136" spans="1:12" x14ac:dyDescent="0.3">
      <c r="A136">
        <v>10135</v>
      </c>
      <c r="B136" s="2">
        <v>45799</v>
      </c>
      <c r="C136" t="s">
        <v>191</v>
      </c>
      <c r="D136" t="s">
        <v>192</v>
      </c>
      <c r="E136" t="s">
        <v>27</v>
      </c>
      <c r="F136" t="s">
        <v>28</v>
      </c>
      <c r="G136" t="s">
        <v>89</v>
      </c>
      <c r="H136" t="s">
        <v>90</v>
      </c>
      <c r="I136" t="s">
        <v>18</v>
      </c>
      <c r="J136">
        <v>2</v>
      </c>
      <c r="K136">
        <v>4200</v>
      </c>
      <c r="L136">
        <v>8400</v>
      </c>
    </row>
    <row r="137" spans="1:12" x14ac:dyDescent="0.3">
      <c r="A137">
        <v>10136</v>
      </c>
      <c r="B137" s="2">
        <v>45754</v>
      </c>
      <c r="C137" t="s">
        <v>115</v>
      </c>
      <c r="D137" t="s">
        <v>116</v>
      </c>
      <c r="E137" t="s">
        <v>33</v>
      </c>
      <c r="F137" t="s">
        <v>34</v>
      </c>
      <c r="G137" t="s">
        <v>60</v>
      </c>
      <c r="H137" t="s">
        <v>61</v>
      </c>
      <c r="I137" t="s">
        <v>18</v>
      </c>
      <c r="J137">
        <v>2</v>
      </c>
      <c r="K137">
        <v>2200</v>
      </c>
      <c r="L137">
        <v>4400</v>
      </c>
    </row>
    <row r="138" spans="1:12" x14ac:dyDescent="0.3">
      <c r="A138">
        <v>10137</v>
      </c>
      <c r="B138" s="2">
        <v>45826</v>
      </c>
      <c r="C138" t="s">
        <v>173</v>
      </c>
      <c r="D138" t="s">
        <v>174</v>
      </c>
      <c r="E138" t="s">
        <v>137</v>
      </c>
      <c r="F138" t="s">
        <v>46</v>
      </c>
      <c r="G138" t="s">
        <v>41</v>
      </c>
      <c r="H138" t="s">
        <v>42</v>
      </c>
      <c r="I138" t="s">
        <v>37</v>
      </c>
      <c r="J138">
        <v>4</v>
      </c>
      <c r="K138">
        <v>30000</v>
      </c>
      <c r="L138">
        <v>120000</v>
      </c>
    </row>
    <row r="139" spans="1:12" x14ac:dyDescent="0.3">
      <c r="A139">
        <v>10138</v>
      </c>
      <c r="B139" s="2">
        <v>46002</v>
      </c>
      <c r="C139" t="s">
        <v>117</v>
      </c>
      <c r="D139" t="s">
        <v>118</v>
      </c>
      <c r="E139" t="s">
        <v>95</v>
      </c>
      <c r="F139" t="s">
        <v>15</v>
      </c>
      <c r="G139" t="s">
        <v>103</v>
      </c>
      <c r="H139" t="s">
        <v>104</v>
      </c>
      <c r="I139" t="s">
        <v>37</v>
      </c>
      <c r="J139">
        <v>1</v>
      </c>
      <c r="K139">
        <v>28000</v>
      </c>
      <c r="L139">
        <v>28000</v>
      </c>
    </row>
    <row r="140" spans="1:12" x14ac:dyDescent="0.3">
      <c r="A140">
        <v>10139</v>
      </c>
      <c r="B140" s="2">
        <v>46022</v>
      </c>
      <c r="C140" t="s">
        <v>181</v>
      </c>
      <c r="D140" t="s">
        <v>182</v>
      </c>
      <c r="E140" t="s">
        <v>21</v>
      </c>
      <c r="F140" t="s">
        <v>15</v>
      </c>
      <c r="G140" t="s">
        <v>29</v>
      </c>
      <c r="H140" t="s">
        <v>30</v>
      </c>
      <c r="I140" t="s">
        <v>18</v>
      </c>
      <c r="J140">
        <v>2</v>
      </c>
      <c r="K140">
        <v>15000</v>
      </c>
      <c r="L140">
        <v>30000</v>
      </c>
    </row>
    <row r="141" spans="1:12" x14ac:dyDescent="0.3">
      <c r="A141">
        <v>10140</v>
      </c>
      <c r="B141" s="2">
        <v>45672</v>
      </c>
      <c r="C141" t="s">
        <v>31</v>
      </c>
      <c r="D141" t="s">
        <v>32</v>
      </c>
      <c r="E141" t="s">
        <v>33</v>
      </c>
      <c r="F141" t="s">
        <v>34</v>
      </c>
      <c r="G141" t="s">
        <v>125</v>
      </c>
      <c r="H141" t="s">
        <v>126</v>
      </c>
      <c r="I141" t="s">
        <v>37</v>
      </c>
      <c r="J141">
        <v>1</v>
      </c>
      <c r="K141">
        <v>22000</v>
      </c>
      <c r="L141">
        <v>22000</v>
      </c>
    </row>
    <row r="142" spans="1:12" x14ac:dyDescent="0.3">
      <c r="A142">
        <v>10141</v>
      </c>
      <c r="B142" s="2">
        <v>45920</v>
      </c>
      <c r="C142" t="s">
        <v>25</v>
      </c>
      <c r="D142" t="s">
        <v>26</v>
      </c>
      <c r="E142" t="s">
        <v>27</v>
      </c>
      <c r="F142" t="s">
        <v>28</v>
      </c>
      <c r="G142" t="s">
        <v>103</v>
      </c>
      <c r="H142" t="s">
        <v>104</v>
      </c>
      <c r="I142" t="s">
        <v>37</v>
      </c>
      <c r="J142">
        <v>5</v>
      </c>
      <c r="K142">
        <v>28000</v>
      </c>
      <c r="L142">
        <v>140000</v>
      </c>
    </row>
    <row r="143" spans="1:12" x14ac:dyDescent="0.3">
      <c r="A143">
        <v>10142</v>
      </c>
      <c r="B143" s="2">
        <v>45994</v>
      </c>
      <c r="C143" t="s">
        <v>193</v>
      </c>
      <c r="D143" t="s">
        <v>194</v>
      </c>
      <c r="E143" t="s">
        <v>102</v>
      </c>
      <c r="F143" t="s">
        <v>34</v>
      </c>
      <c r="G143" t="s">
        <v>187</v>
      </c>
      <c r="H143" t="s">
        <v>188</v>
      </c>
      <c r="I143" t="s">
        <v>24</v>
      </c>
      <c r="J143">
        <v>2</v>
      </c>
      <c r="K143">
        <v>5500</v>
      </c>
      <c r="L143">
        <v>11000</v>
      </c>
    </row>
    <row r="144" spans="1:12" x14ac:dyDescent="0.3">
      <c r="A144">
        <v>10143</v>
      </c>
      <c r="B144" s="2">
        <v>45903</v>
      </c>
      <c r="C144" t="s">
        <v>50</v>
      </c>
      <c r="D144" t="s">
        <v>51</v>
      </c>
      <c r="E144" t="s">
        <v>14</v>
      </c>
      <c r="F144" t="s">
        <v>15</v>
      </c>
      <c r="G144" t="s">
        <v>131</v>
      </c>
      <c r="H144" t="s">
        <v>132</v>
      </c>
      <c r="I144" t="s">
        <v>37</v>
      </c>
      <c r="J144">
        <v>1</v>
      </c>
      <c r="K144">
        <v>4500</v>
      </c>
      <c r="L144">
        <v>4500</v>
      </c>
    </row>
    <row r="145" spans="1:12" x14ac:dyDescent="0.3">
      <c r="A145">
        <v>10144</v>
      </c>
      <c r="B145" s="2">
        <v>45676</v>
      </c>
      <c r="C145" t="s">
        <v>62</v>
      </c>
      <c r="D145" t="s">
        <v>63</v>
      </c>
      <c r="E145" t="s">
        <v>64</v>
      </c>
      <c r="F145" t="s">
        <v>46</v>
      </c>
      <c r="G145" t="s">
        <v>167</v>
      </c>
      <c r="H145" t="s">
        <v>168</v>
      </c>
      <c r="I145" t="s">
        <v>49</v>
      </c>
      <c r="J145">
        <v>2</v>
      </c>
      <c r="K145">
        <v>3800</v>
      </c>
      <c r="L145">
        <v>7600</v>
      </c>
    </row>
    <row r="146" spans="1:12" x14ac:dyDescent="0.3">
      <c r="A146">
        <v>10145</v>
      </c>
      <c r="B146" s="2">
        <v>45845</v>
      </c>
      <c r="C146" t="s">
        <v>195</v>
      </c>
      <c r="D146" t="s">
        <v>196</v>
      </c>
      <c r="E146" t="s">
        <v>102</v>
      </c>
      <c r="F146" t="s">
        <v>34</v>
      </c>
      <c r="G146" t="s">
        <v>16</v>
      </c>
      <c r="H146" t="s">
        <v>17</v>
      </c>
      <c r="I146" t="s">
        <v>18</v>
      </c>
      <c r="J146">
        <v>1</v>
      </c>
      <c r="K146">
        <v>11000</v>
      </c>
      <c r="L146">
        <v>11000</v>
      </c>
    </row>
    <row r="147" spans="1:12" x14ac:dyDescent="0.3">
      <c r="A147">
        <v>10146</v>
      </c>
      <c r="B147" s="2">
        <v>45798</v>
      </c>
      <c r="C147" t="s">
        <v>148</v>
      </c>
      <c r="D147" t="s">
        <v>149</v>
      </c>
      <c r="E147" t="s">
        <v>14</v>
      </c>
      <c r="F147" t="s">
        <v>15</v>
      </c>
      <c r="G147" t="s">
        <v>103</v>
      </c>
      <c r="H147" t="s">
        <v>104</v>
      </c>
      <c r="I147" t="s">
        <v>37</v>
      </c>
      <c r="J147">
        <v>1</v>
      </c>
      <c r="K147">
        <v>28000</v>
      </c>
      <c r="L147">
        <v>28000</v>
      </c>
    </row>
    <row r="148" spans="1:12" x14ac:dyDescent="0.3">
      <c r="A148">
        <v>10147</v>
      </c>
      <c r="B148" s="2">
        <v>45955</v>
      </c>
      <c r="C148" t="s">
        <v>197</v>
      </c>
      <c r="D148" t="s">
        <v>198</v>
      </c>
      <c r="E148" t="s">
        <v>95</v>
      </c>
      <c r="F148" t="s">
        <v>15</v>
      </c>
      <c r="G148" t="s">
        <v>131</v>
      </c>
      <c r="H148" t="s">
        <v>132</v>
      </c>
      <c r="I148" t="s">
        <v>37</v>
      </c>
      <c r="J148">
        <v>1</v>
      </c>
      <c r="K148">
        <v>4500</v>
      </c>
      <c r="L148">
        <v>4500</v>
      </c>
    </row>
    <row r="149" spans="1:12" x14ac:dyDescent="0.3">
      <c r="A149">
        <v>10148</v>
      </c>
      <c r="B149" s="2">
        <v>45988</v>
      </c>
      <c r="C149" t="s">
        <v>199</v>
      </c>
      <c r="D149" t="s">
        <v>200</v>
      </c>
      <c r="E149" t="s">
        <v>201</v>
      </c>
      <c r="F149" t="s">
        <v>28</v>
      </c>
      <c r="G149" t="s">
        <v>113</v>
      </c>
      <c r="H149" t="s">
        <v>114</v>
      </c>
      <c r="I149" t="s">
        <v>37</v>
      </c>
      <c r="J149">
        <v>2</v>
      </c>
      <c r="K149">
        <v>52000</v>
      </c>
      <c r="L149">
        <v>104000</v>
      </c>
    </row>
    <row r="150" spans="1:12" x14ac:dyDescent="0.3">
      <c r="A150">
        <v>10149</v>
      </c>
      <c r="B150" s="2">
        <v>45810</v>
      </c>
      <c r="C150" t="s">
        <v>202</v>
      </c>
      <c r="D150" t="s">
        <v>203</v>
      </c>
      <c r="E150" t="s">
        <v>64</v>
      </c>
      <c r="F150" t="s">
        <v>46</v>
      </c>
      <c r="G150" t="s">
        <v>163</v>
      </c>
      <c r="H150" t="s">
        <v>164</v>
      </c>
      <c r="I150" t="s">
        <v>49</v>
      </c>
      <c r="J150">
        <v>5</v>
      </c>
      <c r="K150">
        <v>4200</v>
      </c>
      <c r="L150">
        <v>21000</v>
      </c>
    </row>
    <row r="151" spans="1:12" x14ac:dyDescent="0.3">
      <c r="A151">
        <v>10150</v>
      </c>
      <c r="B151" s="2">
        <v>45925</v>
      </c>
      <c r="C151" t="s">
        <v>204</v>
      </c>
      <c r="D151" t="s">
        <v>205</v>
      </c>
      <c r="E151" t="s">
        <v>201</v>
      </c>
      <c r="F151" t="s">
        <v>28</v>
      </c>
      <c r="G151" t="s">
        <v>167</v>
      </c>
      <c r="H151" t="s">
        <v>168</v>
      </c>
      <c r="I151" t="s">
        <v>49</v>
      </c>
      <c r="J151">
        <v>2</v>
      </c>
      <c r="K151">
        <v>3800</v>
      </c>
      <c r="L151">
        <v>7600</v>
      </c>
    </row>
    <row r="152" spans="1:12" x14ac:dyDescent="0.3">
      <c r="A152">
        <v>10151</v>
      </c>
      <c r="B152" s="2">
        <v>45842</v>
      </c>
      <c r="C152" t="s">
        <v>85</v>
      </c>
      <c r="D152" t="s">
        <v>86</v>
      </c>
      <c r="E152" t="s">
        <v>45</v>
      </c>
      <c r="F152" t="s">
        <v>46</v>
      </c>
      <c r="G152" t="s">
        <v>47</v>
      </c>
      <c r="H152" t="s">
        <v>48</v>
      </c>
      <c r="I152" t="s">
        <v>49</v>
      </c>
      <c r="J152">
        <v>1</v>
      </c>
      <c r="K152">
        <v>1600</v>
      </c>
      <c r="L152">
        <v>1600</v>
      </c>
    </row>
    <row r="153" spans="1:12" x14ac:dyDescent="0.3">
      <c r="A153">
        <v>10152</v>
      </c>
      <c r="B153" s="2">
        <v>45747</v>
      </c>
      <c r="C153" t="s">
        <v>193</v>
      </c>
      <c r="D153" t="s">
        <v>194</v>
      </c>
      <c r="E153" t="s">
        <v>102</v>
      </c>
      <c r="F153" t="s">
        <v>34</v>
      </c>
      <c r="G153" t="s">
        <v>167</v>
      </c>
      <c r="H153" t="s">
        <v>168</v>
      </c>
      <c r="I153" t="s">
        <v>49</v>
      </c>
      <c r="J153">
        <v>2</v>
      </c>
      <c r="K153">
        <v>3800</v>
      </c>
      <c r="L153">
        <v>7600</v>
      </c>
    </row>
    <row r="154" spans="1:12" x14ac:dyDescent="0.3">
      <c r="A154">
        <v>10153</v>
      </c>
      <c r="B154" s="2">
        <v>45928</v>
      </c>
      <c r="C154" t="s">
        <v>185</v>
      </c>
      <c r="D154" t="s">
        <v>186</v>
      </c>
      <c r="E154" t="s">
        <v>14</v>
      </c>
      <c r="F154" t="s">
        <v>15</v>
      </c>
      <c r="G154" t="s">
        <v>98</v>
      </c>
      <c r="H154" t="s">
        <v>99</v>
      </c>
      <c r="I154" t="s">
        <v>24</v>
      </c>
      <c r="J154">
        <v>2</v>
      </c>
      <c r="K154">
        <v>2000</v>
      </c>
      <c r="L154">
        <v>4000</v>
      </c>
    </row>
    <row r="155" spans="1:12" x14ac:dyDescent="0.3">
      <c r="A155">
        <v>10154</v>
      </c>
      <c r="B155" s="2">
        <v>45969</v>
      </c>
      <c r="C155" t="s">
        <v>206</v>
      </c>
      <c r="D155" t="s">
        <v>207</v>
      </c>
      <c r="E155" t="s">
        <v>160</v>
      </c>
      <c r="F155" t="s">
        <v>34</v>
      </c>
      <c r="G155" t="s">
        <v>41</v>
      </c>
      <c r="H155" t="s">
        <v>42</v>
      </c>
      <c r="I155" t="s">
        <v>37</v>
      </c>
      <c r="J155">
        <v>4</v>
      </c>
      <c r="K155">
        <v>30000</v>
      </c>
      <c r="L155">
        <v>120000</v>
      </c>
    </row>
    <row r="156" spans="1:12" x14ac:dyDescent="0.3">
      <c r="A156">
        <v>10155</v>
      </c>
      <c r="B156" s="2">
        <v>45877</v>
      </c>
      <c r="C156" t="s">
        <v>146</v>
      </c>
      <c r="D156" t="s">
        <v>147</v>
      </c>
      <c r="E156" t="s">
        <v>64</v>
      </c>
      <c r="F156" t="s">
        <v>46</v>
      </c>
      <c r="G156" t="s">
        <v>35</v>
      </c>
      <c r="H156" t="s">
        <v>36</v>
      </c>
      <c r="I156" t="s">
        <v>37</v>
      </c>
      <c r="J156">
        <v>1</v>
      </c>
      <c r="K156">
        <v>12000</v>
      </c>
      <c r="L156">
        <v>12000</v>
      </c>
    </row>
    <row r="157" spans="1:12" x14ac:dyDescent="0.3">
      <c r="A157">
        <v>10156</v>
      </c>
      <c r="B157" s="2">
        <v>45796</v>
      </c>
      <c r="C157" t="s">
        <v>208</v>
      </c>
      <c r="D157" t="s">
        <v>209</v>
      </c>
      <c r="E157" t="s">
        <v>95</v>
      </c>
      <c r="F157" t="s">
        <v>15</v>
      </c>
      <c r="G157" t="s">
        <v>56</v>
      </c>
      <c r="H157" t="s">
        <v>57</v>
      </c>
      <c r="I157" t="s">
        <v>18</v>
      </c>
      <c r="J157">
        <v>2</v>
      </c>
      <c r="K157">
        <v>9000</v>
      </c>
      <c r="L157">
        <v>18000</v>
      </c>
    </row>
    <row r="158" spans="1:12" x14ac:dyDescent="0.3">
      <c r="A158">
        <v>10157</v>
      </c>
      <c r="B158" s="2">
        <v>46005</v>
      </c>
      <c r="C158" t="s">
        <v>43</v>
      </c>
      <c r="D158" t="s">
        <v>44</v>
      </c>
      <c r="E158" t="s">
        <v>45</v>
      </c>
      <c r="F158" t="s">
        <v>46</v>
      </c>
      <c r="G158" t="s">
        <v>125</v>
      </c>
      <c r="H158" t="s">
        <v>126</v>
      </c>
      <c r="I158" t="s">
        <v>37</v>
      </c>
      <c r="J158">
        <v>3</v>
      </c>
      <c r="K158">
        <v>22000</v>
      </c>
      <c r="L158">
        <v>66000</v>
      </c>
    </row>
    <row r="159" spans="1:12" x14ac:dyDescent="0.3">
      <c r="A159">
        <v>10158</v>
      </c>
      <c r="B159" s="2">
        <v>45858</v>
      </c>
      <c r="C159" t="s">
        <v>50</v>
      </c>
      <c r="D159" t="s">
        <v>51</v>
      </c>
      <c r="E159" t="s">
        <v>14</v>
      </c>
      <c r="F159" t="s">
        <v>15</v>
      </c>
      <c r="G159" t="s">
        <v>52</v>
      </c>
      <c r="H159" t="s">
        <v>53</v>
      </c>
      <c r="I159" t="s">
        <v>24</v>
      </c>
      <c r="J159">
        <v>2</v>
      </c>
      <c r="K159">
        <v>3500</v>
      </c>
      <c r="L159">
        <v>7000</v>
      </c>
    </row>
    <row r="160" spans="1:12" x14ac:dyDescent="0.3">
      <c r="A160">
        <v>10159</v>
      </c>
      <c r="B160" s="2">
        <v>45968</v>
      </c>
      <c r="C160" t="s">
        <v>210</v>
      </c>
      <c r="D160" t="s">
        <v>211</v>
      </c>
      <c r="E160" t="s">
        <v>40</v>
      </c>
      <c r="F160" t="s">
        <v>15</v>
      </c>
      <c r="G160" t="s">
        <v>103</v>
      </c>
      <c r="H160" t="s">
        <v>104</v>
      </c>
      <c r="I160" t="s">
        <v>37</v>
      </c>
      <c r="J160">
        <v>2</v>
      </c>
      <c r="K160">
        <v>28000</v>
      </c>
      <c r="L160">
        <v>56000</v>
      </c>
    </row>
    <row r="161" spans="1:12" x14ac:dyDescent="0.3">
      <c r="A161">
        <v>10160</v>
      </c>
      <c r="B161" s="2">
        <v>45725</v>
      </c>
      <c r="C161" t="s">
        <v>77</v>
      </c>
      <c r="D161" t="s">
        <v>78</v>
      </c>
      <c r="E161" t="s">
        <v>79</v>
      </c>
      <c r="F161" t="s">
        <v>34</v>
      </c>
      <c r="G161" t="s">
        <v>121</v>
      </c>
      <c r="H161" t="s">
        <v>122</v>
      </c>
      <c r="I161" t="s">
        <v>49</v>
      </c>
      <c r="J161">
        <v>2</v>
      </c>
      <c r="K161">
        <v>4800</v>
      </c>
      <c r="L161">
        <v>9600</v>
      </c>
    </row>
    <row r="162" spans="1:12" x14ac:dyDescent="0.3">
      <c r="A162">
        <v>10161</v>
      </c>
      <c r="B162" s="2">
        <v>45999</v>
      </c>
      <c r="C162" t="s">
        <v>189</v>
      </c>
      <c r="D162" t="s">
        <v>190</v>
      </c>
      <c r="E162" t="s">
        <v>160</v>
      </c>
      <c r="F162" t="s">
        <v>34</v>
      </c>
      <c r="G162" t="s">
        <v>29</v>
      </c>
      <c r="H162" t="s">
        <v>30</v>
      </c>
      <c r="I162" t="s">
        <v>18</v>
      </c>
      <c r="J162">
        <v>3</v>
      </c>
      <c r="K162">
        <v>15000</v>
      </c>
      <c r="L162">
        <v>45000</v>
      </c>
    </row>
    <row r="163" spans="1:12" x14ac:dyDescent="0.3">
      <c r="A163">
        <v>10162</v>
      </c>
      <c r="B163" s="2">
        <v>45749</v>
      </c>
      <c r="C163" t="s">
        <v>38</v>
      </c>
      <c r="D163" t="s">
        <v>39</v>
      </c>
      <c r="E163" t="s">
        <v>40</v>
      </c>
      <c r="F163" t="s">
        <v>15</v>
      </c>
      <c r="G163" t="s">
        <v>131</v>
      </c>
      <c r="H163" t="s">
        <v>132</v>
      </c>
      <c r="I163" t="s">
        <v>37</v>
      </c>
      <c r="J163">
        <v>1</v>
      </c>
      <c r="K163">
        <v>4500</v>
      </c>
      <c r="L163">
        <v>4500</v>
      </c>
    </row>
    <row r="164" spans="1:12" x14ac:dyDescent="0.3">
      <c r="A164">
        <v>10163</v>
      </c>
      <c r="B164" s="2">
        <v>45723</v>
      </c>
      <c r="C164" t="s">
        <v>185</v>
      </c>
      <c r="D164" t="s">
        <v>186</v>
      </c>
      <c r="E164" t="s">
        <v>14</v>
      </c>
      <c r="F164" t="s">
        <v>15</v>
      </c>
      <c r="G164" t="s">
        <v>65</v>
      </c>
      <c r="H164" t="s">
        <v>66</v>
      </c>
      <c r="I164" t="s">
        <v>49</v>
      </c>
      <c r="J164">
        <v>1</v>
      </c>
      <c r="K164">
        <v>2400</v>
      </c>
      <c r="L164">
        <v>2400</v>
      </c>
    </row>
    <row r="165" spans="1:12" x14ac:dyDescent="0.3">
      <c r="A165">
        <v>10164</v>
      </c>
      <c r="B165" s="2">
        <v>45753</v>
      </c>
      <c r="C165" t="s">
        <v>154</v>
      </c>
      <c r="D165" t="s">
        <v>155</v>
      </c>
      <c r="E165" t="s">
        <v>74</v>
      </c>
      <c r="F165" t="s">
        <v>28</v>
      </c>
      <c r="G165" t="s">
        <v>113</v>
      </c>
      <c r="H165" t="s">
        <v>114</v>
      </c>
      <c r="I165" t="s">
        <v>37</v>
      </c>
      <c r="J165">
        <v>2</v>
      </c>
      <c r="K165">
        <v>52000</v>
      </c>
      <c r="L165">
        <v>104000</v>
      </c>
    </row>
    <row r="166" spans="1:12" x14ac:dyDescent="0.3">
      <c r="A166">
        <v>10165</v>
      </c>
      <c r="B166" s="2">
        <v>45937</v>
      </c>
      <c r="C166" t="s">
        <v>199</v>
      </c>
      <c r="D166" t="s">
        <v>200</v>
      </c>
      <c r="E166" t="s">
        <v>201</v>
      </c>
      <c r="F166" t="s">
        <v>28</v>
      </c>
      <c r="G166" t="s">
        <v>152</v>
      </c>
      <c r="H166" t="s">
        <v>153</v>
      </c>
      <c r="I166" t="s">
        <v>49</v>
      </c>
      <c r="J166">
        <v>4</v>
      </c>
      <c r="K166">
        <v>3200</v>
      </c>
      <c r="L166">
        <v>12800</v>
      </c>
    </row>
    <row r="167" spans="1:12" x14ac:dyDescent="0.3">
      <c r="A167">
        <v>10166</v>
      </c>
      <c r="B167" s="2">
        <v>45935</v>
      </c>
      <c r="C167" t="s">
        <v>93</v>
      </c>
      <c r="D167" t="s">
        <v>94</v>
      </c>
      <c r="E167" t="s">
        <v>95</v>
      </c>
      <c r="F167" t="s">
        <v>15</v>
      </c>
      <c r="G167" t="s">
        <v>56</v>
      </c>
      <c r="H167" t="s">
        <v>57</v>
      </c>
      <c r="I167" t="s">
        <v>18</v>
      </c>
      <c r="J167">
        <v>1</v>
      </c>
      <c r="K167">
        <v>9000</v>
      </c>
      <c r="L167">
        <v>9000</v>
      </c>
    </row>
    <row r="168" spans="1:12" x14ac:dyDescent="0.3">
      <c r="A168">
        <v>10167</v>
      </c>
      <c r="B168" s="2">
        <v>45824</v>
      </c>
      <c r="C168" t="s">
        <v>202</v>
      </c>
      <c r="D168" t="s">
        <v>203</v>
      </c>
      <c r="E168" t="s">
        <v>64</v>
      </c>
      <c r="F168" t="s">
        <v>46</v>
      </c>
      <c r="G168" t="s">
        <v>179</v>
      </c>
      <c r="H168" t="s">
        <v>180</v>
      </c>
      <c r="I168" t="s">
        <v>18</v>
      </c>
      <c r="J168">
        <v>1</v>
      </c>
      <c r="K168">
        <v>6500</v>
      </c>
      <c r="L168">
        <v>6500</v>
      </c>
    </row>
    <row r="169" spans="1:12" x14ac:dyDescent="0.3">
      <c r="A169">
        <v>10168</v>
      </c>
      <c r="B169" s="2">
        <v>45687</v>
      </c>
      <c r="C169" t="s">
        <v>91</v>
      </c>
      <c r="D169" t="s">
        <v>92</v>
      </c>
      <c r="E169" t="s">
        <v>40</v>
      </c>
      <c r="F169" t="s">
        <v>15</v>
      </c>
      <c r="G169" t="s">
        <v>89</v>
      </c>
      <c r="H169" t="s">
        <v>90</v>
      </c>
      <c r="I169" t="s">
        <v>18</v>
      </c>
      <c r="J169">
        <v>1</v>
      </c>
      <c r="K169">
        <v>4200</v>
      </c>
      <c r="L169">
        <v>4200</v>
      </c>
    </row>
    <row r="170" spans="1:12" x14ac:dyDescent="0.3">
      <c r="A170">
        <v>10169</v>
      </c>
      <c r="B170" s="2">
        <v>45789</v>
      </c>
      <c r="C170" t="s">
        <v>31</v>
      </c>
      <c r="D170" t="s">
        <v>32</v>
      </c>
      <c r="E170" t="s">
        <v>33</v>
      </c>
      <c r="F170" t="s">
        <v>34</v>
      </c>
      <c r="G170" t="s">
        <v>65</v>
      </c>
      <c r="H170" t="s">
        <v>66</v>
      </c>
      <c r="I170" t="s">
        <v>49</v>
      </c>
      <c r="J170">
        <v>1</v>
      </c>
      <c r="K170">
        <v>2400</v>
      </c>
      <c r="L170">
        <v>2400</v>
      </c>
    </row>
    <row r="171" spans="1:12" x14ac:dyDescent="0.3">
      <c r="A171">
        <v>10170</v>
      </c>
      <c r="B171" s="2">
        <v>45704</v>
      </c>
      <c r="C171" t="s">
        <v>146</v>
      </c>
      <c r="D171" t="s">
        <v>147</v>
      </c>
      <c r="E171" t="s">
        <v>64</v>
      </c>
      <c r="F171" t="s">
        <v>46</v>
      </c>
      <c r="G171" t="s">
        <v>16</v>
      </c>
      <c r="H171" t="s">
        <v>17</v>
      </c>
      <c r="I171" t="s">
        <v>18</v>
      </c>
      <c r="J171">
        <v>1</v>
      </c>
      <c r="K171">
        <v>11000</v>
      </c>
      <c r="L171">
        <v>11000</v>
      </c>
    </row>
    <row r="172" spans="1:12" x14ac:dyDescent="0.3">
      <c r="A172">
        <v>10171</v>
      </c>
      <c r="B172" s="2">
        <v>45745</v>
      </c>
      <c r="C172" t="s">
        <v>212</v>
      </c>
      <c r="D172" t="s">
        <v>213</v>
      </c>
      <c r="E172" t="s">
        <v>69</v>
      </c>
      <c r="F172" t="s">
        <v>28</v>
      </c>
      <c r="G172" t="s">
        <v>75</v>
      </c>
      <c r="H172" t="s">
        <v>76</v>
      </c>
      <c r="I172" t="s">
        <v>49</v>
      </c>
      <c r="J172">
        <v>1</v>
      </c>
      <c r="K172">
        <v>3000</v>
      </c>
      <c r="L172">
        <v>3000</v>
      </c>
    </row>
    <row r="173" spans="1:12" x14ac:dyDescent="0.3">
      <c r="A173">
        <v>10172</v>
      </c>
      <c r="B173" s="2">
        <v>45848</v>
      </c>
      <c r="C173" t="s">
        <v>82</v>
      </c>
      <c r="D173" t="s">
        <v>83</v>
      </c>
      <c r="E173" t="s">
        <v>84</v>
      </c>
      <c r="F173" t="s">
        <v>46</v>
      </c>
      <c r="G173" t="s">
        <v>16</v>
      </c>
      <c r="H173" t="s">
        <v>17</v>
      </c>
      <c r="I173" t="s">
        <v>18</v>
      </c>
      <c r="J173">
        <v>1</v>
      </c>
      <c r="K173">
        <v>11000</v>
      </c>
      <c r="L173">
        <v>11000</v>
      </c>
    </row>
    <row r="174" spans="1:12" x14ac:dyDescent="0.3">
      <c r="A174">
        <v>10173</v>
      </c>
      <c r="B174" s="2">
        <v>45874</v>
      </c>
      <c r="C174" t="s">
        <v>193</v>
      </c>
      <c r="D174" t="s">
        <v>194</v>
      </c>
      <c r="E174" t="s">
        <v>102</v>
      </c>
      <c r="F174" t="s">
        <v>34</v>
      </c>
      <c r="G174" t="s">
        <v>109</v>
      </c>
      <c r="H174" t="s">
        <v>110</v>
      </c>
      <c r="I174" t="s">
        <v>18</v>
      </c>
      <c r="J174">
        <v>1</v>
      </c>
      <c r="K174">
        <v>5000</v>
      </c>
      <c r="L174">
        <v>5000</v>
      </c>
    </row>
    <row r="175" spans="1:12" x14ac:dyDescent="0.3">
      <c r="A175">
        <v>10174</v>
      </c>
      <c r="B175" s="2">
        <v>45816</v>
      </c>
      <c r="C175" t="s">
        <v>100</v>
      </c>
      <c r="D175" t="s">
        <v>101</v>
      </c>
      <c r="E175" t="s">
        <v>102</v>
      </c>
      <c r="F175" t="s">
        <v>34</v>
      </c>
      <c r="G175" t="s">
        <v>35</v>
      </c>
      <c r="H175" t="s">
        <v>36</v>
      </c>
      <c r="I175" t="s">
        <v>37</v>
      </c>
      <c r="J175">
        <v>2</v>
      </c>
      <c r="K175">
        <v>12000</v>
      </c>
      <c r="L175">
        <v>24000</v>
      </c>
    </row>
    <row r="176" spans="1:12" x14ac:dyDescent="0.3">
      <c r="A176">
        <v>10175</v>
      </c>
      <c r="B176" s="2">
        <v>45968</v>
      </c>
      <c r="C176" t="s">
        <v>214</v>
      </c>
      <c r="D176" t="s">
        <v>215</v>
      </c>
      <c r="E176" t="s">
        <v>137</v>
      </c>
      <c r="F176" t="s">
        <v>46</v>
      </c>
      <c r="G176" t="s">
        <v>129</v>
      </c>
      <c r="H176" t="s">
        <v>130</v>
      </c>
      <c r="I176" t="s">
        <v>24</v>
      </c>
      <c r="J176">
        <v>1</v>
      </c>
      <c r="K176">
        <v>1400</v>
      </c>
      <c r="L176">
        <v>1400</v>
      </c>
    </row>
    <row r="177" spans="1:12" x14ac:dyDescent="0.3">
      <c r="A177">
        <v>10176</v>
      </c>
      <c r="B177" s="2">
        <v>45758</v>
      </c>
      <c r="C177" t="s">
        <v>62</v>
      </c>
      <c r="D177" t="s">
        <v>63</v>
      </c>
      <c r="E177" t="s">
        <v>64</v>
      </c>
      <c r="F177" t="s">
        <v>46</v>
      </c>
      <c r="G177" t="s">
        <v>35</v>
      </c>
      <c r="H177" t="s">
        <v>36</v>
      </c>
      <c r="I177" t="s">
        <v>37</v>
      </c>
      <c r="J177">
        <v>1</v>
      </c>
      <c r="K177">
        <v>12000</v>
      </c>
      <c r="L177">
        <v>12000</v>
      </c>
    </row>
    <row r="178" spans="1:12" x14ac:dyDescent="0.3">
      <c r="A178">
        <v>10177</v>
      </c>
      <c r="B178" s="2">
        <v>45976</v>
      </c>
      <c r="C178" t="s">
        <v>156</v>
      </c>
      <c r="D178" t="s">
        <v>157</v>
      </c>
      <c r="E178" t="s">
        <v>95</v>
      </c>
      <c r="F178" t="s">
        <v>15</v>
      </c>
      <c r="G178" t="s">
        <v>65</v>
      </c>
      <c r="H178" t="s">
        <v>66</v>
      </c>
      <c r="I178" t="s">
        <v>49</v>
      </c>
      <c r="J178">
        <v>2</v>
      </c>
      <c r="K178">
        <v>2400</v>
      </c>
      <c r="L178">
        <v>4800</v>
      </c>
    </row>
    <row r="179" spans="1:12" x14ac:dyDescent="0.3">
      <c r="A179">
        <v>10178</v>
      </c>
      <c r="B179" s="2">
        <v>45879</v>
      </c>
      <c r="C179" t="s">
        <v>12</v>
      </c>
      <c r="D179" t="s">
        <v>13</v>
      </c>
      <c r="E179" t="s">
        <v>14</v>
      </c>
      <c r="F179" t="s">
        <v>15</v>
      </c>
      <c r="G179" t="s">
        <v>103</v>
      </c>
      <c r="H179" t="s">
        <v>104</v>
      </c>
      <c r="I179" t="s">
        <v>37</v>
      </c>
      <c r="J179">
        <v>1</v>
      </c>
      <c r="K179">
        <v>28000</v>
      </c>
      <c r="L179">
        <v>28000</v>
      </c>
    </row>
    <row r="180" spans="1:12" x14ac:dyDescent="0.3">
      <c r="A180">
        <v>10179</v>
      </c>
      <c r="B180" s="2">
        <v>45673</v>
      </c>
      <c r="C180" t="s">
        <v>19</v>
      </c>
      <c r="D180" t="s">
        <v>20</v>
      </c>
      <c r="E180" t="s">
        <v>21</v>
      </c>
      <c r="F180" t="s">
        <v>15</v>
      </c>
      <c r="G180" t="s">
        <v>52</v>
      </c>
      <c r="H180" t="s">
        <v>53</v>
      </c>
      <c r="I180" t="s">
        <v>24</v>
      </c>
      <c r="J180">
        <v>2</v>
      </c>
      <c r="K180">
        <v>3500</v>
      </c>
      <c r="L180">
        <v>7000</v>
      </c>
    </row>
    <row r="181" spans="1:12" x14ac:dyDescent="0.3">
      <c r="A181">
        <v>10180</v>
      </c>
      <c r="B181" s="2">
        <v>45982</v>
      </c>
      <c r="C181" t="s">
        <v>133</v>
      </c>
      <c r="D181" t="s">
        <v>134</v>
      </c>
      <c r="E181" t="s">
        <v>33</v>
      </c>
      <c r="F181" t="s">
        <v>34</v>
      </c>
      <c r="G181" t="s">
        <v>22</v>
      </c>
      <c r="H181" t="s">
        <v>23</v>
      </c>
      <c r="I181" t="s">
        <v>24</v>
      </c>
      <c r="J181">
        <v>2</v>
      </c>
      <c r="K181">
        <v>2400</v>
      </c>
      <c r="L181">
        <v>4800</v>
      </c>
    </row>
    <row r="182" spans="1:12" x14ac:dyDescent="0.3">
      <c r="A182">
        <v>10181</v>
      </c>
      <c r="B182" s="2">
        <v>45662</v>
      </c>
      <c r="C182" t="s">
        <v>38</v>
      </c>
      <c r="D182" t="s">
        <v>39</v>
      </c>
      <c r="E182" t="s">
        <v>40</v>
      </c>
      <c r="F182" t="s">
        <v>15</v>
      </c>
      <c r="G182" t="s">
        <v>70</v>
      </c>
      <c r="H182" t="s">
        <v>71</v>
      </c>
      <c r="I182" t="s">
        <v>37</v>
      </c>
      <c r="J182">
        <v>1</v>
      </c>
      <c r="K182">
        <v>2200</v>
      </c>
      <c r="L182">
        <v>2200</v>
      </c>
    </row>
    <row r="183" spans="1:12" x14ac:dyDescent="0.3">
      <c r="A183">
        <v>10182</v>
      </c>
      <c r="B183" s="2">
        <v>45839</v>
      </c>
      <c r="C183" t="s">
        <v>87</v>
      </c>
      <c r="D183" t="s">
        <v>88</v>
      </c>
      <c r="E183" t="s">
        <v>64</v>
      </c>
      <c r="F183" t="s">
        <v>46</v>
      </c>
      <c r="G183" t="s">
        <v>96</v>
      </c>
      <c r="H183" t="s">
        <v>97</v>
      </c>
      <c r="I183" t="s">
        <v>37</v>
      </c>
      <c r="J183">
        <v>1</v>
      </c>
      <c r="K183">
        <v>18000</v>
      </c>
      <c r="L183">
        <v>18000</v>
      </c>
    </row>
    <row r="184" spans="1:12" x14ac:dyDescent="0.3">
      <c r="A184">
        <v>10183</v>
      </c>
      <c r="B184" s="2">
        <v>45944</v>
      </c>
      <c r="C184" t="s">
        <v>133</v>
      </c>
      <c r="D184" t="s">
        <v>134</v>
      </c>
      <c r="E184" t="s">
        <v>33</v>
      </c>
      <c r="F184" t="s">
        <v>34</v>
      </c>
      <c r="G184" t="s">
        <v>163</v>
      </c>
      <c r="H184" t="s">
        <v>164</v>
      </c>
      <c r="I184" t="s">
        <v>49</v>
      </c>
      <c r="J184">
        <v>1</v>
      </c>
      <c r="K184">
        <v>4200</v>
      </c>
      <c r="L184">
        <v>4200</v>
      </c>
    </row>
    <row r="185" spans="1:12" x14ac:dyDescent="0.3">
      <c r="A185">
        <v>10184</v>
      </c>
      <c r="B185" s="2">
        <v>45982</v>
      </c>
      <c r="C185" t="s">
        <v>100</v>
      </c>
      <c r="D185" t="s">
        <v>101</v>
      </c>
      <c r="E185" t="s">
        <v>102</v>
      </c>
      <c r="F185" t="s">
        <v>34</v>
      </c>
      <c r="G185" t="s">
        <v>70</v>
      </c>
      <c r="H185" t="s">
        <v>71</v>
      </c>
      <c r="I185" t="s">
        <v>37</v>
      </c>
      <c r="J185">
        <v>2</v>
      </c>
      <c r="K185">
        <v>2200</v>
      </c>
      <c r="L185">
        <v>4400</v>
      </c>
    </row>
    <row r="186" spans="1:12" x14ac:dyDescent="0.3">
      <c r="A186">
        <v>10185</v>
      </c>
      <c r="B186" s="2">
        <v>45825</v>
      </c>
      <c r="C186" t="s">
        <v>117</v>
      </c>
      <c r="D186" t="s">
        <v>118</v>
      </c>
      <c r="E186" t="s">
        <v>95</v>
      </c>
      <c r="F186" t="s">
        <v>15</v>
      </c>
      <c r="G186" t="s">
        <v>47</v>
      </c>
      <c r="H186" t="s">
        <v>48</v>
      </c>
      <c r="I186" t="s">
        <v>49</v>
      </c>
      <c r="J186">
        <v>2</v>
      </c>
      <c r="K186">
        <v>1600</v>
      </c>
      <c r="L186">
        <v>3200</v>
      </c>
    </row>
    <row r="187" spans="1:12" x14ac:dyDescent="0.3">
      <c r="A187">
        <v>10186</v>
      </c>
      <c r="B187" s="2">
        <v>45897</v>
      </c>
      <c r="C187" t="s">
        <v>185</v>
      </c>
      <c r="D187" t="s">
        <v>186</v>
      </c>
      <c r="E187" t="s">
        <v>14</v>
      </c>
      <c r="F187" t="s">
        <v>15</v>
      </c>
      <c r="G187" t="s">
        <v>113</v>
      </c>
      <c r="H187" t="s">
        <v>114</v>
      </c>
      <c r="I187" t="s">
        <v>37</v>
      </c>
      <c r="J187">
        <v>1</v>
      </c>
      <c r="K187">
        <v>52000</v>
      </c>
      <c r="L187">
        <v>52000</v>
      </c>
    </row>
    <row r="188" spans="1:12" x14ac:dyDescent="0.3">
      <c r="A188">
        <v>10187</v>
      </c>
      <c r="B188" s="2">
        <v>45929</v>
      </c>
      <c r="C188" t="s">
        <v>183</v>
      </c>
      <c r="D188" t="s">
        <v>184</v>
      </c>
      <c r="E188" t="s">
        <v>27</v>
      </c>
      <c r="F188" t="s">
        <v>28</v>
      </c>
      <c r="G188" t="s">
        <v>56</v>
      </c>
      <c r="H188" t="s">
        <v>57</v>
      </c>
      <c r="I188" t="s">
        <v>18</v>
      </c>
      <c r="J188">
        <v>4</v>
      </c>
      <c r="K188">
        <v>9000</v>
      </c>
      <c r="L188">
        <v>36000</v>
      </c>
    </row>
    <row r="189" spans="1:12" x14ac:dyDescent="0.3">
      <c r="A189">
        <v>10188</v>
      </c>
      <c r="B189" s="2">
        <v>45699</v>
      </c>
      <c r="C189" t="s">
        <v>107</v>
      </c>
      <c r="D189" t="s">
        <v>108</v>
      </c>
      <c r="E189" t="s">
        <v>74</v>
      </c>
      <c r="F189" t="s">
        <v>28</v>
      </c>
      <c r="G189" t="s">
        <v>131</v>
      </c>
      <c r="H189" t="s">
        <v>132</v>
      </c>
      <c r="I189" t="s">
        <v>37</v>
      </c>
      <c r="J189">
        <v>2</v>
      </c>
      <c r="K189">
        <v>4500</v>
      </c>
      <c r="L189">
        <v>9000</v>
      </c>
    </row>
    <row r="190" spans="1:12" x14ac:dyDescent="0.3">
      <c r="A190">
        <v>10189</v>
      </c>
      <c r="B190" s="2">
        <v>45946</v>
      </c>
      <c r="C190" t="s">
        <v>171</v>
      </c>
      <c r="D190" t="s">
        <v>172</v>
      </c>
      <c r="E190" t="s">
        <v>45</v>
      </c>
      <c r="F190" t="s">
        <v>46</v>
      </c>
      <c r="G190" t="s">
        <v>129</v>
      </c>
      <c r="H190" t="s">
        <v>130</v>
      </c>
      <c r="I190" t="s">
        <v>24</v>
      </c>
      <c r="J190">
        <v>1</v>
      </c>
      <c r="K190">
        <v>1400</v>
      </c>
      <c r="L190">
        <v>1400</v>
      </c>
    </row>
    <row r="191" spans="1:12" x14ac:dyDescent="0.3">
      <c r="A191">
        <v>10190</v>
      </c>
      <c r="B191" s="2">
        <v>45891</v>
      </c>
      <c r="C191" t="s">
        <v>189</v>
      </c>
      <c r="D191" t="s">
        <v>190</v>
      </c>
      <c r="E191" t="s">
        <v>160</v>
      </c>
      <c r="F191" t="s">
        <v>34</v>
      </c>
      <c r="G191" t="s">
        <v>75</v>
      </c>
      <c r="H191" t="s">
        <v>76</v>
      </c>
      <c r="I191" t="s">
        <v>49</v>
      </c>
      <c r="J191">
        <v>2</v>
      </c>
      <c r="K191">
        <v>3000</v>
      </c>
      <c r="L191">
        <v>6000</v>
      </c>
    </row>
    <row r="192" spans="1:12" x14ac:dyDescent="0.3">
      <c r="A192">
        <v>10191</v>
      </c>
      <c r="B192" s="2">
        <v>45821</v>
      </c>
      <c r="C192" t="s">
        <v>216</v>
      </c>
      <c r="D192" t="s">
        <v>217</v>
      </c>
      <c r="E192" t="s">
        <v>21</v>
      </c>
      <c r="F192" t="s">
        <v>15</v>
      </c>
      <c r="G192" t="s">
        <v>125</v>
      </c>
      <c r="H192" t="s">
        <v>126</v>
      </c>
      <c r="I192" t="s">
        <v>37</v>
      </c>
      <c r="J192">
        <v>1</v>
      </c>
      <c r="K192">
        <v>22000</v>
      </c>
      <c r="L192">
        <v>22000</v>
      </c>
    </row>
    <row r="193" spans="1:12" x14ac:dyDescent="0.3">
      <c r="A193">
        <v>10192</v>
      </c>
      <c r="B193" s="2">
        <v>45931</v>
      </c>
      <c r="C193" t="s">
        <v>12</v>
      </c>
      <c r="D193" t="s">
        <v>13</v>
      </c>
      <c r="E193" t="s">
        <v>14</v>
      </c>
      <c r="F193" t="s">
        <v>15</v>
      </c>
      <c r="G193" t="s">
        <v>41</v>
      </c>
      <c r="H193" t="s">
        <v>42</v>
      </c>
      <c r="I193" t="s">
        <v>37</v>
      </c>
      <c r="J193">
        <v>3</v>
      </c>
      <c r="K193">
        <v>30000</v>
      </c>
      <c r="L193">
        <v>90000</v>
      </c>
    </row>
    <row r="194" spans="1:12" x14ac:dyDescent="0.3">
      <c r="A194">
        <v>10193</v>
      </c>
      <c r="B194" s="2">
        <v>45694</v>
      </c>
      <c r="C194" t="s">
        <v>150</v>
      </c>
      <c r="D194" t="s">
        <v>151</v>
      </c>
      <c r="E194" t="s">
        <v>84</v>
      </c>
      <c r="F194" t="s">
        <v>46</v>
      </c>
      <c r="G194" t="s">
        <v>113</v>
      </c>
      <c r="H194" t="s">
        <v>114</v>
      </c>
      <c r="I194" t="s">
        <v>37</v>
      </c>
      <c r="J194">
        <v>2</v>
      </c>
      <c r="K194">
        <v>52000</v>
      </c>
      <c r="L194">
        <v>104000</v>
      </c>
    </row>
    <row r="195" spans="1:12" x14ac:dyDescent="0.3">
      <c r="A195">
        <v>10194</v>
      </c>
      <c r="B195" s="2">
        <v>45829</v>
      </c>
      <c r="C195" t="s">
        <v>91</v>
      </c>
      <c r="D195" t="s">
        <v>92</v>
      </c>
      <c r="E195" t="s">
        <v>40</v>
      </c>
      <c r="F195" t="s">
        <v>15</v>
      </c>
      <c r="G195" t="s">
        <v>121</v>
      </c>
      <c r="H195" t="s">
        <v>122</v>
      </c>
      <c r="I195" t="s">
        <v>49</v>
      </c>
      <c r="J195">
        <v>2</v>
      </c>
      <c r="K195">
        <v>4800</v>
      </c>
      <c r="L195">
        <v>9600</v>
      </c>
    </row>
    <row r="196" spans="1:12" x14ac:dyDescent="0.3">
      <c r="A196">
        <v>10195</v>
      </c>
      <c r="B196" s="2">
        <v>45822</v>
      </c>
      <c r="C196" t="s">
        <v>181</v>
      </c>
      <c r="D196" t="s">
        <v>182</v>
      </c>
      <c r="E196" t="s">
        <v>21</v>
      </c>
      <c r="F196" t="s">
        <v>15</v>
      </c>
      <c r="G196" t="s">
        <v>89</v>
      </c>
      <c r="H196" t="s">
        <v>90</v>
      </c>
      <c r="I196" t="s">
        <v>18</v>
      </c>
      <c r="J196">
        <v>2</v>
      </c>
      <c r="K196">
        <v>4200</v>
      </c>
      <c r="L196">
        <v>8400</v>
      </c>
    </row>
    <row r="197" spans="1:12" x14ac:dyDescent="0.3">
      <c r="A197">
        <v>10196</v>
      </c>
      <c r="B197" s="2">
        <v>45780</v>
      </c>
      <c r="C197" t="s">
        <v>87</v>
      </c>
      <c r="D197" t="s">
        <v>88</v>
      </c>
      <c r="E197" t="s">
        <v>64</v>
      </c>
      <c r="F197" t="s">
        <v>46</v>
      </c>
      <c r="G197" t="s">
        <v>96</v>
      </c>
      <c r="H197" t="s">
        <v>97</v>
      </c>
      <c r="I197" t="s">
        <v>37</v>
      </c>
      <c r="J197">
        <v>1</v>
      </c>
      <c r="K197">
        <v>18000</v>
      </c>
      <c r="L197">
        <v>18000</v>
      </c>
    </row>
    <row r="198" spans="1:12" x14ac:dyDescent="0.3">
      <c r="A198">
        <v>10197</v>
      </c>
      <c r="B198" s="2">
        <v>45908</v>
      </c>
      <c r="C198" t="s">
        <v>67</v>
      </c>
      <c r="D198" t="s">
        <v>68</v>
      </c>
      <c r="E198" t="s">
        <v>69</v>
      </c>
      <c r="F198" t="s">
        <v>28</v>
      </c>
      <c r="G198" t="s">
        <v>109</v>
      </c>
      <c r="H198" t="s">
        <v>110</v>
      </c>
      <c r="I198" t="s">
        <v>18</v>
      </c>
      <c r="J198">
        <v>1</v>
      </c>
      <c r="K198">
        <v>5000</v>
      </c>
      <c r="L198">
        <v>5000</v>
      </c>
    </row>
    <row r="199" spans="1:12" x14ac:dyDescent="0.3">
      <c r="A199">
        <v>10198</v>
      </c>
      <c r="B199" s="2">
        <v>45716</v>
      </c>
      <c r="C199" t="s">
        <v>154</v>
      </c>
      <c r="D199" t="s">
        <v>155</v>
      </c>
      <c r="E199" t="s">
        <v>74</v>
      </c>
      <c r="F199" t="s">
        <v>28</v>
      </c>
      <c r="G199" t="s">
        <v>103</v>
      </c>
      <c r="H199" t="s">
        <v>104</v>
      </c>
      <c r="I199" t="s">
        <v>37</v>
      </c>
      <c r="J199">
        <v>2</v>
      </c>
      <c r="K199">
        <v>28000</v>
      </c>
      <c r="L199">
        <v>56000</v>
      </c>
    </row>
    <row r="200" spans="1:12" x14ac:dyDescent="0.3">
      <c r="A200">
        <v>10199</v>
      </c>
      <c r="B200" s="2">
        <v>45666</v>
      </c>
      <c r="C200" t="s">
        <v>31</v>
      </c>
      <c r="D200" t="s">
        <v>32</v>
      </c>
      <c r="E200" t="s">
        <v>33</v>
      </c>
      <c r="F200" t="s">
        <v>34</v>
      </c>
      <c r="G200" t="s">
        <v>16</v>
      </c>
      <c r="H200" t="s">
        <v>17</v>
      </c>
      <c r="I200" t="s">
        <v>18</v>
      </c>
      <c r="J200">
        <v>1</v>
      </c>
      <c r="K200">
        <v>11000</v>
      </c>
      <c r="L200">
        <v>11000</v>
      </c>
    </row>
    <row r="201" spans="1:12" x14ac:dyDescent="0.3">
      <c r="A201">
        <v>10200</v>
      </c>
      <c r="B201" s="2">
        <v>45929</v>
      </c>
      <c r="C201" t="s">
        <v>191</v>
      </c>
      <c r="D201" t="s">
        <v>192</v>
      </c>
      <c r="E201" t="s">
        <v>27</v>
      </c>
      <c r="F201" t="s">
        <v>28</v>
      </c>
      <c r="G201" t="s">
        <v>121</v>
      </c>
      <c r="H201" t="s">
        <v>122</v>
      </c>
      <c r="I201" t="s">
        <v>49</v>
      </c>
      <c r="J201">
        <v>1</v>
      </c>
      <c r="K201">
        <v>4800</v>
      </c>
      <c r="L201">
        <v>4800</v>
      </c>
    </row>
    <row r="202" spans="1:12" x14ac:dyDescent="0.3">
      <c r="A202">
        <v>10201</v>
      </c>
      <c r="B202" s="2">
        <v>45924</v>
      </c>
      <c r="C202" t="s">
        <v>133</v>
      </c>
      <c r="D202" t="s">
        <v>134</v>
      </c>
      <c r="E202" t="s">
        <v>33</v>
      </c>
      <c r="F202" t="s">
        <v>34</v>
      </c>
      <c r="G202" t="s">
        <v>35</v>
      </c>
      <c r="H202" t="s">
        <v>36</v>
      </c>
      <c r="I202" t="s">
        <v>37</v>
      </c>
      <c r="J202">
        <v>1</v>
      </c>
      <c r="K202">
        <v>12000</v>
      </c>
      <c r="L202">
        <v>12000</v>
      </c>
    </row>
    <row r="203" spans="1:12" x14ac:dyDescent="0.3">
      <c r="A203">
        <v>10202</v>
      </c>
      <c r="B203" s="2">
        <v>45955</v>
      </c>
      <c r="C203" t="s">
        <v>80</v>
      </c>
      <c r="D203" t="s">
        <v>81</v>
      </c>
      <c r="E203" t="s">
        <v>79</v>
      </c>
      <c r="F203" t="s">
        <v>34</v>
      </c>
      <c r="G203" t="s">
        <v>167</v>
      </c>
      <c r="H203" t="s">
        <v>168</v>
      </c>
      <c r="I203" t="s">
        <v>49</v>
      </c>
      <c r="J203">
        <v>1</v>
      </c>
      <c r="K203">
        <v>3800</v>
      </c>
      <c r="L203">
        <v>3800</v>
      </c>
    </row>
    <row r="204" spans="1:12" x14ac:dyDescent="0.3">
      <c r="A204">
        <v>10203</v>
      </c>
      <c r="B204" s="2">
        <v>45929</v>
      </c>
      <c r="C204" t="s">
        <v>218</v>
      </c>
      <c r="D204" t="s">
        <v>219</v>
      </c>
      <c r="E204" t="s">
        <v>160</v>
      </c>
      <c r="F204" t="s">
        <v>34</v>
      </c>
      <c r="G204" t="s">
        <v>56</v>
      </c>
      <c r="H204" t="s">
        <v>57</v>
      </c>
      <c r="I204" t="s">
        <v>18</v>
      </c>
      <c r="J204">
        <v>1</v>
      </c>
      <c r="K204">
        <v>9000</v>
      </c>
      <c r="L204">
        <v>9000</v>
      </c>
    </row>
    <row r="205" spans="1:12" x14ac:dyDescent="0.3">
      <c r="A205">
        <v>10204</v>
      </c>
      <c r="B205" s="2">
        <v>45696</v>
      </c>
      <c r="C205" t="s">
        <v>115</v>
      </c>
      <c r="D205" t="s">
        <v>116</v>
      </c>
      <c r="E205" t="s">
        <v>33</v>
      </c>
      <c r="F205" t="s">
        <v>34</v>
      </c>
      <c r="G205" t="s">
        <v>35</v>
      </c>
      <c r="H205" t="s">
        <v>36</v>
      </c>
      <c r="I205" t="s">
        <v>37</v>
      </c>
      <c r="J205">
        <v>2</v>
      </c>
      <c r="K205">
        <v>12000</v>
      </c>
      <c r="L205">
        <v>24000</v>
      </c>
    </row>
    <row r="206" spans="1:12" x14ac:dyDescent="0.3">
      <c r="A206">
        <v>10205</v>
      </c>
      <c r="B206" s="2">
        <v>45712</v>
      </c>
      <c r="C206" t="s">
        <v>87</v>
      </c>
      <c r="D206" t="s">
        <v>88</v>
      </c>
      <c r="E206" t="s">
        <v>64</v>
      </c>
      <c r="F206" t="s">
        <v>46</v>
      </c>
      <c r="G206" t="s">
        <v>75</v>
      </c>
      <c r="H206" t="s">
        <v>76</v>
      </c>
      <c r="I206" t="s">
        <v>49</v>
      </c>
      <c r="J206">
        <v>3</v>
      </c>
      <c r="K206">
        <v>3000</v>
      </c>
      <c r="L206">
        <v>9000</v>
      </c>
    </row>
    <row r="207" spans="1:12" x14ac:dyDescent="0.3">
      <c r="A207">
        <v>10206</v>
      </c>
      <c r="B207" s="2">
        <v>45783</v>
      </c>
      <c r="C207" t="s">
        <v>199</v>
      </c>
      <c r="D207" t="s">
        <v>200</v>
      </c>
      <c r="E207" t="s">
        <v>201</v>
      </c>
      <c r="F207" t="s">
        <v>28</v>
      </c>
      <c r="G207" t="s">
        <v>52</v>
      </c>
      <c r="H207" t="s">
        <v>53</v>
      </c>
      <c r="I207" t="s">
        <v>24</v>
      </c>
      <c r="J207">
        <v>1</v>
      </c>
      <c r="K207">
        <v>3500</v>
      </c>
      <c r="L207">
        <v>3500</v>
      </c>
    </row>
    <row r="208" spans="1:12" x14ac:dyDescent="0.3">
      <c r="A208">
        <v>10207</v>
      </c>
      <c r="B208" s="2">
        <v>45926</v>
      </c>
      <c r="C208" t="s">
        <v>169</v>
      </c>
      <c r="D208" t="s">
        <v>170</v>
      </c>
      <c r="E208" t="s">
        <v>64</v>
      </c>
      <c r="F208" t="s">
        <v>46</v>
      </c>
      <c r="G208" t="s">
        <v>75</v>
      </c>
      <c r="H208" t="s">
        <v>76</v>
      </c>
      <c r="I208" t="s">
        <v>49</v>
      </c>
      <c r="J208">
        <v>1</v>
      </c>
      <c r="K208">
        <v>3000</v>
      </c>
      <c r="L208">
        <v>3000</v>
      </c>
    </row>
    <row r="209" spans="1:12" x14ac:dyDescent="0.3">
      <c r="A209">
        <v>10208</v>
      </c>
      <c r="B209" s="2">
        <v>45676</v>
      </c>
      <c r="C209" t="s">
        <v>115</v>
      </c>
      <c r="D209" t="s">
        <v>116</v>
      </c>
      <c r="E209" t="s">
        <v>33</v>
      </c>
      <c r="F209" t="s">
        <v>34</v>
      </c>
      <c r="G209" t="s">
        <v>96</v>
      </c>
      <c r="H209" t="s">
        <v>97</v>
      </c>
      <c r="I209" t="s">
        <v>37</v>
      </c>
      <c r="J209">
        <v>1</v>
      </c>
      <c r="K209">
        <v>18000</v>
      </c>
      <c r="L209">
        <v>18000</v>
      </c>
    </row>
    <row r="210" spans="1:12" x14ac:dyDescent="0.3">
      <c r="A210">
        <v>10209</v>
      </c>
      <c r="B210" s="2">
        <v>45945</v>
      </c>
      <c r="C210" t="s">
        <v>183</v>
      </c>
      <c r="D210" t="s">
        <v>184</v>
      </c>
      <c r="E210" t="s">
        <v>27</v>
      </c>
      <c r="F210" t="s">
        <v>28</v>
      </c>
      <c r="G210" t="s">
        <v>75</v>
      </c>
      <c r="H210" t="s">
        <v>76</v>
      </c>
      <c r="I210" t="s">
        <v>49</v>
      </c>
      <c r="J210">
        <v>1</v>
      </c>
      <c r="K210">
        <v>3000</v>
      </c>
      <c r="L210">
        <v>3000</v>
      </c>
    </row>
    <row r="211" spans="1:12" x14ac:dyDescent="0.3">
      <c r="A211">
        <v>10210</v>
      </c>
      <c r="B211" s="2">
        <v>45840</v>
      </c>
      <c r="C211" t="s">
        <v>175</v>
      </c>
      <c r="D211" t="s">
        <v>176</v>
      </c>
      <c r="E211" t="s">
        <v>84</v>
      </c>
      <c r="F211" t="s">
        <v>46</v>
      </c>
      <c r="G211" t="s">
        <v>47</v>
      </c>
      <c r="H211" t="s">
        <v>48</v>
      </c>
      <c r="I211" t="s">
        <v>49</v>
      </c>
      <c r="J211">
        <v>4</v>
      </c>
      <c r="K211">
        <v>1600</v>
      </c>
      <c r="L211">
        <v>6400</v>
      </c>
    </row>
    <row r="212" spans="1:12" x14ac:dyDescent="0.3">
      <c r="A212">
        <v>10211</v>
      </c>
      <c r="B212" s="2">
        <v>45921</v>
      </c>
      <c r="C212" t="s">
        <v>77</v>
      </c>
      <c r="D212" t="s">
        <v>78</v>
      </c>
      <c r="E212" t="s">
        <v>79</v>
      </c>
      <c r="F212" t="s">
        <v>34</v>
      </c>
      <c r="G212" t="s">
        <v>65</v>
      </c>
      <c r="H212" t="s">
        <v>66</v>
      </c>
      <c r="I212" t="s">
        <v>49</v>
      </c>
      <c r="J212">
        <v>2</v>
      </c>
      <c r="K212">
        <v>2400</v>
      </c>
      <c r="L212">
        <v>4800</v>
      </c>
    </row>
    <row r="213" spans="1:12" x14ac:dyDescent="0.3">
      <c r="A213">
        <v>10212</v>
      </c>
      <c r="B213" s="2">
        <v>45755</v>
      </c>
      <c r="C213" t="s">
        <v>146</v>
      </c>
      <c r="D213" t="s">
        <v>147</v>
      </c>
      <c r="E213" t="s">
        <v>64</v>
      </c>
      <c r="F213" t="s">
        <v>46</v>
      </c>
      <c r="G213" t="s">
        <v>129</v>
      </c>
      <c r="H213" t="s">
        <v>130</v>
      </c>
      <c r="I213" t="s">
        <v>24</v>
      </c>
      <c r="J213">
        <v>2</v>
      </c>
      <c r="K213">
        <v>1400</v>
      </c>
      <c r="L213">
        <v>2800</v>
      </c>
    </row>
    <row r="214" spans="1:12" x14ac:dyDescent="0.3">
      <c r="A214">
        <v>10213</v>
      </c>
      <c r="B214" s="2">
        <v>45704</v>
      </c>
      <c r="C214" t="s">
        <v>185</v>
      </c>
      <c r="D214" t="s">
        <v>186</v>
      </c>
      <c r="E214" t="s">
        <v>14</v>
      </c>
      <c r="F214" t="s">
        <v>15</v>
      </c>
      <c r="G214" t="s">
        <v>113</v>
      </c>
      <c r="H214" t="s">
        <v>114</v>
      </c>
      <c r="I214" t="s">
        <v>37</v>
      </c>
      <c r="J214">
        <v>1</v>
      </c>
      <c r="K214">
        <v>52000</v>
      </c>
      <c r="L214">
        <v>52000</v>
      </c>
    </row>
    <row r="215" spans="1:12" x14ac:dyDescent="0.3">
      <c r="A215">
        <v>10214</v>
      </c>
      <c r="B215" s="2">
        <v>45804</v>
      </c>
      <c r="C215" t="s">
        <v>171</v>
      </c>
      <c r="D215" t="s">
        <v>172</v>
      </c>
      <c r="E215" t="s">
        <v>45</v>
      </c>
      <c r="F215" t="s">
        <v>46</v>
      </c>
      <c r="G215" t="s">
        <v>103</v>
      </c>
      <c r="H215" t="s">
        <v>104</v>
      </c>
      <c r="I215" t="s">
        <v>37</v>
      </c>
      <c r="J215">
        <v>2</v>
      </c>
      <c r="K215">
        <v>28000</v>
      </c>
      <c r="L215">
        <v>56000</v>
      </c>
    </row>
    <row r="216" spans="1:12" x14ac:dyDescent="0.3">
      <c r="A216">
        <v>10215</v>
      </c>
      <c r="B216" s="2">
        <v>45694</v>
      </c>
      <c r="C216" t="s">
        <v>146</v>
      </c>
      <c r="D216" t="s">
        <v>147</v>
      </c>
      <c r="E216" t="s">
        <v>64</v>
      </c>
      <c r="F216" t="s">
        <v>46</v>
      </c>
      <c r="G216" t="s">
        <v>129</v>
      </c>
      <c r="H216" t="s">
        <v>130</v>
      </c>
      <c r="I216" t="s">
        <v>24</v>
      </c>
      <c r="J216">
        <v>3</v>
      </c>
      <c r="K216">
        <v>1400</v>
      </c>
      <c r="L216">
        <v>4200</v>
      </c>
    </row>
    <row r="217" spans="1:12" x14ac:dyDescent="0.3">
      <c r="A217">
        <v>10216</v>
      </c>
      <c r="B217" s="2">
        <v>45983</v>
      </c>
      <c r="C217" t="s">
        <v>210</v>
      </c>
      <c r="D217" t="s">
        <v>211</v>
      </c>
      <c r="E217" t="s">
        <v>40</v>
      </c>
      <c r="F217" t="s">
        <v>15</v>
      </c>
      <c r="G217" t="s">
        <v>125</v>
      </c>
      <c r="H217" t="s">
        <v>126</v>
      </c>
      <c r="I217" t="s">
        <v>37</v>
      </c>
      <c r="J217">
        <v>1</v>
      </c>
      <c r="K217">
        <v>22000</v>
      </c>
      <c r="L217">
        <v>22000</v>
      </c>
    </row>
    <row r="218" spans="1:12" x14ac:dyDescent="0.3">
      <c r="A218">
        <v>10217</v>
      </c>
      <c r="B218" s="2">
        <v>45685</v>
      </c>
      <c r="C218" t="s">
        <v>216</v>
      </c>
      <c r="D218" t="s">
        <v>217</v>
      </c>
      <c r="E218" t="s">
        <v>21</v>
      </c>
      <c r="F218" t="s">
        <v>15</v>
      </c>
      <c r="G218" t="s">
        <v>16</v>
      </c>
      <c r="H218" t="s">
        <v>17</v>
      </c>
      <c r="I218" t="s">
        <v>18</v>
      </c>
      <c r="J218">
        <v>2</v>
      </c>
      <c r="K218">
        <v>11000</v>
      </c>
      <c r="L218">
        <v>22000</v>
      </c>
    </row>
    <row r="219" spans="1:12" x14ac:dyDescent="0.3">
      <c r="A219">
        <v>10218</v>
      </c>
      <c r="B219" s="2">
        <v>45702</v>
      </c>
      <c r="C219" t="s">
        <v>165</v>
      </c>
      <c r="D219" t="s">
        <v>166</v>
      </c>
      <c r="E219" t="s">
        <v>69</v>
      </c>
      <c r="F219" t="s">
        <v>28</v>
      </c>
      <c r="G219" t="s">
        <v>179</v>
      </c>
      <c r="H219" t="s">
        <v>180</v>
      </c>
      <c r="I219" t="s">
        <v>18</v>
      </c>
      <c r="J219">
        <v>1</v>
      </c>
      <c r="K219">
        <v>6500</v>
      </c>
      <c r="L219">
        <v>6500</v>
      </c>
    </row>
    <row r="220" spans="1:12" x14ac:dyDescent="0.3">
      <c r="A220">
        <v>10219</v>
      </c>
      <c r="B220" s="2">
        <v>45703</v>
      </c>
      <c r="C220" t="s">
        <v>173</v>
      </c>
      <c r="D220" t="s">
        <v>174</v>
      </c>
      <c r="E220" t="s">
        <v>137</v>
      </c>
      <c r="F220" t="s">
        <v>46</v>
      </c>
      <c r="G220" t="s">
        <v>70</v>
      </c>
      <c r="H220" t="s">
        <v>71</v>
      </c>
      <c r="I220" t="s">
        <v>37</v>
      </c>
      <c r="J220">
        <v>1</v>
      </c>
      <c r="K220">
        <v>2200</v>
      </c>
      <c r="L220">
        <v>2200</v>
      </c>
    </row>
    <row r="221" spans="1:12" x14ac:dyDescent="0.3">
      <c r="A221">
        <v>10220</v>
      </c>
      <c r="B221" s="2">
        <v>45742</v>
      </c>
      <c r="C221" t="s">
        <v>119</v>
      </c>
      <c r="D221" t="s">
        <v>120</v>
      </c>
      <c r="E221" t="s">
        <v>27</v>
      </c>
      <c r="F221" t="s">
        <v>28</v>
      </c>
      <c r="G221" t="s">
        <v>125</v>
      </c>
      <c r="H221" t="s">
        <v>126</v>
      </c>
      <c r="I221" t="s">
        <v>37</v>
      </c>
      <c r="J221">
        <v>2</v>
      </c>
      <c r="K221">
        <v>22000</v>
      </c>
      <c r="L221">
        <v>44000</v>
      </c>
    </row>
    <row r="222" spans="1:12" x14ac:dyDescent="0.3">
      <c r="A222">
        <v>10221</v>
      </c>
      <c r="B222" s="2">
        <v>45800</v>
      </c>
      <c r="C222" t="s">
        <v>91</v>
      </c>
      <c r="D222" t="s">
        <v>92</v>
      </c>
      <c r="E222" t="s">
        <v>40</v>
      </c>
      <c r="F222" t="s">
        <v>15</v>
      </c>
      <c r="G222" t="s">
        <v>177</v>
      </c>
      <c r="H222" t="s">
        <v>178</v>
      </c>
      <c r="I222" t="s">
        <v>37</v>
      </c>
      <c r="J222">
        <v>5</v>
      </c>
      <c r="K222">
        <v>2500</v>
      </c>
      <c r="L222">
        <v>12500</v>
      </c>
    </row>
    <row r="223" spans="1:12" x14ac:dyDescent="0.3">
      <c r="A223">
        <v>10222</v>
      </c>
      <c r="B223" s="2">
        <v>45667</v>
      </c>
      <c r="C223" t="s">
        <v>135</v>
      </c>
      <c r="D223" t="s">
        <v>136</v>
      </c>
      <c r="E223" t="s">
        <v>137</v>
      </c>
      <c r="F223" t="s">
        <v>46</v>
      </c>
      <c r="G223" t="s">
        <v>89</v>
      </c>
      <c r="H223" t="s">
        <v>90</v>
      </c>
      <c r="I223" t="s">
        <v>18</v>
      </c>
      <c r="J223">
        <v>1</v>
      </c>
      <c r="K223">
        <v>4200</v>
      </c>
      <c r="L223">
        <v>4200</v>
      </c>
    </row>
    <row r="224" spans="1:12" x14ac:dyDescent="0.3">
      <c r="A224">
        <v>10223</v>
      </c>
      <c r="B224" s="2">
        <v>45948</v>
      </c>
      <c r="C224" t="s">
        <v>148</v>
      </c>
      <c r="D224" t="s">
        <v>149</v>
      </c>
      <c r="E224" t="s">
        <v>14</v>
      </c>
      <c r="F224" t="s">
        <v>15</v>
      </c>
      <c r="G224" t="s">
        <v>125</v>
      </c>
      <c r="H224" t="s">
        <v>126</v>
      </c>
      <c r="I224" t="s">
        <v>37</v>
      </c>
      <c r="J224">
        <v>3</v>
      </c>
      <c r="K224">
        <v>22000</v>
      </c>
      <c r="L224">
        <v>66000</v>
      </c>
    </row>
    <row r="225" spans="1:12" x14ac:dyDescent="0.3">
      <c r="A225">
        <v>10224</v>
      </c>
      <c r="B225" s="2">
        <v>45900</v>
      </c>
      <c r="C225" t="s">
        <v>220</v>
      </c>
      <c r="D225" t="s">
        <v>221</v>
      </c>
      <c r="E225" t="s">
        <v>102</v>
      </c>
      <c r="F225" t="s">
        <v>34</v>
      </c>
      <c r="G225" t="s">
        <v>75</v>
      </c>
      <c r="H225" t="s">
        <v>76</v>
      </c>
      <c r="I225" t="s">
        <v>49</v>
      </c>
      <c r="J225">
        <v>3</v>
      </c>
      <c r="K225">
        <v>3000</v>
      </c>
      <c r="L225">
        <v>9000</v>
      </c>
    </row>
    <row r="226" spans="1:12" x14ac:dyDescent="0.3">
      <c r="A226">
        <v>10225</v>
      </c>
      <c r="B226" s="2">
        <v>45747</v>
      </c>
      <c r="C226" t="s">
        <v>133</v>
      </c>
      <c r="D226" t="s">
        <v>134</v>
      </c>
      <c r="E226" t="s">
        <v>33</v>
      </c>
      <c r="F226" t="s">
        <v>34</v>
      </c>
      <c r="G226" t="s">
        <v>75</v>
      </c>
      <c r="H226" t="s">
        <v>76</v>
      </c>
      <c r="I226" t="s">
        <v>49</v>
      </c>
      <c r="J226">
        <v>1</v>
      </c>
      <c r="K226">
        <v>3000</v>
      </c>
      <c r="L226">
        <v>3000</v>
      </c>
    </row>
    <row r="227" spans="1:12" x14ac:dyDescent="0.3">
      <c r="A227">
        <v>10226</v>
      </c>
      <c r="B227" s="2">
        <v>45852</v>
      </c>
      <c r="C227" t="s">
        <v>12</v>
      </c>
      <c r="D227" t="s">
        <v>13</v>
      </c>
      <c r="E227" t="s">
        <v>14</v>
      </c>
      <c r="F227" t="s">
        <v>15</v>
      </c>
      <c r="G227" t="s">
        <v>144</v>
      </c>
      <c r="H227" t="s">
        <v>145</v>
      </c>
      <c r="I227" t="s">
        <v>37</v>
      </c>
      <c r="J227">
        <v>1</v>
      </c>
      <c r="K227">
        <v>65000</v>
      </c>
      <c r="L227">
        <v>65000</v>
      </c>
    </row>
    <row r="228" spans="1:12" x14ac:dyDescent="0.3">
      <c r="A228">
        <v>10227</v>
      </c>
      <c r="B228" s="2">
        <v>46001</v>
      </c>
      <c r="C228" t="s">
        <v>43</v>
      </c>
      <c r="D228" t="s">
        <v>44</v>
      </c>
      <c r="E228" t="s">
        <v>45</v>
      </c>
      <c r="F228" t="s">
        <v>46</v>
      </c>
      <c r="G228" t="s">
        <v>152</v>
      </c>
      <c r="H228" t="s">
        <v>153</v>
      </c>
      <c r="I228" t="s">
        <v>49</v>
      </c>
      <c r="J228">
        <v>2</v>
      </c>
      <c r="K228">
        <v>3200</v>
      </c>
      <c r="L228">
        <v>6400</v>
      </c>
    </row>
    <row r="229" spans="1:12" x14ac:dyDescent="0.3">
      <c r="A229">
        <v>10228</v>
      </c>
      <c r="B229" s="2">
        <v>46007</v>
      </c>
      <c r="C229" t="s">
        <v>91</v>
      </c>
      <c r="D229" t="s">
        <v>92</v>
      </c>
      <c r="E229" t="s">
        <v>40</v>
      </c>
      <c r="F229" t="s">
        <v>15</v>
      </c>
      <c r="G229" t="s">
        <v>70</v>
      </c>
      <c r="H229" t="s">
        <v>71</v>
      </c>
      <c r="I229" t="s">
        <v>37</v>
      </c>
      <c r="J229">
        <v>2</v>
      </c>
      <c r="K229">
        <v>2200</v>
      </c>
      <c r="L229">
        <v>4400</v>
      </c>
    </row>
    <row r="230" spans="1:12" x14ac:dyDescent="0.3">
      <c r="A230">
        <v>10229</v>
      </c>
      <c r="B230" s="2">
        <v>45851</v>
      </c>
      <c r="C230" t="s">
        <v>135</v>
      </c>
      <c r="D230" t="s">
        <v>136</v>
      </c>
      <c r="E230" t="s">
        <v>137</v>
      </c>
      <c r="F230" t="s">
        <v>46</v>
      </c>
      <c r="G230" t="s">
        <v>35</v>
      </c>
      <c r="H230" t="s">
        <v>36</v>
      </c>
      <c r="I230" t="s">
        <v>37</v>
      </c>
      <c r="J230">
        <v>3</v>
      </c>
      <c r="K230">
        <v>12000</v>
      </c>
      <c r="L230">
        <v>36000</v>
      </c>
    </row>
    <row r="231" spans="1:12" x14ac:dyDescent="0.3">
      <c r="A231">
        <v>10230</v>
      </c>
      <c r="B231" s="2">
        <v>45953</v>
      </c>
      <c r="C231" t="s">
        <v>117</v>
      </c>
      <c r="D231" t="s">
        <v>118</v>
      </c>
      <c r="E231" t="s">
        <v>95</v>
      </c>
      <c r="F231" t="s">
        <v>15</v>
      </c>
      <c r="G231" t="s">
        <v>140</v>
      </c>
      <c r="H231" t="s">
        <v>141</v>
      </c>
      <c r="I231" t="s">
        <v>18</v>
      </c>
      <c r="J231">
        <v>2</v>
      </c>
      <c r="K231">
        <v>3000</v>
      </c>
      <c r="L231">
        <v>6000</v>
      </c>
    </row>
    <row r="232" spans="1:12" x14ac:dyDescent="0.3">
      <c r="A232">
        <v>10231</v>
      </c>
      <c r="B232" s="2">
        <v>45930</v>
      </c>
      <c r="C232" t="s">
        <v>127</v>
      </c>
      <c r="D232" t="s">
        <v>128</v>
      </c>
      <c r="E232" t="s">
        <v>102</v>
      </c>
      <c r="F232" t="s">
        <v>34</v>
      </c>
      <c r="G232" t="s">
        <v>131</v>
      </c>
      <c r="H232" t="s">
        <v>132</v>
      </c>
      <c r="I232" t="s">
        <v>37</v>
      </c>
      <c r="J232">
        <v>1</v>
      </c>
      <c r="K232">
        <v>4500</v>
      </c>
      <c r="L232">
        <v>4500</v>
      </c>
    </row>
    <row r="233" spans="1:12" x14ac:dyDescent="0.3">
      <c r="A233">
        <v>10232</v>
      </c>
      <c r="B233" s="2">
        <v>45747</v>
      </c>
      <c r="C233" t="s">
        <v>146</v>
      </c>
      <c r="D233" t="s">
        <v>147</v>
      </c>
      <c r="E233" t="s">
        <v>64</v>
      </c>
      <c r="F233" t="s">
        <v>46</v>
      </c>
      <c r="G233" t="s">
        <v>187</v>
      </c>
      <c r="H233" t="s">
        <v>188</v>
      </c>
      <c r="I233" t="s">
        <v>24</v>
      </c>
      <c r="J233">
        <v>2</v>
      </c>
      <c r="K233">
        <v>5500</v>
      </c>
      <c r="L233">
        <v>11000</v>
      </c>
    </row>
    <row r="234" spans="1:12" x14ac:dyDescent="0.3">
      <c r="A234">
        <v>10233</v>
      </c>
      <c r="B234" s="2">
        <v>45899</v>
      </c>
      <c r="C234" t="s">
        <v>31</v>
      </c>
      <c r="D234" t="s">
        <v>32</v>
      </c>
      <c r="E234" t="s">
        <v>33</v>
      </c>
      <c r="F234" t="s">
        <v>34</v>
      </c>
      <c r="G234" t="s">
        <v>96</v>
      </c>
      <c r="H234" t="s">
        <v>97</v>
      </c>
      <c r="I234" t="s">
        <v>37</v>
      </c>
      <c r="J234">
        <v>2</v>
      </c>
      <c r="K234">
        <v>18000</v>
      </c>
      <c r="L234">
        <v>36000</v>
      </c>
    </row>
    <row r="235" spans="1:12" x14ac:dyDescent="0.3">
      <c r="A235">
        <v>10234</v>
      </c>
      <c r="B235" s="2">
        <v>45997</v>
      </c>
      <c r="C235" t="s">
        <v>133</v>
      </c>
      <c r="D235" t="s">
        <v>134</v>
      </c>
      <c r="E235" t="s">
        <v>33</v>
      </c>
      <c r="F235" t="s">
        <v>34</v>
      </c>
      <c r="G235" t="s">
        <v>98</v>
      </c>
      <c r="H235" t="s">
        <v>99</v>
      </c>
      <c r="I235" t="s">
        <v>24</v>
      </c>
      <c r="J235">
        <v>1</v>
      </c>
      <c r="K235">
        <v>2000</v>
      </c>
      <c r="L235">
        <v>2000</v>
      </c>
    </row>
    <row r="236" spans="1:12" x14ac:dyDescent="0.3">
      <c r="A236">
        <v>10235</v>
      </c>
      <c r="B236" s="2">
        <v>45928</v>
      </c>
      <c r="C236" t="s">
        <v>171</v>
      </c>
      <c r="D236" t="s">
        <v>172</v>
      </c>
      <c r="E236" t="s">
        <v>45</v>
      </c>
      <c r="F236" t="s">
        <v>46</v>
      </c>
      <c r="G236" t="s">
        <v>144</v>
      </c>
      <c r="H236" t="s">
        <v>145</v>
      </c>
      <c r="I236" t="s">
        <v>37</v>
      </c>
      <c r="J236">
        <v>1</v>
      </c>
      <c r="K236">
        <v>65000</v>
      </c>
      <c r="L236">
        <v>65000</v>
      </c>
    </row>
    <row r="237" spans="1:12" x14ac:dyDescent="0.3">
      <c r="A237">
        <v>10236</v>
      </c>
      <c r="B237" s="2">
        <v>45885</v>
      </c>
      <c r="C237" t="s">
        <v>72</v>
      </c>
      <c r="D237" t="s">
        <v>73</v>
      </c>
      <c r="E237" t="s">
        <v>74</v>
      </c>
      <c r="F237" t="s">
        <v>28</v>
      </c>
      <c r="G237" t="s">
        <v>96</v>
      </c>
      <c r="H237" t="s">
        <v>97</v>
      </c>
      <c r="I237" t="s">
        <v>37</v>
      </c>
      <c r="J237">
        <v>2</v>
      </c>
      <c r="K237">
        <v>18000</v>
      </c>
      <c r="L237">
        <v>36000</v>
      </c>
    </row>
    <row r="238" spans="1:12" x14ac:dyDescent="0.3">
      <c r="A238">
        <v>10237</v>
      </c>
      <c r="B238" s="2">
        <v>45978</v>
      </c>
      <c r="C238" t="s">
        <v>19</v>
      </c>
      <c r="D238" t="s">
        <v>20</v>
      </c>
      <c r="E238" t="s">
        <v>21</v>
      </c>
      <c r="F238" t="s">
        <v>15</v>
      </c>
      <c r="G238" t="s">
        <v>70</v>
      </c>
      <c r="H238" t="s">
        <v>71</v>
      </c>
      <c r="I238" t="s">
        <v>37</v>
      </c>
      <c r="J238">
        <v>1</v>
      </c>
      <c r="K238">
        <v>2200</v>
      </c>
      <c r="L238">
        <v>2200</v>
      </c>
    </row>
    <row r="239" spans="1:12" x14ac:dyDescent="0.3">
      <c r="A239">
        <v>10238</v>
      </c>
      <c r="B239" s="2">
        <v>45824</v>
      </c>
      <c r="C239" t="s">
        <v>31</v>
      </c>
      <c r="D239" t="s">
        <v>32</v>
      </c>
      <c r="E239" t="s">
        <v>33</v>
      </c>
      <c r="F239" t="s">
        <v>34</v>
      </c>
      <c r="G239" t="s">
        <v>41</v>
      </c>
      <c r="H239" t="s">
        <v>42</v>
      </c>
      <c r="I239" t="s">
        <v>37</v>
      </c>
      <c r="J239">
        <v>1</v>
      </c>
      <c r="K239">
        <v>30000</v>
      </c>
      <c r="L239">
        <v>30000</v>
      </c>
    </row>
    <row r="240" spans="1:12" x14ac:dyDescent="0.3">
      <c r="A240">
        <v>10239</v>
      </c>
      <c r="B240" s="2">
        <v>45798</v>
      </c>
      <c r="C240" t="s">
        <v>171</v>
      </c>
      <c r="D240" t="s">
        <v>172</v>
      </c>
      <c r="E240" t="s">
        <v>45</v>
      </c>
      <c r="F240" t="s">
        <v>46</v>
      </c>
      <c r="G240" t="s">
        <v>70</v>
      </c>
      <c r="H240" t="s">
        <v>71</v>
      </c>
      <c r="I240" t="s">
        <v>37</v>
      </c>
      <c r="J240">
        <v>1</v>
      </c>
      <c r="K240">
        <v>2200</v>
      </c>
      <c r="L240">
        <v>2200</v>
      </c>
    </row>
    <row r="241" spans="1:12" x14ac:dyDescent="0.3">
      <c r="A241">
        <v>10240</v>
      </c>
      <c r="B241" s="2">
        <v>45810</v>
      </c>
      <c r="C241" t="s">
        <v>214</v>
      </c>
      <c r="D241" t="s">
        <v>215</v>
      </c>
      <c r="E241" t="s">
        <v>137</v>
      </c>
      <c r="F241" t="s">
        <v>46</v>
      </c>
      <c r="G241" t="s">
        <v>129</v>
      </c>
      <c r="H241" t="s">
        <v>130</v>
      </c>
      <c r="I241" t="s">
        <v>24</v>
      </c>
      <c r="J241">
        <v>1</v>
      </c>
      <c r="K241">
        <v>1400</v>
      </c>
      <c r="L241">
        <v>1400</v>
      </c>
    </row>
    <row r="242" spans="1:12" x14ac:dyDescent="0.3">
      <c r="A242">
        <v>10241</v>
      </c>
      <c r="B242" s="2">
        <v>45809</v>
      </c>
      <c r="C242" t="s">
        <v>222</v>
      </c>
      <c r="D242" t="s">
        <v>223</v>
      </c>
      <c r="E242" t="s">
        <v>21</v>
      </c>
      <c r="F242" t="s">
        <v>15</v>
      </c>
      <c r="G242" t="s">
        <v>179</v>
      </c>
      <c r="H242" t="s">
        <v>180</v>
      </c>
      <c r="I242" t="s">
        <v>18</v>
      </c>
      <c r="J242">
        <v>3</v>
      </c>
      <c r="K242">
        <v>6500</v>
      </c>
      <c r="L242">
        <v>19500</v>
      </c>
    </row>
    <row r="243" spans="1:12" x14ac:dyDescent="0.3">
      <c r="A243">
        <v>10242</v>
      </c>
      <c r="B243" s="2">
        <v>45938</v>
      </c>
      <c r="C243" t="s">
        <v>224</v>
      </c>
      <c r="D243" t="s">
        <v>225</v>
      </c>
      <c r="E243" t="s">
        <v>201</v>
      </c>
      <c r="F243" t="s">
        <v>28</v>
      </c>
      <c r="G243" t="s">
        <v>41</v>
      </c>
      <c r="H243" t="s">
        <v>42</v>
      </c>
      <c r="I243" t="s">
        <v>37</v>
      </c>
      <c r="J243">
        <v>1</v>
      </c>
      <c r="K243">
        <v>30000</v>
      </c>
      <c r="L243">
        <v>30000</v>
      </c>
    </row>
    <row r="244" spans="1:12" x14ac:dyDescent="0.3">
      <c r="A244">
        <v>10243</v>
      </c>
      <c r="B244" s="2">
        <v>46022</v>
      </c>
      <c r="C244" t="s">
        <v>191</v>
      </c>
      <c r="D244" t="s">
        <v>192</v>
      </c>
      <c r="E244" t="s">
        <v>27</v>
      </c>
      <c r="F244" t="s">
        <v>28</v>
      </c>
      <c r="G244" t="s">
        <v>65</v>
      </c>
      <c r="H244" t="s">
        <v>66</v>
      </c>
      <c r="I244" t="s">
        <v>49</v>
      </c>
      <c r="J244">
        <v>4</v>
      </c>
      <c r="K244">
        <v>2400</v>
      </c>
      <c r="L244">
        <v>9600</v>
      </c>
    </row>
    <row r="245" spans="1:12" x14ac:dyDescent="0.3">
      <c r="A245">
        <v>10244</v>
      </c>
      <c r="B245" s="2">
        <v>46012</v>
      </c>
      <c r="C245" t="s">
        <v>54</v>
      </c>
      <c r="D245" t="s">
        <v>55</v>
      </c>
      <c r="E245" t="s">
        <v>33</v>
      </c>
      <c r="F245" t="s">
        <v>34</v>
      </c>
      <c r="G245" t="s">
        <v>35</v>
      </c>
      <c r="H245" t="s">
        <v>36</v>
      </c>
      <c r="I245" t="s">
        <v>37</v>
      </c>
      <c r="J245">
        <v>2</v>
      </c>
      <c r="K245">
        <v>12000</v>
      </c>
      <c r="L245">
        <v>24000</v>
      </c>
    </row>
    <row r="246" spans="1:12" x14ac:dyDescent="0.3">
      <c r="A246">
        <v>10245</v>
      </c>
      <c r="B246" s="2">
        <v>45855</v>
      </c>
      <c r="C246" t="s">
        <v>133</v>
      </c>
      <c r="D246" t="s">
        <v>134</v>
      </c>
      <c r="E246" t="s">
        <v>33</v>
      </c>
      <c r="F246" t="s">
        <v>34</v>
      </c>
      <c r="G246" t="s">
        <v>41</v>
      </c>
      <c r="H246" t="s">
        <v>42</v>
      </c>
      <c r="I246" t="s">
        <v>37</v>
      </c>
      <c r="J246">
        <v>1</v>
      </c>
      <c r="K246">
        <v>30000</v>
      </c>
      <c r="L246">
        <v>30000</v>
      </c>
    </row>
    <row r="247" spans="1:12" x14ac:dyDescent="0.3">
      <c r="A247">
        <v>10246</v>
      </c>
      <c r="B247" s="2">
        <v>45764</v>
      </c>
      <c r="C247" t="s">
        <v>50</v>
      </c>
      <c r="D247" t="s">
        <v>51</v>
      </c>
      <c r="E247" t="s">
        <v>14</v>
      </c>
      <c r="F247" t="s">
        <v>15</v>
      </c>
      <c r="G247" t="s">
        <v>60</v>
      </c>
      <c r="H247" t="s">
        <v>61</v>
      </c>
      <c r="I247" t="s">
        <v>18</v>
      </c>
      <c r="J247">
        <v>2</v>
      </c>
      <c r="K247">
        <v>2200</v>
      </c>
      <c r="L247">
        <v>4400</v>
      </c>
    </row>
    <row r="248" spans="1:12" x14ac:dyDescent="0.3">
      <c r="A248">
        <v>10247</v>
      </c>
      <c r="B248" s="2">
        <v>45851</v>
      </c>
      <c r="C248" t="s">
        <v>93</v>
      </c>
      <c r="D248" t="s">
        <v>94</v>
      </c>
      <c r="E248" t="s">
        <v>95</v>
      </c>
      <c r="F248" t="s">
        <v>15</v>
      </c>
      <c r="G248" t="s">
        <v>60</v>
      </c>
      <c r="H248" t="s">
        <v>61</v>
      </c>
      <c r="I248" t="s">
        <v>18</v>
      </c>
      <c r="J248">
        <v>2</v>
      </c>
      <c r="K248">
        <v>2200</v>
      </c>
      <c r="L248">
        <v>4400</v>
      </c>
    </row>
    <row r="249" spans="1:12" x14ac:dyDescent="0.3">
      <c r="A249">
        <v>10248</v>
      </c>
      <c r="B249" s="2">
        <v>45782</v>
      </c>
      <c r="C249" t="s">
        <v>50</v>
      </c>
      <c r="D249" t="s">
        <v>51</v>
      </c>
      <c r="E249" t="s">
        <v>14</v>
      </c>
      <c r="F249" t="s">
        <v>15</v>
      </c>
      <c r="G249" t="s">
        <v>187</v>
      </c>
      <c r="H249" t="s">
        <v>188</v>
      </c>
      <c r="I249" t="s">
        <v>24</v>
      </c>
      <c r="J249">
        <v>1</v>
      </c>
      <c r="K249">
        <v>5500</v>
      </c>
      <c r="L249">
        <v>5500</v>
      </c>
    </row>
    <row r="250" spans="1:12" x14ac:dyDescent="0.3">
      <c r="A250">
        <v>10249</v>
      </c>
      <c r="B250" s="2">
        <v>45758</v>
      </c>
      <c r="C250" t="s">
        <v>93</v>
      </c>
      <c r="D250" t="s">
        <v>94</v>
      </c>
      <c r="E250" t="s">
        <v>95</v>
      </c>
      <c r="F250" t="s">
        <v>15</v>
      </c>
      <c r="G250" t="s">
        <v>121</v>
      </c>
      <c r="H250" t="s">
        <v>122</v>
      </c>
      <c r="I250" t="s">
        <v>49</v>
      </c>
      <c r="J250">
        <v>1</v>
      </c>
      <c r="K250">
        <v>4800</v>
      </c>
      <c r="L250">
        <v>4800</v>
      </c>
    </row>
    <row r="251" spans="1:12" x14ac:dyDescent="0.3">
      <c r="A251">
        <v>10250</v>
      </c>
      <c r="B251" s="2">
        <v>45722</v>
      </c>
      <c r="C251" t="s">
        <v>67</v>
      </c>
      <c r="D251" t="s">
        <v>68</v>
      </c>
      <c r="E251" t="s">
        <v>69</v>
      </c>
      <c r="F251" t="s">
        <v>28</v>
      </c>
      <c r="G251" t="s">
        <v>47</v>
      </c>
      <c r="H251" t="s">
        <v>48</v>
      </c>
      <c r="I251" t="s">
        <v>49</v>
      </c>
      <c r="J251">
        <v>1</v>
      </c>
      <c r="K251">
        <v>1600</v>
      </c>
      <c r="L251">
        <v>1600</v>
      </c>
    </row>
    <row r="252" spans="1:12" x14ac:dyDescent="0.3">
      <c r="A252">
        <v>10251</v>
      </c>
      <c r="B252" s="2">
        <v>45688</v>
      </c>
      <c r="C252" t="s">
        <v>115</v>
      </c>
      <c r="D252" t="s">
        <v>116</v>
      </c>
      <c r="E252" t="s">
        <v>33</v>
      </c>
      <c r="F252" t="s">
        <v>34</v>
      </c>
      <c r="G252" t="s">
        <v>16</v>
      </c>
      <c r="H252" t="s">
        <v>17</v>
      </c>
      <c r="I252" t="s">
        <v>18</v>
      </c>
      <c r="J252">
        <v>2</v>
      </c>
      <c r="K252">
        <v>11000</v>
      </c>
      <c r="L252">
        <v>22000</v>
      </c>
    </row>
    <row r="253" spans="1:12" x14ac:dyDescent="0.3">
      <c r="A253">
        <v>10252</v>
      </c>
      <c r="B253" s="2">
        <v>45921</v>
      </c>
      <c r="C253" t="s">
        <v>197</v>
      </c>
      <c r="D253" t="s">
        <v>198</v>
      </c>
      <c r="E253" t="s">
        <v>95</v>
      </c>
      <c r="F253" t="s">
        <v>15</v>
      </c>
      <c r="G253" t="s">
        <v>75</v>
      </c>
      <c r="H253" t="s">
        <v>76</v>
      </c>
      <c r="I253" t="s">
        <v>49</v>
      </c>
      <c r="J253">
        <v>1</v>
      </c>
      <c r="K253">
        <v>3000</v>
      </c>
      <c r="L253">
        <v>3000</v>
      </c>
    </row>
    <row r="254" spans="1:12" x14ac:dyDescent="0.3">
      <c r="A254">
        <v>10253</v>
      </c>
      <c r="B254" s="2">
        <v>46011</v>
      </c>
      <c r="C254" t="s">
        <v>93</v>
      </c>
      <c r="D254" t="s">
        <v>94</v>
      </c>
      <c r="E254" t="s">
        <v>95</v>
      </c>
      <c r="F254" t="s">
        <v>15</v>
      </c>
      <c r="G254" t="s">
        <v>179</v>
      </c>
      <c r="H254" t="s">
        <v>180</v>
      </c>
      <c r="I254" t="s">
        <v>18</v>
      </c>
      <c r="J254">
        <v>2</v>
      </c>
      <c r="K254">
        <v>6500</v>
      </c>
      <c r="L254">
        <v>13000</v>
      </c>
    </row>
    <row r="255" spans="1:12" x14ac:dyDescent="0.3">
      <c r="A255">
        <v>10254</v>
      </c>
      <c r="B255" s="2">
        <v>45919</v>
      </c>
      <c r="C255" t="s">
        <v>216</v>
      </c>
      <c r="D255" t="s">
        <v>217</v>
      </c>
      <c r="E255" t="s">
        <v>21</v>
      </c>
      <c r="F255" t="s">
        <v>15</v>
      </c>
      <c r="G255" t="s">
        <v>75</v>
      </c>
      <c r="H255" t="s">
        <v>76</v>
      </c>
      <c r="I255" t="s">
        <v>49</v>
      </c>
      <c r="J255">
        <v>1</v>
      </c>
      <c r="K255">
        <v>3000</v>
      </c>
      <c r="L255">
        <v>3000</v>
      </c>
    </row>
    <row r="256" spans="1:12" x14ac:dyDescent="0.3">
      <c r="A256">
        <v>10255</v>
      </c>
      <c r="B256" s="2">
        <v>45917</v>
      </c>
      <c r="C256" t="s">
        <v>82</v>
      </c>
      <c r="D256" t="s">
        <v>83</v>
      </c>
      <c r="E256" t="s">
        <v>84</v>
      </c>
      <c r="F256" t="s">
        <v>46</v>
      </c>
      <c r="G256" t="s">
        <v>98</v>
      </c>
      <c r="H256" t="s">
        <v>99</v>
      </c>
      <c r="I256" t="s">
        <v>24</v>
      </c>
      <c r="J256">
        <v>1</v>
      </c>
      <c r="K256">
        <v>2000</v>
      </c>
      <c r="L256">
        <v>2000</v>
      </c>
    </row>
    <row r="257" spans="1:12" x14ac:dyDescent="0.3">
      <c r="A257">
        <v>10256</v>
      </c>
      <c r="B257" s="2">
        <v>45927</v>
      </c>
      <c r="C257" t="s">
        <v>193</v>
      </c>
      <c r="D257" t="s">
        <v>194</v>
      </c>
      <c r="E257" t="s">
        <v>102</v>
      </c>
      <c r="F257" t="s">
        <v>34</v>
      </c>
      <c r="G257" t="s">
        <v>121</v>
      </c>
      <c r="H257" t="s">
        <v>122</v>
      </c>
      <c r="I257" t="s">
        <v>49</v>
      </c>
      <c r="J257">
        <v>1</v>
      </c>
      <c r="K257">
        <v>4800</v>
      </c>
      <c r="L257">
        <v>4800</v>
      </c>
    </row>
    <row r="258" spans="1:12" x14ac:dyDescent="0.3">
      <c r="A258">
        <v>10257</v>
      </c>
      <c r="B258" s="2">
        <v>45976</v>
      </c>
      <c r="C258" t="s">
        <v>25</v>
      </c>
      <c r="D258" t="s">
        <v>26</v>
      </c>
      <c r="E258" t="s">
        <v>27</v>
      </c>
      <c r="F258" t="s">
        <v>28</v>
      </c>
      <c r="G258" t="s">
        <v>109</v>
      </c>
      <c r="H258" t="s">
        <v>110</v>
      </c>
      <c r="I258" t="s">
        <v>18</v>
      </c>
      <c r="J258">
        <v>3</v>
      </c>
      <c r="K258">
        <v>5000</v>
      </c>
      <c r="L258">
        <v>15000</v>
      </c>
    </row>
    <row r="259" spans="1:12" x14ac:dyDescent="0.3">
      <c r="A259">
        <v>10258</v>
      </c>
      <c r="B259" s="2">
        <v>45782</v>
      </c>
      <c r="C259" t="s">
        <v>100</v>
      </c>
      <c r="D259" t="s">
        <v>101</v>
      </c>
      <c r="E259" t="s">
        <v>102</v>
      </c>
      <c r="F259" t="s">
        <v>34</v>
      </c>
      <c r="G259" t="s">
        <v>129</v>
      </c>
      <c r="H259" t="s">
        <v>130</v>
      </c>
      <c r="I259" t="s">
        <v>24</v>
      </c>
      <c r="J259">
        <v>2</v>
      </c>
      <c r="K259">
        <v>1400</v>
      </c>
      <c r="L259">
        <v>2800</v>
      </c>
    </row>
    <row r="260" spans="1:12" x14ac:dyDescent="0.3">
      <c r="A260">
        <v>10259</v>
      </c>
      <c r="B260" s="2">
        <v>45672</v>
      </c>
      <c r="C260" t="s">
        <v>206</v>
      </c>
      <c r="D260" t="s">
        <v>207</v>
      </c>
      <c r="E260" t="s">
        <v>160</v>
      </c>
      <c r="F260" t="s">
        <v>34</v>
      </c>
      <c r="G260" t="s">
        <v>167</v>
      </c>
      <c r="H260" t="s">
        <v>168</v>
      </c>
      <c r="I260" t="s">
        <v>49</v>
      </c>
      <c r="J260">
        <v>1</v>
      </c>
      <c r="K260">
        <v>3800</v>
      </c>
      <c r="L260">
        <v>3800</v>
      </c>
    </row>
    <row r="261" spans="1:12" x14ac:dyDescent="0.3">
      <c r="A261">
        <v>10260</v>
      </c>
      <c r="B261" s="2">
        <v>45859</v>
      </c>
      <c r="C261" t="s">
        <v>191</v>
      </c>
      <c r="D261" t="s">
        <v>192</v>
      </c>
      <c r="E261" t="s">
        <v>27</v>
      </c>
      <c r="F261" t="s">
        <v>28</v>
      </c>
      <c r="G261" t="s">
        <v>16</v>
      </c>
      <c r="H261" t="s">
        <v>17</v>
      </c>
      <c r="I261" t="s">
        <v>18</v>
      </c>
      <c r="J261">
        <v>1</v>
      </c>
      <c r="K261">
        <v>11000</v>
      </c>
      <c r="L261">
        <v>11000</v>
      </c>
    </row>
    <row r="262" spans="1:12" x14ac:dyDescent="0.3">
      <c r="A262">
        <v>10261</v>
      </c>
      <c r="B262" s="2">
        <v>45755</v>
      </c>
      <c r="C262" t="s">
        <v>107</v>
      </c>
      <c r="D262" t="s">
        <v>108</v>
      </c>
      <c r="E262" t="s">
        <v>74</v>
      </c>
      <c r="F262" t="s">
        <v>28</v>
      </c>
      <c r="G262" t="s">
        <v>109</v>
      </c>
      <c r="H262" t="s">
        <v>110</v>
      </c>
      <c r="I262" t="s">
        <v>18</v>
      </c>
      <c r="J262">
        <v>1</v>
      </c>
      <c r="K262">
        <v>5000</v>
      </c>
      <c r="L262">
        <v>5000</v>
      </c>
    </row>
    <row r="263" spans="1:12" x14ac:dyDescent="0.3">
      <c r="A263">
        <v>10262</v>
      </c>
      <c r="B263" s="2">
        <v>45717</v>
      </c>
      <c r="C263" t="s">
        <v>142</v>
      </c>
      <c r="D263" t="s">
        <v>143</v>
      </c>
      <c r="E263" t="s">
        <v>14</v>
      </c>
      <c r="F263" t="s">
        <v>15</v>
      </c>
      <c r="G263" t="s">
        <v>52</v>
      </c>
      <c r="H263" t="s">
        <v>53</v>
      </c>
      <c r="I263" t="s">
        <v>24</v>
      </c>
      <c r="J263">
        <v>1</v>
      </c>
      <c r="K263">
        <v>3500</v>
      </c>
      <c r="L263">
        <v>3500</v>
      </c>
    </row>
    <row r="264" spans="1:12" x14ac:dyDescent="0.3">
      <c r="A264">
        <v>10263</v>
      </c>
      <c r="B264" s="2">
        <v>45983</v>
      </c>
      <c r="C264" t="s">
        <v>138</v>
      </c>
      <c r="D264" t="s">
        <v>139</v>
      </c>
      <c r="E264" t="s">
        <v>79</v>
      </c>
      <c r="F264" t="s">
        <v>34</v>
      </c>
      <c r="G264" t="s">
        <v>140</v>
      </c>
      <c r="H264" t="s">
        <v>141</v>
      </c>
      <c r="I264" t="s">
        <v>18</v>
      </c>
      <c r="J264">
        <v>1</v>
      </c>
      <c r="K264">
        <v>3000</v>
      </c>
      <c r="L264">
        <v>3000</v>
      </c>
    </row>
    <row r="265" spans="1:12" x14ac:dyDescent="0.3">
      <c r="A265">
        <v>10264</v>
      </c>
      <c r="B265" s="2">
        <v>45778</v>
      </c>
      <c r="C265" t="s">
        <v>62</v>
      </c>
      <c r="D265" t="s">
        <v>63</v>
      </c>
      <c r="E265" t="s">
        <v>64</v>
      </c>
      <c r="F265" t="s">
        <v>46</v>
      </c>
      <c r="G265" t="s">
        <v>41</v>
      </c>
      <c r="H265" t="s">
        <v>42</v>
      </c>
      <c r="I265" t="s">
        <v>37</v>
      </c>
      <c r="J265">
        <v>1</v>
      </c>
      <c r="K265">
        <v>30000</v>
      </c>
      <c r="L265">
        <v>30000</v>
      </c>
    </row>
    <row r="266" spans="1:12" x14ac:dyDescent="0.3">
      <c r="A266">
        <v>10265</v>
      </c>
      <c r="B266" s="2">
        <v>45691</v>
      </c>
      <c r="C266" t="s">
        <v>105</v>
      </c>
      <c r="D266" t="s">
        <v>106</v>
      </c>
      <c r="E266" t="s">
        <v>45</v>
      </c>
      <c r="F266" t="s">
        <v>46</v>
      </c>
      <c r="G266" t="s">
        <v>41</v>
      </c>
      <c r="H266" t="s">
        <v>42</v>
      </c>
      <c r="I266" t="s">
        <v>37</v>
      </c>
      <c r="J266">
        <v>2</v>
      </c>
      <c r="K266">
        <v>30000</v>
      </c>
      <c r="L266">
        <v>60000</v>
      </c>
    </row>
    <row r="267" spans="1:12" x14ac:dyDescent="0.3">
      <c r="A267">
        <v>10266</v>
      </c>
      <c r="B267" s="2">
        <v>45869</v>
      </c>
      <c r="C267" t="s">
        <v>82</v>
      </c>
      <c r="D267" t="s">
        <v>83</v>
      </c>
      <c r="E267" t="s">
        <v>84</v>
      </c>
      <c r="F267" t="s">
        <v>46</v>
      </c>
      <c r="G267" t="s">
        <v>89</v>
      </c>
      <c r="H267" t="s">
        <v>90</v>
      </c>
      <c r="I267" t="s">
        <v>18</v>
      </c>
      <c r="J267">
        <v>1</v>
      </c>
      <c r="K267">
        <v>4200</v>
      </c>
      <c r="L267">
        <v>4200</v>
      </c>
    </row>
    <row r="268" spans="1:12" x14ac:dyDescent="0.3">
      <c r="A268">
        <v>10267</v>
      </c>
      <c r="B268" s="2">
        <v>45941</v>
      </c>
      <c r="C268" t="s">
        <v>12</v>
      </c>
      <c r="D268" t="s">
        <v>13</v>
      </c>
      <c r="E268" t="s">
        <v>14</v>
      </c>
      <c r="F268" t="s">
        <v>15</v>
      </c>
      <c r="G268" t="s">
        <v>75</v>
      </c>
      <c r="H268" t="s">
        <v>76</v>
      </c>
      <c r="I268" t="s">
        <v>49</v>
      </c>
      <c r="J268">
        <v>3</v>
      </c>
      <c r="K268">
        <v>3000</v>
      </c>
      <c r="L268">
        <v>9000</v>
      </c>
    </row>
    <row r="269" spans="1:12" x14ac:dyDescent="0.3">
      <c r="A269">
        <v>10268</v>
      </c>
      <c r="B269" s="2">
        <v>45702</v>
      </c>
      <c r="C269" t="s">
        <v>50</v>
      </c>
      <c r="D269" t="s">
        <v>51</v>
      </c>
      <c r="E269" t="s">
        <v>14</v>
      </c>
      <c r="F269" t="s">
        <v>15</v>
      </c>
      <c r="G269" t="s">
        <v>103</v>
      </c>
      <c r="H269" t="s">
        <v>104</v>
      </c>
      <c r="I269" t="s">
        <v>37</v>
      </c>
      <c r="J269">
        <v>1</v>
      </c>
      <c r="K269">
        <v>28000</v>
      </c>
      <c r="L269">
        <v>28000</v>
      </c>
    </row>
    <row r="270" spans="1:12" x14ac:dyDescent="0.3">
      <c r="A270">
        <v>10269</v>
      </c>
      <c r="B270" s="2">
        <v>45708</v>
      </c>
      <c r="C270" t="s">
        <v>133</v>
      </c>
      <c r="D270" t="s">
        <v>134</v>
      </c>
      <c r="E270" t="s">
        <v>33</v>
      </c>
      <c r="F270" t="s">
        <v>34</v>
      </c>
      <c r="G270" t="s">
        <v>89</v>
      </c>
      <c r="H270" t="s">
        <v>90</v>
      </c>
      <c r="I270" t="s">
        <v>18</v>
      </c>
      <c r="J270">
        <v>3</v>
      </c>
      <c r="K270">
        <v>4200</v>
      </c>
      <c r="L270">
        <v>12600</v>
      </c>
    </row>
    <row r="271" spans="1:12" x14ac:dyDescent="0.3">
      <c r="A271">
        <v>10270</v>
      </c>
      <c r="B271" s="2">
        <v>45725</v>
      </c>
      <c r="C271" t="s">
        <v>226</v>
      </c>
      <c r="D271" t="s">
        <v>227</v>
      </c>
      <c r="E271" t="s">
        <v>79</v>
      </c>
      <c r="F271" t="s">
        <v>34</v>
      </c>
      <c r="G271" t="s">
        <v>52</v>
      </c>
      <c r="H271" t="s">
        <v>53</v>
      </c>
      <c r="I271" t="s">
        <v>24</v>
      </c>
      <c r="J271">
        <v>1</v>
      </c>
      <c r="K271">
        <v>3500</v>
      </c>
      <c r="L271">
        <v>3500</v>
      </c>
    </row>
    <row r="272" spans="1:12" x14ac:dyDescent="0.3">
      <c r="A272">
        <v>10271</v>
      </c>
      <c r="B272" s="2">
        <v>45690</v>
      </c>
      <c r="C272" t="s">
        <v>43</v>
      </c>
      <c r="D272" t="s">
        <v>44</v>
      </c>
      <c r="E272" t="s">
        <v>45</v>
      </c>
      <c r="F272" t="s">
        <v>46</v>
      </c>
      <c r="G272" t="s">
        <v>109</v>
      </c>
      <c r="H272" t="s">
        <v>110</v>
      </c>
      <c r="I272" t="s">
        <v>18</v>
      </c>
      <c r="J272">
        <v>1</v>
      </c>
      <c r="K272">
        <v>5000</v>
      </c>
      <c r="L272">
        <v>5000</v>
      </c>
    </row>
    <row r="273" spans="1:12" x14ac:dyDescent="0.3">
      <c r="A273">
        <v>10272</v>
      </c>
      <c r="B273" s="2">
        <v>45708</v>
      </c>
      <c r="C273" t="s">
        <v>171</v>
      </c>
      <c r="D273" t="s">
        <v>172</v>
      </c>
      <c r="E273" t="s">
        <v>45</v>
      </c>
      <c r="F273" t="s">
        <v>46</v>
      </c>
      <c r="G273" t="s">
        <v>16</v>
      </c>
      <c r="H273" t="s">
        <v>17</v>
      </c>
      <c r="I273" t="s">
        <v>18</v>
      </c>
      <c r="J273">
        <v>5</v>
      </c>
      <c r="K273">
        <v>11000</v>
      </c>
      <c r="L273">
        <v>55000</v>
      </c>
    </row>
    <row r="274" spans="1:12" x14ac:dyDescent="0.3">
      <c r="A274">
        <v>10273</v>
      </c>
      <c r="B274" s="2">
        <v>45693</v>
      </c>
      <c r="C274" t="s">
        <v>72</v>
      </c>
      <c r="D274" t="s">
        <v>73</v>
      </c>
      <c r="E274" t="s">
        <v>74</v>
      </c>
      <c r="F274" t="s">
        <v>28</v>
      </c>
      <c r="G274" t="s">
        <v>109</v>
      </c>
      <c r="H274" t="s">
        <v>110</v>
      </c>
      <c r="I274" t="s">
        <v>18</v>
      </c>
      <c r="J274">
        <v>1</v>
      </c>
      <c r="K274">
        <v>5000</v>
      </c>
      <c r="L274">
        <v>5000</v>
      </c>
    </row>
    <row r="275" spans="1:12" x14ac:dyDescent="0.3">
      <c r="A275">
        <v>10274</v>
      </c>
      <c r="B275" s="2">
        <v>45713</v>
      </c>
      <c r="C275" t="s">
        <v>142</v>
      </c>
      <c r="D275" t="s">
        <v>143</v>
      </c>
      <c r="E275" t="s">
        <v>14</v>
      </c>
      <c r="F275" t="s">
        <v>15</v>
      </c>
      <c r="G275" t="s">
        <v>96</v>
      </c>
      <c r="H275" t="s">
        <v>97</v>
      </c>
      <c r="I275" t="s">
        <v>37</v>
      </c>
      <c r="J275">
        <v>1</v>
      </c>
      <c r="K275">
        <v>18000</v>
      </c>
      <c r="L275">
        <v>18000</v>
      </c>
    </row>
    <row r="276" spans="1:12" x14ac:dyDescent="0.3">
      <c r="A276">
        <v>10275</v>
      </c>
      <c r="B276" s="2">
        <v>45966</v>
      </c>
      <c r="C276" t="s">
        <v>133</v>
      </c>
      <c r="D276" t="s">
        <v>134</v>
      </c>
      <c r="E276" t="s">
        <v>33</v>
      </c>
      <c r="F276" t="s">
        <v>34</v>
      </c>
      <c r="G276" t="s">
        <v>167</v>
      </c>
      <c r="H276" t="s">
        <v>168</v>
      </c>
      <c r="I276" t="s">
        <v>49</v>
      </c>
      <c r="J276">
        <v>2</v>
      </c>
      <c r="K276">
        <v>3800</v>
      </c>
      <c r="L276">
        <v>7600</v>
      </c>
    </row>
    <row r="277" spans="1:12" x14ac:dyDescent="0.3">
      <c r="A277">
        <v>10276</v>
      </c>
      <c r="B277" s="2">
        <v>45880</v>
      </c>
      <c r="C277" t="s">
        <v>181</v>
      </c>
      <c r="D277" t="s">
        <v>182</v>
      </c>
      <c r="E277" t="s">
        <v>21</v>
      </c>
      <c r="F277" t="s">
        <v>15</v>
      </c>
      <c r="G277" t="s">
        <v>163</v>
      </c>
      <c r="H277" t="s">
        <v>164</v>
      </c>
      <c r="I277" t="s">
        <v>49</v>
      </c>
      <c r="J277">
        <v>2</v>
      </c>
      <c r="K277">
        <v>4200</v>
      </c>
      <c r="L277">
        <v>8400</v>
      </c>
    </row>
    <row r="278" spans="1:12" x14ac:dyDescent="0.3">
      <c r="A278">
        <v>10277</v>
      </c>
      <c r="B278" s="2">
        <v>45696</v>
      </c>
      <c r="C278" t="s">
        <v>43</v>
      </c>
      <c r="D278" t="s">
        <v>44</v>
      </c>
      <c r="E278" t="s">
        <v>45</v>
      </c>
      <c r="F278" t="s">
        <v>46</v>
      </c>
      <c r="G278" t="s">
        <v>70</v>
      </c>
      <c r="H278" t="s">
        <v>71</v>
      </c>
      <c r="I278" t="s">
        <v>37</v>
      </c>
      <c r="J278">
        <v>1</v>
      </c>
      <c r="K278">
        <v>2200</v>
      </c>
      <c r="L278">
        <v>2200</v>
      </c>
    </row>
    <row r="279" spans="1:12" x14ac:dyDescent="0.3">
      <c r="A279">
        <v>10278</v>
      </c>
      <c r="B279" s="2">
        <v>45974</v>
      </c>
      <c r="C279" t="s">
        <v>123</v>
      </c>
      <c r="D279" t="s">
        <v>124</v>
      </c>
      <c r="E279" t="s">
        <v>69</v>
      </c>
      <c r="F279" t="s">
        <v>28</v>
      </c>
      <c r="G279" t="s">
        <v>29</v>
      </c>
      <c r="H279" t="s">
        <v>30</v>
      </c>
      <c r="I279" t="s">
        <v>18</v>
      </c>
      <c r="J279">
        <v>1</v>
      </c>
      <c r="K279">
        <v>15000</v>
      </c>
      <c r="L279">
        <v>15000</v>
      </c>
    </row>
    <row r="280" spans="1:12" x14ac:dyDescent="0.3">
      <c r="A280">
        <v>10279</v>
      </c>
      <c r="B280" s="2">
        <v>45954</v>
      </c>
      <c r="C280" t="s">
        <v>212</v>
      </c>
      <c r="D280" t="s">
        <v>213</v>
      </c>
      <c r="E280" t="s">
        <v>69</v>
      </c>
      <c r="F280" t="s">
        <v>28</v>
      </c>
      <c r="G280" t="s">
        <v>140</v>
      </c>
      <c r="H280" t="s">
        <v>141</v>
      </c>
      <c r="I280" t="s">
        <v>18</v>
      </c>
      <c r="J280">
        <v>1</v>
      </c>
      <c r="K280">
        <v>3000</v>
      </c>
      <c r="L280">
        <v>3000</v>
      </c>
    </row>
    <row r="281" spans="1:12" x14ac:dyDescent="0.3">
      <c r="A281">
        <v>10280</v>
      </c>
      <c r="B281" s="2">
        <v>45750</v>
      </c>
      <c r="C281" t="s">
        <v>222</v>
      </c>
      <c r="D281" t="s">
        <v>223</v>
      </c>
      <c r="E281" t="s">
        <v>21</v>
      </c>
      <c r="F281" t="s">
        <v>15</v>
      </c>
      <c r="G281" t="s">
        <v>140</v>
      </c>
      <c r="H281" t="s">
        <v>141</v>
      </c>
      <c r="I281" t="s">
        <v>18</v>
      </c>
      <c r="J281">
        <v>2</v>
      </c>
      <c r="K281">
        <v>3000</v>
      </c>
      <c r="L281">
        <v>6000</v>
      </c>
    </row>
    <row r="282" spans="1:12" x14ac:dyDescent="0.3">
      <c r="A282">
        <v>10281</v>
      </c>
      <c r="B282" s="2">
        <v>45786</v>
      </c>
      <c r="C282" t="s">
        <v>228</v>
      </c>
      <c r="D282" t="s">
        <v>229</v>
      </c>
      <c r="E282" t="s">
        <v>84</v>
      </c>
      <c r="F282" t="s">
        <v>46</v>
      </c>
      <c r="G282" t="s">
        <v>60</v>
      </c>
      <c r="H282" t="s">
        <v>61</v>
      </c>
      <c r="I282" t="s">
        <v>18</v>
      </c>
      <c r="J282">
        <v>2</v>
      </c>
      <c r="K282">
        <v>2200</v>
      </c>
      <c r="L282">
        <v>4400</v>
      </c>
    </row>
    <row r="283" spans="1:12" x14ac:dyDescent="0.3">
      <c r="A283">
        <v>10282</v>
      </c>
      <c r="B283" s="2">
        <v>45791</v>
      </c>
      <c r="C283" t="s">
        <v>93</v>
      </c>
      <c r="D283" t="s">
        <v>94</v>
      </c>
      <c r="E283" t="s">
        <v>95</v>
      </c>
      <c r="F283" t="s">
        <v>15</v>
      </c>
      <c r="G283" t="s">
        <v>121</v>
      </c>
      <c r="H283" t="s">
        <v>122</v>
      </c>
      <c r="I283" t="s">
        <v>49</v>
      </c>
      <c r="J283">
        <v>1</v>
      </c>
      <c r="K283">
        <v>4800</v>
      </c>
      <c r="L283">
        <v>4800</v>
      </c>
    </row>
    <row r="284" spans="1:12" x14ac:dyDescent="0.3">
      <c r="A284">
        <v>10283</v>
      </c>
      <c r="B284" s="2">
        <v>45884</v>
      </c>
      <c r="C284" t="s">
        <v>117</v>
      </c>
      <c r="D284" t="s">
        <v>118</v>
      </c>
      <c r="E284" t="s">
        <v>95</v>
      </c>
      <c r="F284" t="s">
        <v>15</v>
      </c>
      <c r="G284" t="s">
        <v>121</v>
      </c>
      <c r="H284" t="s">
        <v>122</v>
      </c>
      <c r="I284" t="s">
        <v>49</v>
      </c>
      <c r="J284">
        <v>1</v>
      </c>
      <c r="K284">
        <v>4800</v>
      </c>
      <c r="L284">
        <v>4800</v>
      </c>
    </row>
    <row r="285" spans="1:12" x14ac:dyDescent="0.3">
      <c r="A285">
        <v>10284</v>
      </c>
      <c r="B285" s="2">
        <v>45793</v>
      </c>
      <c r="C285" t="s">
        <v>107</v>
      </c>
      <c r="D285" t="s">
        <v>108</v>
      </c>
      <c r="E285" t="s">
        <v>74</v>
      </c>
      <c r="F285" t="s">
        <v>28</v>
      </c>
      <c r="G285" t="s">
        <v>131</v>
      </c>
      <c r="H285" t="s">
        <v>132</v>
      </c>
      <c r="I285" t="s">
        <v>37</v>
      </c>
      <c r="J285">
        <v>1</v>
      </c>
      <c r="K285">
        <v>4500</v>
      </c>
      <c r="L285">
        <v>4500</v>
      </c>
    </row>
    <row r="286" spans="1:12" x14ac:dyDescent="0.3">
      <c r="A286">
        <v>10285</v>
      </c>
      <c r="B286" s="2">
        <v>45759</v>
      </c>
      <c r="C286" t="s">
        <v>230</v>
      </c>
      <c r="D286" t="s">
        <v>231</v>
      </c>
      <c r="E286" t="s">
        <v>84</v>
      </c>
      <c r="F286" t="s">
        <v>46</v>
      </c>
      <c r="G286" t="s">
        <v>96</v>
      </c>
      <c r="H286" t="s">
        <v>97</v>
      </c>
      <c r="I286" t="s">
        <v>37</v>
      </c>
      <c r="J286">
        <v>2</v>
      </c>
      <c r="K286">
        <v>18000</v>
      </c>
      <c r="L286">
        <v>36000</v>
      </c>
    </row>
    <row r="287" spans="1:12" x14ac:dyDescent="0.3">
      <c r="A287">
        <v>10286</v>
      </c>
      <c r="B287" s="2">
        <v>45984</v>
      </c>
      <c r="C287" t="s">
        <v>50</v>
      </c>
      <c r="D287" t="s">
        <v>51</v>
      </c>
      <c r="E287" t="s">
        <v>14</v>
      </c>
      <c r="F287" t="s">
        <v>15</v>
      </c>
      <c r="G287" t="s">
        <v>131</v>
      </c>
      <c r="H287" t="s">
        <v>132</v>
      </c>
      <c r="I287" t="s">
        <v>37</v>
      </c>
      <c r="J287">
        <v>1</v>
      </c>
      <c r="K287">
        <v>4500</v>
      </c>
      <c r="L287">
        <v>4500</v>
      </c>
    </row>
    <row r="288" spans="1:12" x14ac:dyDescent="0.3">
      <c r="A288">
        <v>10287</v>
      </c>
      <c r="B288" s="2">
        <v>45971</v>
      </c>
      <c r="C288" t="s">
        <v>50</v>
      </c>
      <c r="D288" t="s">
        <v>51</v>
      </c>
      <c r="E288" t="s">
        <v>14</v>
      </c>
      <c r="F288" t="s">
        <v>15</v>
      </c>
      <c r="G288" t="s">
        <v>152</v>
      </c>
      <c r="H288" t="s">
        <v>153</v>
      </c>
      <c r="I288" t="s">
        <v>49</v>
      </c>
      <c r="J288">
        <v>1</v>
      </c>
      <c r="K288">
        <v>3200</v>
      </c>
      <c r="L288">
        <v>3200</v>
      </c>
    </row>
    <row r="289" spans="1:12" x14ac:dyDescent="0.3">
      <c r="A289">
        <v>10288</v>
      </c>
      <c r="B289" s="2">
        <v>45848</v>
      </c>
      <c r="C289" t="s">
        <v>206</v>
      </c>
      <c r="D289" t="s">
        <v>207</v>
      </c>
      <c r="E289" t="s">
        <v>160</v>
      </c>
      <c r="F289" t="s">
        <v>34</v>
      </c>
      <c r="G289" t="s">
        <v>41</v>
      </c>
      <c r="H289" t="s">
        <v>42</v>
      </c>
      <c r="I289" t="s">
        <v>37</v>
      </c>
      <c r="J289">
        <v>3</v>
      </c>
      <c r="K289">
        <v>30000</v>
      </c>
      <c r="L289">
        <v>90000</v>
      </c>
    </row>
    <row r="290" spans="1:12" x14ac:dyDescent="0.3">
      <c r="A290">
        <v>10289</v>
      </c>
      <c r="B290" s="2">
        <v>45889</v>
      </c>
      <c r="C290" t="s">
        <v>193</v>
      </c>
      <c r="D290" t="s">
        <v>194</v>
      </c>
      <c r="E290" t="s">
        <v>102</v>
      </c>
      <c r="F290" t="s">
        <v>34</v>
      </c>
      <c r="G290" t="s">
        <v>121</v>
      </c>
      <c r="H290" t="s">
        <v>122</v>
      </c>
      <c r="I290" t="s">
        <v>49</v>
      </c>
      <c r="J290">
        <v>2</v>
      </c>
      <c r="K290">
        <v>4800</v>
      </c>
      <c r="L290">
        <v>9600</v>
      </c>
    </row>
    <row r="291" spans="1:12" x14ac:dyDescent="0.3">
      <c r="A291">
        <v>10290</v>
      </c>
      <c r="B291" s="2">
        <v>45840</v>
      </c>
      <c r="C291" t="s">
        <v>127</v>
      </c>
      <c r="D291" t="s">
        <v>128</v>
      </c>
      <c r="E291" t="s">
        <v>102</v>
      </c>
      <c r="F291" t="s">
        <v>34</v>
      </c>
      <c r="G291" t="s">
        <v>70</v>
      </c>
      <c r="H291" t="s">
        <v>71</v>
      </c>
      <c r="I291" t="s">
        <v>37</v>
      </c>
      <c r="J291">
        <v>1</v>
      </c>
      <c r="K291">
        <v>2200</v>
      </c>
      <c r="L291">
        <v>2200</v>
      </c>
    </row>
    <row r="292" spans="1:12" x14ac:dyDescent="0.3">
      <c r="A292">
        <v>10291</v>
      </c>
      <c r="B292" s="2">
        <v>45903</v>
      </c>
      <c r="C292" t="s">
        <v>232</v>
      </c>
      <c r="D292" t="s">
        <v>233</v>
      </c>
      <c r="E292" t="s">
        <v>79</v>
      </c>
      <c r="F292" t="s">
        <v>34</v>
      </c>
      <c r="G292" t="s">
        <v>96</v>
      </c>
      <c r="H292" t="s">
        <v>97</v>
      </c>
      <c r="I292" t="s">
        <v>37</v>
      </c>
      <c r="J292">
        <v>1</v>
      </c>
      <c r="K292">
        <v>18000</v>
      </c>
      <c r="L292">
        <v>18000</v>
      </c>
    </row>
    <row r="293" spans="1:12" x14ac:dyDescent="0.3">
      <c r="A293">
        <v>10292</v>
      </c>
      <c r="B293" s="2">
        <v>45669</v>
      </c>
      <c r="C293" t="s">
        <v>199</v>
      </c>
      <c r="D293" t="s">
        <v>200</v>
      </c>
      <c r="E293" t="s">
        <v>201</v>
      </c>
      <c r="F293" t="s">
        <v>28</v>
      </c>
      <c r="G293" t="s">
        <v>113</v>
      </c>
      <c r="H293" t="s">
        <v>114</v>
      </c>
      <c r="I293" t="s">
        <v>37</v>
      </c>
      <c r="J293">
        <v>3</v>
      </c>
      <c r="K293">
        <v>52000</v>
      </c>
      <c r="L293">
        <v>156000</v>
      </c>
    </row>
    <row r="294" spans="1:12" x14ac:dyDescent="0.3">
      <c r="A294">
        <v>10293</v>
      </c>
      <c r="B294" s="2">
        <v>45685</v>
      </c>
      <c r="C294" t="s">
        <v>93</v>
      </c>
      <c r="D294" t="s">
        <v>94</v>
      </c>
      <c r="E294" t="s">
        <v>95</v>
      </c>
      <c r="F294" t="s">
        <v>15</v>
      </c>
      <c r="G294" t="s">
        <v>52</v>
      </c>
      <c r="H294" t="s">
        <v>53</v>
      </c>
      <c r="I294" t="s">
        <v>24</v>
      </c>
      <c r="J294">
        <v>1</v>
      </c>
      <c r="K294">
        <v>3500</v>
      </c>
      <c r="L294">
        <v>3500</v>
      </c>
    </row>
    <row r="295" spans="1:12" x14ac:dyDescent="0.3">
      <c r="A295">
        <v>10294</v>
      </c>
      <c r="B295" s="2">
        <v>45811</v>
      </c>
      <c r="C295" t="s">
        <v>50</v>
      </c>
      <c r="D295" t="s">
        <v>51</v>
      </c>
      <c r="E295" t="s">
        <v>14</v>
      </c>
      <c r="F295" t="s">
        <v>15</v>
      </c>
      <c r="G295" t="s">
        <v>96</v>
      </c>
      <c r="H295" t="s">
        <v>97</v>
      </c>
      <c r="I295" t="s">
        <v>37</v>
      </c>
      <c r="J295">
        <v>3</v>
      </c>
      <c r="K295">
        <v>18000</v>
      </c>
      <c r="L295">
        <v>54000</v>
      </c>
    </row>
    <row r="296" spans="1:12" x14ac:dyDescent="0.3">
      <c r="A296">
        <v>10295</v>
      </c>
      <c r="B296" s="2">
        <v>45763</v>
      </c>
      <c r="C296" t="s">
        <v>19</v>
      </c>
      <c r="D296" t="s">
        <v>20</v>
      </c>
      <c r="E296" t="s">
        <v>21</v>
      </c>
      <c r="F296" t="s">
        <v>15</v>
      </c>
      <c r="G296" t="s">
        <v>96</v>
      </c>
      <c r="H296" t="s">
        <v>97</v>
      </c>
      <c r="I296" t="s">
        <v>37</v>
      </c>
      <c r="J296">
        <v>1</v>
      </c>
      <c r="K296">
        <v>18000</v>
      </c>
      <c r="L296">
        <v>18000</v>
      </c>
    </row>
    <row r="297" spans="1:12" x14ac:dyDescent="0.3">
      <c r="A297">
        <v>10296</v>
      </c>
      <c r="B297" s="2">
        <v>46020</v>
      </c>
      <c r="C297" t="s">
        <v>156</v>
      </c>
      <c r="D297" t="s">
        <v>157</v>
      </c>
      <c r="E297" t="s">
        <v>95</v>
      </c>
      <c r="F297" t="s">
        <v>15</v>
      </c>
      <c r="G297" t="s">
        <v>103</v>
      </c>
      <c r="H297" t="s">
        <v>104</v>
      </c>
      <c r="I297" t="s">
        <v>37</v>
      </c>
      <c r="J297">
        <v>1</v>
      </c>
      <c r="K297">
        <v>28000</v>
      </c>
      <c r="L297">
        <v>28000</v>
      </c>
    </row>
    <row r="298" spans="1:12" x14ac:dyDescent="0.3">
      <c r="A298">
        <v>10297</v>
      </c>
      <c r="B298" s="2">
        <v>45891</v>
      </c>
      <c r="C298" t="s">
        <v>230</v>
      </c>
      <c r="D298" t="s">
        <v>231</v>
      </c>
      <c r="E298" t="s">
        <v>84</v>
      </c>
      <c r="F298" t="s">
        <v>46</v>
      </c>
      <c r="G298" t="s">
        <v>152</v>
      </c>
      <c r="H298" t="s">
        <v>153</v>
      </c>
      <c r="I298" t="s">
        <v>49</v>
      </c>
      <c r="J298">
        <v>1</v>
      </c>
      <c r="K298">
        <v>3200</v>
      </c>
      <c r="L298">
        <v>3200</v>
      </c>
    </row>
    <row r="299" spans="1:12" x14ac:dyDescent="0.3">
      <c r="A299">
        <v>10298</v>
      </c>
      <c r="B299" s="2">
        <v>45974</v>
      </c>
      <c r="C299" t="s">
        <v>204</v>
      </c>
      <c r="D299" t="s">
        <v>205</v>
      </c>
      <c r="E299" t="s">
        <v>201</v>
      </c>
      <c r="F299" t="s">
        <v>28</v>
      </c>
      <c r="G299" t="s">
        <v>56</v>
      </c>
      <c r="H299" t="s">
        <v>57</v>
      </c>
      <c r="I299" t="s">
        <v>18</v>
      </c>
      <c r="J299">
        <v>1</v>
      </c>
      <c r="K299">
        <v>9000</v>
      </c>
      <c r="L299">
        <v>9000</v>
      </c>
    </row>
    <row r="300" spans="1:12" x14ac:dyDescent="0.3">
      <c r="A300">
        <v>10299</v>
      </c>
      <c r="B300" s="2">
        <v>45775</v>
      </c>
      <c r="C300" t="s">
        <v>138</v>
      </c>
      <c r="D300" t="s">
        <v>139</v>
      </c>
      <c r="E300" t="s">
        <v>79</v>
      </c>
      <c r="F300" t="s">
        <v>34</v>
      </c>
      <c r="G300" t="s">
        <v>22</v>
      </c>
      <c r="H300" t="s">
        <v>23</v>
      </c>
      <c r="I300" t="s">
        <v>24</v>
      </c>
      <c r="J300">
        <v>1</v>
      </c>
      <c r="K300">
        <v>2400</v>
      </c>
      <c r="L300">
        <v>2400</v>
      </c>
    </row>
    <row r="301" spans="1:12" x14ac:dyDescent="0.3">
      <c r="A301">
        <v>10300</v>
      </c>
      <c r="B301" s="2">
        <v>45694</v>
      </c>
      <c r="C301" t="s">
        <v>54</v>
      </c>
      <c r="D301" t="s">
        <v>55</v>
      </c>
      <c r="E301" t="s">
        <v>33</v>
      </c>
      <c r="F301" t="s">
        <v>34</v>
      </c>
      <c r="G301" t="s">
        <v>187</v>
      </c>
      <c r="H301" t="s">
        <v>188</v>
      </c>
      <c r="I301" t="s">
        <v>24</v>
      </c>
      <c r="J301">
        <v>5</v>
      </c>
      <c r="K301">
        <v>5500</v>
      </c>
      <c r="L301">
        <v>27500</v>
      </c>
    </row>
    <row r="302" spans="1:12" x14ac:dyDescent="0.3">
      <c r="A302">
        <v>10301</v>
      </c>
      <c r="B302" s="2">
        <v>45676</v>
      </c>
      <c r="C302" t="s">
        <v>230</v>
      </c>
      <c r="D302" t="s">
        <v>231</v>
      </c>
      <c r="E302" t="s">
        <v>84</v>
      </c>
      <c r="F302" t="s">
        <v>46</v>
      </c>
      <c r="G302" t="s">
        <v>65</v>
      </c>
      <c r="H302" t="s">
        <v>66</v>
      </c>
      <c r="I302" t="s">
        <v>49</v>
      </c>
      <c r="J302">
        <v>1</v>
      </c>
      <c r="K302">
        <v>2400</v>
      </c>
      <c r="L302">
        <v>2400</v>
      </c>
    </row>
    <row r="303" spans="1:12" x14ac:dyDescent="0.3">
      <c r="A303">
        <v>10302</v>
      </c>
      <c r="B303" s="2">
        <v>45670</v>
      </c>
      <c r="C303" t="s">
        <v>185</v>
      </c>
      <c r="D303" t="s">
        <v>186</v>
      </c>
      <c r="E303" t="s">
        <v>14</v>
      </c>
      <c r="F303" t="s">
        <v>15</v>
      </c>
      <c r="G303" t="s">
        <v>29</v>
      </c>
      <c r="H303" t="s">
        <v>30</v>
      </c>
      <c r="I303" t="s">
        <v>18</v>
      </c>
      <c r="J303">
        <v>2</v>
      </c>
      <c r="K303">
        <v>15000</v>
      </c>
      <c r="L303">
        <v>30000</v>
      </c>
    </row>
    <row r="304" spans="1:12" x14ac:dyDescent="0.3">
      <c r="A304">
        <v>10303</v>
      </c>
      <c r="B304" s="2">
        <v>45847</v>
      </c>
      <c r="C304" t="s">
        <v>234</v>
      </c>
      <c r="D304" t="s">
        <v>235</v>
      </c>
      <c r="E304" t="s">
        <v>137</v>
      </c>
      <c r="F304" t="s">
        <v>46</v>
      </c>
      <c r="G304" t="s">
        <v>179</v>
      </c>
      <c r="H304" t="s">
        <v>180</v>
      </c>
      <c r="I304" t="s">
        <v>18</v>
      </c>
      <c r="J304">
        <v>2</v>
      </c>
      <c r="K304">
        <v>6500</v>
      </c>
      <c r="L304">
        <v>13000</v>
      </c>
    </row>
    <row r="305" spans="1:12" x14ac:dyDescent="0.3">
      <c r="A305">
        <v>10304</v>
      </c>
      <c r="B305" s="2">
        <v>45684</v>
      </c>
      <c r="C305" t="s">
        <v>183</v>
      </c>
      <c r="D305" t="s">
        <v>184</v>
      </c>
      <c r="E305" t="s">
        <v>27</v>
      </c>
      <c r="F305" t="s">
        <v>28</v>
      </c>
      <c r="G305" t="s">
        <v>109</v>
      </c>
      <c r="H305" t="s">
        <v>110</v>
      </c>
      <c r="I305" t="s">
        <v>18</v>
      </c>
      <c r="J305">
        <v>1</v>
      </c>
      <c r="K305">
        <v>5000</v>
      </c>
      <c r="L305">
        <v>5000</v>
      </c>
    </row>
    <row r="306" spans="1:12" x14ac:dyDescent="0.3">
      <c r="A306">
        <v>10305</v>
      </c>
      <c r="B306" s="2">
        <v>45932</v>
      </c>
      <c r="C306" t="s">
        <v>133</v>
      </c>
      <c r="D306" t="s">
        <v>134</v>
      </c>
      <c r="E306" t="s">
        <v>33</v>
      </c>
      <c r="F306" t="s">
        <v>34</v>
      </c>
      <c r="G306" t="s">
        <v>152</v>
      </c>
      <c r="H306" t="s">
        <v>153</v>
      </c>
      <c r="I306" t="s">
        <v>49</v>
      </c>
      <c r="J306">
        <v>1</v>
      </c>
      <c r="K306">
        <v>3200</v>
      </c>
      <c r="L306">
        <v>3200</v>
      </c>
    </row>
    <row r="307" spans="1:12" x14ac:dyDescent="0.3">
      <c r="A307">
        <v>10306</v>
      </c>
      <c r="B307" s="2">
        <v>45890</v>
      </c>
      <c r="C307" t="s">
        <v>72</v>
      </c>
      <c r="D307" t="s">
        <v>73</v>
      </c>
      <c r="E307" t="s">
        <v>74</v>
      </c>
      <c r="F307" t="s">
        <v>28</v>
      </c>
      <c r="G307" t="s">
        <v>113</v>
      </c>
      <c r="H307" t="s">
        <v>114</v>
      </c>
      <c r="I307" t="s">
        <v>37</v>
      </c>
      <c r="J307">
        <v>4</v>
      </c>
      <c r="K307">
        <v>52000</v>
      </c>
      <c r="L307">
        <v>208000</v>
      </c>
    </row>
    <row r="308" spans="1:12" x14ac:dyDescent="0.3">
      <c r="A308">
        <v>10307</v>
      </c>
      <c r="B308" s="2">
        <v>45983</v>
      </c>
      <c r="C308" t="s">
        <v>199</v>
      </c>
      <c r="D308" t="s">
        <v>200</v>
      </c>
      <c r="E308" t="s">
        <v>201</v>
      </c>
      <c r="F308" t="s">
        <v>28</v>
      </c>
      <c r="G308" t="s">
        <v>16</v>
      </c>
      <c r="H308" t="s">
        <v>17</v>
      </c>
      <c r="I308" t="s">
        <v>18</v>
      </c>
      <c r="J308">
        <v>2</v>
      </c>
      <c r="K308">
        <v>11000</v>
      </c>
      <c r="L308">
        <v>22000</v>
      </c>
    </row>
    <row r="309" spans="1:12" x14ac:dyDescent="0.3">
      <c r="A309">
        <v>10308</v>
      </c>
      <c r="B309" s="2">
        <v>45706</v>
      </c>
      <c r="C309" t="s">
        <v>220</v>
      </c>
      <c r="D309" t="s">
        <v>221</v>
      </c>
      <c r="E309" t="s">
        <v>102</v>
      </c>
      <c r="F309" t="s">
        <v>34</v>
      </c>
      <c r="G309" t="s">
        <v>131</v>
      </c>
      <c r="H309" t="s">
        <v>132</v>
      </c>
      <c r="I309" t="s">
        <v>37</v>
      </c>
      <c r="J309">
        <v>2</v>
      </c>
      <c r="K309">
        <v>4500</v>
      </c>
      <c r="L309">
        <v>9000</v>
      </c>
    </row>
    <row r="310" spans="1:12" x14ac:dyDescent="0.3">
      <c r="A310">
        <v>10309</v>
      </c>
      <c r="B310" s="2">
        <v>45894</v>
      </c>
      <c r="C310" t="s">
        <v>212</v>
      </c>
      <c r="D310" t="s">
        <v>213</v>
      </c>
      <c r="E310" t="s">
        <v>69</v>
      </c>
      <c r="F310" t="s">
        <v>28</v>
      </c>
      <c r="G310" t="s">
        <v>96</v>
      </c>
      <c r="H310" t="s">
        <v>97</v>
      </c>
      <c r="I310" t="s">
        <v>37</v>
      </c>
      <c r="J310">
        <v>2</v>
      </c>
      <c r="K310">
        <v>18000</v>
      </c>
      <c r="L310">
        <v>36000</v>
      </c>
    </row>
    <row r="311" spans="1:12" x14ac:dyDescent="0.3">
      <c r="A311">
        <v>10310</v>
      </c>
      <c r="B311" s="2">
        <v>46011</v>
      </c>
      <c r="C311" t="s">
        <v>133</v>
      </c>
      <c r="D311" t="s">
        <v>134</v>
      </c>
      <c r="E311" t="s">
        <v>33</v>
      </c>
      <c r="F311" t="s">
        <v>34</v>
      </c>
      <c r="G311" t="s">
        <v>177</v>
      </c>
      <c r="H311" t="s">
        <v>178</v>
      </c>
      <c r="I311" t="s">
        <v>37</v>
      </c>
      <c r="J311">
        <v>1</v>
      </c>
      <c r="K311">
        <v>2500</v>
      </c>
      <c r="L311">
        <v>2500</v>
      </c>
    </row>
    <row r="312" spans="1:12" x14ac:dyDescent="0.3">
      <c r="A312">
        <v>10311</v>
      </c>
      <c r="B312" s="2">
        <v>45855</v>
      </c>
      <c r="C312" t="s">
        <v>105</v>
      </c>
      <c r="D312" t="s">
        <v>106</v>
      </c>
      <c r="E312" t="s">
        <v>45</v>
      </c>
      <c r="F312" t="s">
        <v>46</v>
      </c>
      <c r="G312" t="s">
        <v>103</v>
      </c>
      <c r="H312" t="s">
        <v>104</v>
      </c>
      <c r="I312" t="s">
        <v>37</v>
      </c>
      <c r="J312">
        <v>1</v>
      </c>
      <c r="K312">
        <v>28000</v>
      </c>
      <c r="L312">
        <v>28000</v>
      </c>
    </row>
    <row r="313" spans="1:12" x14ac:dyDescent="0.3">
      <c r="A313">
        <v>10312</v>
      </c>
      <c r="B313" s="2">
        <v>45663</v>
      </c>
      <c r="C313" t="s">
        <v>206</v>
      </c>
      <c r="D313" t="s">
        <v>207</v>
      </c>
      <c r="E313" t="s">
        <v>160</v>
      </c>
      <c r="F313" t="s">
        <v>34</v>
      </c>
      <c r="G313" t="s">
        <v>113</v>
      </c>
      <c r="H313" t="s">
        <v>114</v>
      </c>
      <c r="I313" t="s">
        <v>37</v>
      </c>
      <c r="J313">
        <v>1</v>
      </c>
      <c r="K313">
        <v>52000</v>
      </c>
      <c r="L313">
        <v>52000</v>
      </c>
    </row>
    <row r="314" spans="1:12" x14ac:dyDescent="0.3">
      <c r="A314">
        <v>10313</v>
      </c>
      <c r="B314" s="2">
        <v>45770</v>
      </c>
      <c r="C314" t="s">
        <v>82</v>
      </c>
      <c r="D314" t="s">
        <v>83</v>
      </c>
      <c r="E314" t="s">
        <v>84</v>
      </c>
      <c r="F314" t="s">
        <v>46</v>
      </c>
      <c r="G314" t="s">
        <v>96</v>
      </c>
      <c r="H314" t="s">
        <v>97</v>
      </c>
      <c r="I314" t="s">
        <v>37</v>
      </c>
      <c r="J314">
        <v>1</v>
      </c>
      <c r="K314">
        <v>18000</v>
      </c>
      <c r="L314">
        <v>18000</v>
      </c>
    </row>
    <row r="315" spans="1:12" x14ac:dyDescent="0.3">
      <c r="A315">
        <v>10314</v>
      </c>
      <c r="B315" s="2">
        <v>45945</v>
      </c>
      <c r="C315" t="s">
        <v>169</v>
      </c>
      <c r="D315" t="s">
        <v>170</v>
      </c>
      <c r="E315" t="s">
        <v>64</v>
      </c>
      <c r="F315" t="s">
        <v>46</v>
      </c>
      <c r="G315" t="s">
        <v>131</v>
      </c>
      <c r="H315" t="s">
        <v>132</v>
      </c>
      <c r="I315" t="s">
        <v>37</v>
      </c>
      <c r="J315">
        <v>1</v>
      </c>
      <c r="K315">
        <v>4500</v>
      </c>
      <c r="L315">
        <v>4500</v>
      </c>
    </row>
    <row r="316" spans="1:12" x14ac:dyDescent="0.3">
      <c r="A316">
        <v>10315</v>
      </c>
      <c r="B316" s="2">
        <v>45895</v>
      </c>
      <c r="C316" t="s">
        <v>216</v>
      </c>
      <c r="D316" t="s">
        <v>217</v>
      </c>
      <c r="E316" t="s">
        <v>21</v>
      </c>
      <c r="F316" t="s">
        <v>15</v>
      </c>
      <c r="G316" t="s">
        <v>47</v>
      </c>
      <c r="H316" t="s">
        <v>48</v>
      </c>
      <c r="I316" t="s">
        <v>49</v>
      </c>
      <c r="J316">
        <v>2</v>
      </c>
      <c r="K316">
        <v>1600</v>
      </c>
      <c r="L316">
        <v>3200</v>
      </c>
    </row>
    <row r="317" spans="1:12" x14ac:dyDescent="0.3">
      <c r="A317">
        <v>10316</v>
      </c>
      <c r="B317" s="2">
        <v>45745</v>
      </c>
      <c r="C317" t="s">
        <v>220</v>
      </c>
      <c r="D317" t="s">
        <v>221</v>
      </c>
      <c r="E317" t="s">
        <v>102</v>
      </c>
      <c r="F317" t="s">
        <v>34</v>
      </c>
      <c r="G317" t="s">
        <v>167</v>
      </c>
      <c r="H317" t="s">
        <v>168</v>
      </c>
      <c r="I317" t="s">
        <v>49</v>
      </c>
      <c r="J317">
        <v>1</v>
      </c>
      <c r="K317">
        <v>3800</v>
      </c>
      <c r="L317">
        <v>3800</v>
      </c>
    </row>
    <row r="318" spans="1:12" x14ac:dyDescent="0.3">
      <c r="A318">
        <v>10317</v>
      </c>
      <c r="B318" s="2">
        <v>45857</v>
      </c>
      <c r="C318" t="s">
        <v>226</v>
      </c>
      <c r="D318" t="s">
        <v>227</v>
      </c>
      <c r="E318" t="s">
        <v>79</v>
      </c>
      <c r="F318" t="s">
        <v>34</v>
      </c>
      <c r="G318" t="s">
        <v>47</v>
      </c>
      <c r="H318" t="s">
        <v>48</v>
      </c>
      <c r="I318" t="s">
        <v>49</v>
      </c>
      <c r="J318">
        <v>1</v>
      </c>
      <c r="K318">
        <v>1600</v>
      </c>
      <c r="L318">
        <v>1600</v>
      </c>
    </row>
    <row r="319" spans="1:12" x14ac:dyDescent="0.3">
      <c r="A319">
        <v>10318</v>
      </c>
      <c r="B319" s="2">
        <v>45754</v>
      </c>
      <c r="C319" t="s">
        <v>135</v>
      </c>
      <c r="D319" t="s">
        <v>136</v>
      </c>
      <c r="E319" t="s">
        <v>137</v>
      </c>
      <c r="F319" t="s">
        <v>46</v>
      </c>
      <c r="G319" t="s">
        <v>70</v>
      </c>
      <c r="H319" t="s">
        <v>71</v>
      </c>
      <c r="I319" t="s">
        <v>37</v>
      </c>
      <c r="J319">
        <v>2</v>
      </c>
      <c r="K319">
        <v>2200</v>
      </c>
      <c r="L319">
        <v>4400</v>
      </c>
    </row>
    <row r="320" spans="1:12" x14ac:dyDescent="0.3">
      <c r="A320">
        <v>10319</v>
      </c>
      <c r="B320" s="2">
        <v>45985</v>
      </c>
      <c r="C320" t="s">
        <v>117</v>
      </c>
      <c r="D320" t="s">
        <v>118</v>
      </c>
      <c r="E320" t="s">
        <v>95</v>
      </c>
      <c r="F320" t="s">
        <v>15</v>
      </c>
      <c r="G320" t="s">
        <v>89</v>
      </c>
      <c r="H320" t="s">
        <v>90</v>
      </c>
      <c r="I320" t="s">
        <v>18</v>
      </c>
      <c r="J320">
        <v>2</v>
      </c>
      <c r="K320">
        <v>4200</v>
      </c>
      <c r="L320">
        <v>8400</v>
      </c>
    </row>
    <row r="321" spans="1:12" x14ac:dyDescent="0.3">
      <c r="A321">
        <v>10320</v>
      </c>
      <c r="B321" s="2">
        <v>45931</v>
      </c>
      <c r="C321" t="s">
        <v>119</v>
      </c>
      <c r="D321" t="s">
        <v>120</v>
      </c>
      <c r="E321" t="s">
        <v>27</v>
      </c>
      <c r="F321" t="s">
        <v>28</v>
      </c>
      <c r="G321" t="s">
        <v>131</v>
      </c>
      <c r="H321" t="s">
        <v>132</v>
      </c>
      <c r="I321" t="s">
        <v>37</v>
      </c>
      <c r="J321">
        <v>1</v>
      </c>
      <c r="K321">
        <v>4500</v>
      </c>
      <c r="L321">
        <v>4500</v>
      </c>
    </row>
    <row r="322" spans="1:12" x14ac:dyDescent="0.3">
      <c r="A322">
        <v>10321</v>
      </c>
      <c r="B322" s="2">
        <v>45773</v>
      </c>
      <c r="C322" t="s">
        <v>226</v>
      </c>
      <c r="D322" t="s">
        <v>227</v>
      </c>
      <c r="E322" t="s">
        <v>79</v>
      </c>
      <c r="F322" t="s">
        <v>34</v>
      </c>
      <c r="G322" t="s">
        <v>167</v>
      </c>
      <c r="H322" t="s">
        <v>168</v>
      </c>
      <c r="I322" t="s">
        <v>49</v>
      </c>
      <c r="J322">
        <v>2</v>
      </c>
      <c r="K322">
        <v>3800</v>
      </c>
      <c r="L322">
        <v>7600</v>
      </c>
    </row>
    <row r="323" spans="1:12" x14ac:dyDescent="0.3">
      <c r="A323">
        <v>10322</v>
      </c>
      <c r="B323" s="2">
        <v>45814</v>
      </c>
      <c r="C323" t="s">
        <v>85</v>
      </c>
      <c r="D323" t="s">
        <v>86</v>
      </c>
      <c r="E323" t="s">
        <v>45</v>
      </c>
      <c r="F323" t="s">
        <v>46</v>
      </c>
      <c r="G323" t="s">
        <v>187</v>
      </c>
      <c r="H323" t="s">
        <v>188</v>
      </c>
      <c r="I323" t="s">
        <v>24</v>
      </c>
      <c r="J323">
        <v>1</v>
      </c>
      <c r="K323">
        <v>5500</v>
      </c>
      <c r="L323">
        <v>5500</v>
      </c>
    </row>
    <row r="324" spans="1:12" x14ac:dyDescent="0.3">
      <c r="A324">
        <v>10323</v>
      </c>
      <c r="B324" s="2">
        <v>45710</v>
      </c>
      <c r="C324" t="s">
        <v>175</v>
      </c>
      <c r="D324" t="s">
        <v>176</v>
      </c>
      <c r="E324" t="s">
        <v>84</v>
      </c>
      <c r="F324" t="s">
        <v>46</v>
      </c>
      <c r="G324" t="s">
        <v>22</v>
      </c>
      <c r="H324" t="s">
        <v>23</v>
      </c>
      <c r="I324" t="s">
        <v>24</v>
      </c>
      <c r="J324">
        <v>1</v>
      </c>
      <c r="K324">
        <v>2400</v>
      </c>
      <c r="L324">
        <v>2400</v>
      </c>
    </row>
    <row r="325" spans="1:12" x14ac:dyDescent="0.3">
      <c r="A325">
        <v>10324</v>
      </c>
      <c r="B325" s="2">
        <v>45870</v>
      </c>
      <c r="C325" t="s">
        <v>138</v>
      </c>
      <c r="D325" t="s">
        <v>139</v>
      </c>
      <c r="E325" t="s">
        <v>79</v>
      </c>
      <c r="F325" t="s">
        <v>34</v>
      </c>
      <c r="G325" t="s">
        <v>98</v>
      </c>
      <c r="H325" t="s">
        <v>99</v>
      </c>
      <c r="I325" t="s">
        <v>24</v>
      </c>
      <c r="J325">
        <v>1</v>
      </c>
      <c r="K325">
        <v>2000</v>
      </c>
      <c r="L325">
        <v>2000</v>
      </c>
    </row>
    <row r="326" spans="1:12" x14ac:dyDescent="0.3">
      <c r="A326">
        <v>10325</v>
      </c>
      <c r="B326" s="2">
        <v>46017</v>
      </c>
      <c r="C326" t="s">
        <v>50</v>
      </c>
      <c r="D326" t="s">
        <v>51</v>
      </c>
      <c r="E326" t="s">
        <v>14</v>
      </c>
      <c r="F326" t="s">
        <v>15</v>
      </c>
      <c r="G326" t="s">
        <v>131</v>
      </c>
      <c r="H326" t="s">
        <v>132</v>
      </c>
      <c r="I326" t="s">
        <v>37</v>
      </c>
      <c r="J326">
        <v>3</v>
      </c>
      <c r="K326">
        <v>4500</v>
      </c>
      <c r="L326">
        <v>13500</v>
      </c>
    </row>
    <row r="327" spans="1:12" x14ac:dyDescent="0.3">
      <c r="A327">
        <v>10326</v>
      </c>
      <c r="B327" s="2">
        <v>45880</v>
      </c>
      <c r="C327" t="s">
        <v>146</v>
      </c>
      <c r="D327" t="s">
        <v>147</v>
      </c>
      <c r="E327" t="s">
        <v>64</v>
      </c>
      <c r="F327" t="s">
        <v>46</v>
      </c>
      <c r="G327" t="s">
        <v>113</v>
      </c>
      <c r="H327" t="s">
        <v>114</v>
      </c>
      <c r="I327" t="s">
        <v>37</v>
      </c>
      <c r="J327">
        <v>1</v>
      </c>
      <c r="K327">
        <v>52000</v>
      </c>
      <c r="L327">
        <v>52000</v>
      </c>
    </row>
    <row r="328" spans="1:12" x14ac:dyDescent="0.3">
      <c r="A328">
        <v>10327</v>
      </c>
      <c r="B328" s="2">
        <v>45934</v>
      </c>
      <c r="C328" t="s">
        <v>236</v>
      </c>
      <c r="D328" t="s">
        <v>237</v>
      </c>
      <c r="E328" t="s">
        <v>201</v>
      </c>
      <c r="F328" t="s">
        <v>28</v>
      </c>
      <c r="G328" t="s">
        <v>103</v>
      </c>
      <c r="H328" t="s">
        <v>104</v>
      </c>
      <c r="I328" t="s">
        <v>37</v>
      </c>
      <c r="J328">
        <v>1</v>
      </c>
      <c r="K328">
        <v>28000</v>
      </c>
      <c r="L328">
        <v>28000</v>
      </c>
    </row>
    <row r="329" spans="1:12" x14ac:dyDescent="0.3">
      <c r="A329">
        <v>10328</v>
      </c>
      <c r="B329" s="2">
        <v>45978</v>
      </c>
      <c r="C329" t="s">
        <v>193</v>
      </c>
      <c r="D329" t="s">
        <v>194</v>
      </c>
      <c r="E329" t="s">
        <v>102</v>
      </c>
      <c r="F329" t="s">
        <v>34</v>
      </c>
      <c r="G329" t="s">
        <v>103</v>
      </c>
      <c r="H329" t="s">
        <v>104</v>
      </c>
      <c r="I329" t="s">
        <v>37</v>
      </c>
      <c r="J329">
        <v>3</v>
      </c>
      <c r="K329">
        <v>28000</v>
      </c>
      <c r="L329">
        <v>84000</v>
      </c>
    </row>
    <row r="330" spans="1:12" x14ac:dyDescent="0.3">
      <c r="A330">
        <v>10329</v>
      </c>
      <c r="B330" s="2">
        <v>45924</v>
      </c>
      <c r="C330" t="s">
        <v>58</v>
      </c>
      <c r="D330" t="s">
        <v>59</v>
      </c>
      <c r="E330" t="s">
        <v>21</v>
      </c>
      <c r="F330" t="s">
        <v>15</v>
      </c>
      <c r="G330" t="s">
        <v>16</v>
      </c>
      <c r="H330" t="s">
        <v>17</v>
      </c>
      <c r="I330" t="s">
        <v>18</v>
      </c>
      <c r="J330">
        <v>3</v>
      </c>
      <c r="K330">
        <v>11000</v>
      </c>
      <c r="L330">
        <v>33000</v>
      </c>
    </row>
    <row r="331" spans="1:12" x14ac:dyDescent="0.3">
      <c r="A331">
        <v>10330</v>
      </c>
      <c r="B331" s="2">
        <v>45973</v>
      </c>
      <c r="C331" t="s">
        <v>202</v>
      </c>
      <c r="D331" t="s">
        <v>203</v>
      </c>
      <c r="E331" t="s">
        <v>64</v>
      </c>
      <c r="F331" t="s">
        <v>46</v>
      </c>
      <c r="G331" t="s">
        <v>60</v>
      </c>
      <c r="H331" t="s">
        <v>61</v>
      </c>
      <c r="I331" t="s">
        <v>18</v>
      </c>
      <c r="J331">
        <v>1</v>
      </c>
      <c r="K331">
        <v>2200</v>
      </c>
      <c r="L331">
        <v>2200</v>
      </c>
    </row>
    <row r="332" spans="1:12" x14ac:dyDescent="0.3">
      <c r="A332">
        <v>10331</v>
      </c>
      <c r="B332" s="2">
        <v>45910</v>
      </c>
      <c r="C332" t="s">
        <v>100</v>
      </c>
      <c r="D332" t="s">
        <v>101</v>
      </c>
      <c r="E332" t="s">
        <v>102</v>
      </c>
      <c r="F332" t="s">
        <v>34</v>
      </c>
      <c r="G332" t="s">
        <v>47</v>
      </c>
      <c r="H332" t="s">
        <v>48</v>
      </c>
      <c r="I332" t="s">
        <v>49</v>
      </c>
      <c r="J332">
        <v>4</v>
      </c>
      <c r="K332">
        <v>1600</v>
      </c>
      <c r="L332">
        <v>6400</v>
      </c>
    </row>
    <row r="333" spans="1:12" x14ac:dyDescent="0.3">
      <c r="A333">
        <v>10332</v>
      </c>
      <c r="B333" s="2">
        <v>45978</v>
      </c>
      <c r="C333" t="s">
        <v>85</v>
      </c>
      <c r="D333" t="s">
        <v>86</v>
      </c>
      <c r="E333" t="s">
        <v>45</v>
      </c>
      <c r="F333" t="s">
        <v>46</v>
      </c>
      <c r="G333" t="s">
        <v>109</v>
      </c>
      <c r="H333" t="s">
        <v>110</v>
      </c>
      <c r="I333" t="s">
        <v>18</v>
      </c>
      <c r="J333">
        <v>2</v>
      </c>
      <c r="K333">
        <v>5000</v>
      </c>
      <c r="L333">
        <v>10000</v>
      </c>
    </row>
    <row r="334" spans="1:12" x14ac:dyDescent="0.3">
      <c r="A334">
        <v>10333</v>
      </c>
      <c r="B334" s="2">
        <v>45788</v>
      </c>
      <c r="C334" t="s">
        <v>230</v>
      </c>
      <c r="D334" t="s">
        <v>231</v>
      </c>
      <c r="E334" t="s">
        <v>84</v>
      </c>
      <c r="F334" t="s">
        <v>46</v>
      </c>
      <c r="G334" t="s">
        <v>103</v>
      </c>
      <c r="H334" t="s">
        <v>104</v>
      </c>
      <c r="I334" t="s">
        <v>37</v>
      </c>
      <c r="J334">
        <v>2</v>
      </c>
      <c r="K334">
        <v>28000</v>
      </c>
      <c r="L334">
        <v>56000</v>
      </c>
    </row>
    <row r="335" spans="1:12" x14ac:dyDescent="0.3">
      <c r="A335">
        <v>10334</v>
      </c>
      <c r="B335" s="2">
        <v>45933</v>
      </c>
      <c r="C335" t="s">
        <v>208</v>
      </c>
      <c r="D335" t="s">
        <v>209</v>
      </c>
      <c r="E335" t="s">
        <v>95</v>
      </c>
      <c r="F335" t="s">
        <v>15</v>
      </c>
      <c r="G335" t="s">
        <v>163</v>
      </c>
      <c r="H335" t="s">
        <v>164</v>
      </c>
      <c r="I335" t="s">
        <v>49</v>
      </c>
      <c r="J335">
        <v>3</v>
      </c>
      <c r="K335">
        <v>4200</v>
      </c>
      <c r="L335">
        <v>12600</v>
      </c>
    </row>
    <row r="336" spans="1:12" x14ac:dyDescent="0.3">
      <c r="A336">
        <v>10335</v>
      </c>
      <c r="B336" s="2">
        <v>45668</v>
      </c>
      <c r="C336" t="s">
        <v>156</v>
      </c>
      <c r="D336" t="s">
        <v>157</v>
      </c>
      <c r="E336" t="s">
        <v>95</v>
      </c>
      <c r="F336" t="s">
        <v>15</v>
      </c>
      <c r="G336" t="s">
        <v>152</v>
      </c>
      <c r="H336" t="s">
        <v>153</v>
      </c>
      <c r="I336" t="s">
        <v>49</v>
      </c>
      <c r="J336">
        <v>1</v>
      </c>
      <c r="K336">
        <v>3200</v>
      </c>
      <c r="L336">
        <v>3200</v>
      </c>
    </row>
    <row r="337" spans="1:12" x14ac:dyDescent="0.3">
      <c r="A337">
        <v>10336</v>
      </c>
      <c r="B337" s="2">
        <v>45964</v>
      </c>
      <c r="C337" t="s">
        <v>117</v>
      </c>
      <c r="D337" t="s">
        <v>118</v>
      </c>
      <c r="E337" t="s">
        <v>95</v>
      </c>
      <c r="F337" t="s">
        <v>15</v>
      </c>
      <c r="G337" t="s">
        <v>113</v>
      </c>
      <c r="H337" t="s">
        <v>114</v>
      </c>
      <c r="I337" t="s">
        <v>37</v>
      </c>
      <c r="J337">
        <v>1</v>
      </c>
      <c r="K337">
        <v>52000</v>
      </c>
      <c r="L337">
        <v>52000</v>
      </c>
    </row>
    <row r="338" spans="1:12" x14ac:dyDescent="0.3">
      <c r="A338">
        <v>10337</v>
      </c>
      <c r="B338" s="2">
        <v>45864</v>
      </c>
      <c r="C338" t="s">
        <v>133</v>
      </c>
      <c r="D338" t="s">
        <v>134</v>
      </c>
      <c r="E338" t="s">
        <v>33</v>
      </c>
      <c r="F338" t="s">
        <v>34</v>
      </c>
      <c r="G338" t="s">
        <v>47</v>
      </c>
      <c r="H338" t="s">
        <v>48</v>
      </c>
      <c r="I338" t="s">
        <v>49</v>
      </c>
      <c r="J338">
        <v>1</v>
      </c>
      <c r="K338">
        <v>1600</v>
      </c>
      <c r="L338">
        <v>1600</v>
      </c>
    </row>
    <row r="339" spans="1:12" x14ac:dyDescent="0.3">
      <c r="A339">
        <v>10338</v>
      </c>
      <c r="B339" s="2">
        <v>45720</v>
      </c>
      <c r="C339" t="s">
        <v>105</v>
      </c>
      <c r="D339" t="s">
        <v>106</v>
      </c>
      <c r="E339" t="s">
        <v>45</v>
      </c>
      <c r="F339" t="s">
        <v>46</v>
      </c>
      <c r="G339" t="s">
        <v>167</v>
      </c>
      <c r="H339" t="s">
        <v>168</v>
      </c>
      <c r="I339" t="s">
        <v>49</v>
      </c>
      <c r="J339">
        <v>1</v>
      </c>
      <c r="K339">
        <v>3800</v>
      </c>
      <c r="L339">
        <v>3800</v>
      </c>
    </row>
    <row r="340" spans="1:12" x14ac:dyDescent="0.3">
      <c r="A340">
        <v>10339</v>
      </c>
      <c r="B340" s="2">
        <v>45764</v>
      </c>
      <c r="C340" t="s">
        <v>238</v>
      </c>
      <c r="D340" t="s">
        <v>239</v>
      </c>
      <c r="E340" t="s">
        <v>137</v>
      </c>
      <c r="F340" t="s">
        <v>46</v>
      </c>
      <c r="G340" t="s">
        <v>35</v>
      </c>
      <c r="H340" t="s">
        <v>36</v>
      </c>
      <c r="I340" t="s">
        <v>37</v>
      </c>
      <c r="J340">
        <v>1</v>
      </c>
      <c r="K340">
        <v>12000</v>
      </c>
      <c r="L340">
        <v>12000</v>
      </c>
    </row>
    <row r="341" spans="1:12" x14ac:dyDescent="0.3">
      <c r="A341">
        <v>10340</v>
      </c>
      <c r="B341" s="2">
        <v>45662</v>
      </c>
      <c r="C341" t="s">
        <v>191</v>
      </c>
      <c r="D341" t="s">
        <v>192</v>
      </c>
      <c r="E341" t="s">
        <v>27</v>
      </c>
      <c r="F341" t="s">
        <v>28</v>
      </c>
      <c r="G341" t="s">
        <v>98</v>
      </c>
      <c r="H341" t="s">
        <v>99</v>
      </c>
      <c r="I341" t="s">
        <v>24</v>
      </c>
      <c r="J341">
        <v>1</v>
      </c>
      <c r="K341">
        <v>2000</v>
      </c>
      <c r="L341">
        <v>2000</v>
      </c>
    </row>
    <row r="342" spans="1:12" x14ac:dyDescent="0.3">
      <c r="A342">
        <v>10341</v>
      </c>
      <c r="B342" s="2">
        <v>45837</v>
      </c>
      <c r="C342" t="s">
        <v>222</v>
      </c>
      <c r="D342" t="s">
        <v>223</v>
      </c>
      <c r="E342" t="s">
        <v>21</v>
      </c>
      <c r="F342" t="s">
        <v>15</v>
      </c>
      <c r="G342" t="s">
        <v>56</v>
      </c>
      <c r="H342" t="s">
        <v>57</v>
      </c>
      <c r="I342" t="s">
        <v>18</v>
      </c>
      <c r="J342">
        <v>1</v>
      </c>
      <c r="K342">
        <v>9000</v>
      </c>
      <c r="L342">
        <v>9000</v>
      </c>
    </row>
    <row r="343" spans="1:12" x14ac:dyDescent="0.3">
      <c r="A343">
        <v>10342</v>
      </c>
      <c r="B343" s="2">
        <v>45725</v>
      </c>
      <c r="C343" t="s">
        <v>105</v>
      </c>
      <c r="D343" t="s">
        <v>106</v>
      </c>
      <c r="E343" t="s">
        <v>45</v>
      </c>
      <c r="F343" t="s">
        <v>46</v>
      </c>
      <c r="G343" t="s">
        <v>129</v>
      </c>
      <c r="H343" t="s">
        <v>130</v>
      </c>
      <c r="I343" t="s">
        <v>24</v>
      </c>
      <c r="J343">
        <v>3</v>
      </c>
      <c r="K343">
        <v>1400</v>
      </c>
      <c r="L343">
        <v>4200</v>
      </c>
    </row>
    <row r="344" spans="1:12" x14ac:dyDescent="0.3">
      <c r="A344">
        <v>10343</v>
      </c>
      <c r="B344" s="2">
        <v>45815</v>
      </c>
      <c r="C344" t="s">
        <v>43</v>
      </c>
      <c r="D344" t="s">
        <v>44</v>
      </c>
      <c r="E344" t="s">
        <v>45</v>
      </c>
      <c r="F344" t="s">
        <v>46</v>
      </c>
      <c r="G344" t="s">
        <v>131</v>
      </c>
      <c r="H344" t="s">
        <v>132</v>
      </c>
      <c r="I344" t="s">
        <v>37</v>
      </c>
      <c r="J344">
        <v>2</v>
      </c>
      <c r="K344">
        <v>4500</v>
      </c>
      <c r="L344">
        <v>9000</v>
      </c>
    </row>
    <row r="345" spans="1:12" x14ac:dyDescent="0.3">
      <c r="A345">
        <v>10344</v>
      </c>
      <c r="B345" s="2">
        <v>45942</v>
      </c>
      <c r="C345" t="s">
        <v>38</v>
      </c>
      <c r="D345" t="s">
        <v>39</v>
      </c>
      <c r="E345" t="s">
        <v>40</v>
      </c>
      <c r="F345" t="s">
        <v>15</v>
      </c>
      <c r="G345" t="s">
        <v>75</v>
      </c>
      <c r="H345" t="s">
        <v>76</v>
      </c>
      <c r="I345" t="s">
        <v>49</v>
      </c>
      <c r="J345">
        <v>1</v>
      </c>
      <c r="K345">
        <v>3000</v>
      </c>
      <c r="L345">
        <v>3000</v>
      </c>
    </row>
    <row r="346" spans="1:12" x14ac:dyDescent="0.3">
      <c r="A346">
        <v>10345</v>
      </c>
      <c r="B346" s="2">
        <v>45846</v>
      </c>
      <c r="C346" t="s">
        <v>58</v>
      </c>
      <c r="D346" t="s">
        <v>59</v>
      </c>
      <c r="E346" t="s">
        <v>21</v>
      </c>
      <c r="F346" t="s">
        <v>15</v>
      </c>
      <c r="G346" t="s">
        <v>70</v>
      </c>
      <c r="H346" t="s">
        <v>71</v>
      </c>
      <c r="I346" t="s">
        <v>37</v>
      </c>
      <c r="J346">
        <v>3</v>
      </c>
      <c r="K346">
        <v>2200</v>
      </c>
      <c r="L346">
        <v>6600</v>
      </c>
    </row>
    <row r="347" spans="1:12" x14ac:dyDescent="0.3">
      <c r="A347">
        <v>10346</v>
      </c>
      <c r="B347" s="2">
        <v>45951</v>
      </c>
      <c r="C347" t="s">
        <v>240</v>
      </c>
      <c r="D347" t="s">
        <v>241</v>
      </c>
      <c r="E347" t="s">
        <v>74</v>
      </c>
      <c r="F347" t="s">
        <v>28</v>
      </c>
      <c r="G347" t="s">
        <v>121</v>
      </c>
      <c r="H347" t="s">
        <v>122</v>
      </c>
      <c r="I347" t="s">
        <v>49</v>
      </c>
      <c r="J347">
        <v>2</v>
      </c>
      <c r="K347">
        <v>4800</v>
      </c>
      <c r="L347">
        <v>9600</v>
      </c>
    </row>
    <row r="348" spans="1:12" x14ac:dyDescent="0.3">
      <c r="A348">
        <v>10347</v>
      </c>
      <c r="B348" s="2">
        <v>45820</v>
      </c>
      <c r="C348" t="s">
        <v>19</v>
      </c>
      <c r="D348" t="s">
        <v>20</v>
      </c>
      <c r="E348" t="s">
        <v>21</v>
      </c>
      <c r="F348" t="s">
        <v>15</v>
      </c>
      <c r="G348" t="s">
        <v>96</v>
      </c>
      <c r="H348" t="s">
        <v>97</v>
      </c>
      <c r="I348" t="s">
        <v>37</v>
      </c>
      <c r="J348">
        <v>4</v>
      </c>
      <c r="K348">
        <v>18000</v>
      </c>
      <c r="L348">
        <v>72000</v>
      </c>
    </row>
    <row r="349" spans="1:12" x14ac:dyDescent="0.3">
      <c r="A349">
        <v>10348</v>
      </c>
      <c r="B349" s="2">
        <v>45827</v>
      </c>
      <c r="C349" t="s">
        <v>238</v>
      </c>
      <c r="D349" t="s">
        <v>239</v>
      </c>
      <c r="E349" t="s">
        <v>137</v>
      </c>
      <c r="F349" t="s">
        <v>46</v>
      </c>
      <c r="G349" t="s">
        <v>22</v>
      </c>
      <c r="H349" t="s">
        <v>23</v>
      </c>
      <c r="I349" t="s">
        <v>24</v>
      </c>
      <c r="J349">
        <v>2</v>
      </c>
      <c r="K349">
        <v>2400</v>
      </c>
      <c r="L349">
        <v>4800</v>
      </c>
    </row>
    <row r="350" spans="1:12" x14ac:dyDescent="0.3">
      <c r="A350">
        <v>10349</v>
      </c>
      <c r="B350" s="2">
        <v>45753</v>
      </c>
      <c r="C350" t="s">
        <v>67</v>
      </c>
      <c r="D350" t="s">
        <v>68</v>
      </c>
      <c r="E350" t="s">
        <v>69</v>
      </c>
      <c r="F350" t="s">
        <v>28</v>
      </c>
      <c r="G350" t="s">
        <v>121</v>
      </c>
      <c r="H350" t="s">
        <v>122</v>
      </c>
      <c r="I350" t="s">
        <v>49</v>
      </c>
      <c r="J350">
        <v>1</v>
      </c>
      <c r="K350">
        <v>4800</v>
      </c>
      <c r="L350">
        <v>4800</v>
      </c>
    </row>
    <row r="351" spans="1:12" x14ac:dyDescent="0.3">
      <c r="A351">
        <v>10350</v>
      </c>
      <c r="B351" s="2">
        <v>45773</v>
      </c>
      <c r="C351" t="s">
        <v>158</v>
      </c>
      <c r="D351" t="s">
        <v>159</v>
      </c>
      <c r="E351" t="s">
        <v>160</v>
      </c>
      <c r="F351" t="s">
        <v>34</v>
      </c>
      <c r="G351" t="s">
        <v>65</v>
      </c>
      <c r="H351" t="s">
        <v>66</v>
      </c>
      <c r="I351" t="s">
        <v>49</v>
      </c>
      <c r="J351">
        <v>4</v>
      </c>
      <c r="K351">
        <v>2400</v>
      </c>
      <c r="L351">
        <v>9600</v>
      </c>
    </row>
    <row r="352" spans="1:12" x14ac:dyDescent="0.3">
      <c r="A352">
        <v>10351</v>
      </c>
      <c r="B352" s="2">
        <v>45890</v>
      </c>
      <c r="C352" t="s">
        <v>119</v>
      </c>
      <c r="D352" t="s">
        <v>120</v>
      </c>
      <c r="E352" t="s">
        <v>27</v>
      </c>
      <c r="F352" t="s">
        <v>28</v>
      </c>
      <c r="G352" t="s">
        <v>89</v>
      </c>
      <c r="H352" t="s">
        <v>90</v>
      </c>
      <c r="I352" t="s">
        <v>18</v>
      </c>
      <c r="J352">
        <v>1</v>
      </c>
      <c r="K352">
        <v>4200</v>
      </c>
      <c r="L352">
        <v>4200</v>
      </c>
    </row>
    <row r="353" spans="1:12" x14ac:dyDescent="0.3">
      <c r="A353">
        <v>10352</v>
      </c>
      <c r="B353" s="2">
        <v>45806</v>
      </c>
      <c r="C353" t="s">
        <v>38</v>
      </c>
      <c r="D353" t="s">
        <v>39</v>
      </c>
      <c r="E353" t="s">
        <v>40</v>
      </c>
      <c r="F353" t="s">
        <v>15</v>
      </c>
      <c r="G353" t="s">
        <v>98</v>
      </c>
      <c r="H353" t="s">
        <v>99</v>
      </c>
      <c r="I353" t="s">
        <v>24</v>
      </c>
      <c r="J353">
        <v>2</v>
      </c>
      <c r="K353">
        <v>2000</v>
      </c>
      <c r="L353">
        <v>4000</v>
      </c>
    </row>
    <row r="354" spans="1:12" x14ac:dyDescent="0.3">
      <c r="A354">
        <v>10353</v>
      </c>
      <c r="B354" s="2">
        <v>45895</v>
      </c>
      <c r="C354" t="s">
        <v>119</v>
      </c>
      <c r="D354" t="s">
        <v>120</v>
      </c>
      <c r="E354" t="s">
        <v>27</v>
      </c>
      <c r="F354" t="s">
        <v>28</v>
      </c>
      <c r="G354" t="s">
        <v>96</v>
      </c>
      <c r="H354" t="s">
        <v>97</v>
      </c>
      <c r="I354" t="s">
        <v>37</v>
      </c>
      <c r="J354">
        <v>1</v>
      </c>
      <c r="K354">
        <v>18000</v>
      </c>
      <c r="L354">
        <v>18000</v>
      </c>
    </row>
    <row r="355" spans="1:12" x14ac:dyDescent="0.3">
      <c r="A355">
        <v>10354</v>
      </c>
      <c r="B355" s="2">
        <v>45926</v>
      </c>
      <c r="C355" t="s">
        <v>107</v>
      </c>
      <c r="D355" t="s">
        <v>108</v>
      </c>
      <c r="E355" t="s">
        <v>74</v>
      </c>
      <c r="F355" t="s">
        <v>28</v>
      </c>
      <c r="G355" t="s">
        <v>121</v>
      </c>
      <c r="H355" t="s">
        <v>122</v>
      </c>
      <c r="I355" t="s">
        <v>49</v>
      </c>
      <c r="J355">
        <v>1</v>
      </c>
      <c r="K355">
        <v>4800</v>
      </c>
      <c r="L355">
        <v>4800</v>
      </c>
    </row>
    <row r="356" spans="1:12" x14ac:dyDescent="0.3">
      <c r="A356">
        <v>10355</v>
      </c>
      <c r="B356" s="2">
        <v>45719</v>
      </c>
      <c r="C356" t="s">
        <v>222</v>
      </c>
      <c r="D356" t="s">
        <v>223</v>
      </c>
      <c r="E356" t="s">
        <v>21</v>
      </c>
      <c r="F356" t="s">
        <v>15</v>
      </c>
      <c r="G356" t="s">
        <v>109</v>
      </c>
      <c r="H356" t="s">
        <v>110</v>
      </c>
      <c r="I356" t="s">
        <v>18</v>
      </c>
      <c r="J356">
        <v>2</v>
      </c>
      <c r="K356">
        <v>5000</v>
      </c>
      <c r="L356">
        <v>10000</v>
      </c>
    </row>
    <row r="357" spans="1:12" x14ac:dyDescent="0.3">
      <c r="A357">
        <v>10356</v>
      </c>
      <c r="B357" s="2">
        <v>45925</v>
      </c>
      <c r="C357" t="s">
        <v>38</v>
      </c>
      <c r="D357" t="s">
        <v>39</v>
      </c>
      <c r="E357" t="s">
        <v>40</v>
      </c>
      <c r="F357" t="s">
        <v>15</v>
      </c>
      <c r="G357" t="s">
        <v>65</v>
      </c>
      <c r="H357" t="s">
        <v>66</v>
      </c>
      <c r="I357" t="s">
        <v>49</v>
      </c>
      <c r="J357">
        <v>3</v>
      </c>
      <c r="K357">
        <v>2400</v>
      </c>
      <c r="L357">
        <v>7200</v>
      </c>
    </row>
    <row r="358" spans="1:12" x14ac:dyDescent="0.3">
      <c r="A358">
        <v>10357</v>
      </c>
      <c r="B358" s="2">
        <v>45953</v>
      </c>
      <c r="C358" t="s">
        <v>228</v>
      </c>
      <c r="D358" t="s">
        <v>229</v>
      </c>
      <c r="E358" t="s">
        <v>84</v>
      </c>
      <c r="F358" t="s">
        <v>46</v>
      </c>
      <c r="G358" t="s">
        <v>177</v>
      </c>
      <c r="H358" t="s">
        <v>178</v>
      </c>
      <c r="I358" t="s">
        <v>37</v>
      </c>
      <c r="J358">
        <v>3</v>
      </c>
      <c r="K358">
        <v>2500</v>
      </c>
      <c r="L358">
        <v>7500</v>
      </c>
    </row>
    <row r="359" spans="1:12" x14ac:dyDescent="0.3">
      <c r="A359">
        <v>10358</v>
      </c>
      <c r="B359" s="2">
        <v>46002</v>
      </c>
      <c r="C359" t="s">
        <v>19</v>
      </c>
      <c r="D359" t="s">
        <v>20</v>
      </c>
      <c r="E359" t="s">
        <v>21</v>
      </c>
      <c r="F359" t="s">
        <v>15</v>
      </c>
      <c r="G359" t="s">
        <v>96</v>
      </c>
      <c r="H359" t="s">
        <v>97</v>
      </c>
      <c r="I359" t="s">
        <v>37</v>
      </c>
      <c r="J359">
        <v>1</v>
      </c>
      <c r="K359">
        <v>18000</v>
      </c>
      <c r="L359">
        <v>18000</v>
      </c>
    </row>
    <row r="360" spans="1:12" x14ac:dyDescent="0.3">
      <c r="A360">
        <v>10359</v>
      </c>
      <c r="B360" s="2">
        <v>45947</v>
      </c>
      <c r="C360" t="s">
        <v>202</v>
      </c>
      <c r="D360" t="s">
        <v>203</v>
      </c>
      <c r="E360" t="s">
        <v>64</v>
      </c>
      <c r="F360" t="s">
        <v>46</v>
      </c>
      <c r="G360" t="s">
        <v>187</v>
      </c>
      <c r="H360" t="s">
        <v>188</v>
      </c>
      <c r="I360" t="s">
        <v>24</v>
      </c>
      <c r="J360">
        <v>4</v>
      </c>
      <c r="K360">
        <v>5500</v>
      </c>
      <c r="L360">
        <v>22000</v>
      </c>
    </row>
    <row r="361" spans="1:12" x14ac:dyDescent="0.3">
      <c r="A361">
        <v>10360</v>
      </c>
      <c r="B361" s="2">
        <v>45923</v>
      </c>
      <c r="C361" t="s">
        <v>80</v>
      </c>
      <c r="D361" t="s">
        <v>81</v>
      </c>
      <c r="E361" t="s">
        <v>79</v>
      </c>
      <c r="F361" t="s">
        <v>34</v>
      </c>
      <c r="G361" t="s">
        <v>96</v>
      </c>
      <c r="H361" t="s">
        <v>97</v>
      </c>
      <c r="I361" t="s">
        <v>37</v>
      </c>
      <c r="J361">
        <v>2</v>
      </c>
      <c r="K361">
        <v>18000</v>
      </c>
      <c r="L361">
        <v>36000</v>
      </c>
    </row>
    <row r="362" spans="1:12" x14ac:dyDescent="0.3">
      <c r="A362">
        <v>10361</v>
      </c>
      <c r="B362" s="2">
        <v>45939</v>
      </c>
      <c r="C362" t="s">
        <v>54</v>
      </c>
      <c r="D362" t="s">
        <v>55</v>
      </c>
      <c r="E362" t="s">
        <v>33</v>
      </c>
      <c r="F362" t="s">
        <v>34</v>
      </c>
      <c r="G362" t="s">
        <v>113</v>
      </c>
      <c r="H362" t="s">
        <v>114</v>
      </c>
      <c r="I362" t="s">
        <v>37</v>
      </c>
      <c r="J362">
        <v>1</v>
      </c>
      <c r="K362">
        <v>52000</v>
      </c>
      <c r="L362">
        <v>52000</v>
      </c>
    </row>
    <row r="363" spans="1:12" x14ac:dyDescent="0.3">
      <c r="A363">
        <v>10362</v>
      </c>
      <c r="B363" s="2">
        <v>45749</v>
      </c>
      <c r="C363" t="s">
        <v>189</v>
      </c>
      <c r="D363" t="s">
        <v>190</v>
      </c>
      <c r="E363" t="s">
        <v>160</v>
      </c>
      <c r="F363" t="s">
        <v>34</v>
      </c>
      <c r="G363" t="s">
        <v>179</v>
      </c>
      <c r="H363" t="s">
        <v>180</v>
      </c>
      <c r="I363" t="s">
        <v>18</v>
      </c>
      <c r="J363">
        <v>1</v>
      </c>
      <c r="K363">
        <v>6500</v>
      </c>
      <c r="L363">
        <v>6500</v>
      </c>
    </row>
    <row r="364" spans="1:12" x14ac:dyDescent="0.3">
      <c r="A364">
        <v>10363</v>
      </c>
      <c r="B364" s="2">
        <v>45944</v>
      </c>
      <c r="C364" t="s">
        <v>58</v>
      </c>
      <c r="D364" t="s">
        <v>59</v>
      </c>
      <c r="E364" t="s">
        <v>21</v>
      </c>
      <c r="F364" t="s">
        <v>15</v>
      </c>
      <c r="G364" t="s">
        <v>70</v>
      </c>
      <c r="H364" t="s">
        <v>71</v>
      </c>
      <c r="I364" t="s">
        <v>37</v>
      </c>
      <c r="J364">
        <v>2</v>
      </c>
      <c r="K364">
        <v>2200</v>
      </c>
      <c r="L364">
        <v>4400</v>
      </c>
    </row>
    <row r="365" spans="1:12" x14ac:dyDescent="0.3">
      <c r="A365">
        <v>10364</v>
      </c>
      <c r="B365" s="2">
        <v>45686</v>
      </c>
      <c r="C365" t="s">
        <v>222</v>
      </c>
      <c r="D365" t="s">
        <v>223</v>
      </c>
      <c r="E365" t="s">
        <v>21</v>
      </c>
      <c r="F365" t="s">
        <v>15</v>
      </c>
      <c r="G365" t="s">
        <v>144</v>
      </c>
      <c r="H365" t="s">
        <v>145</v>
      </c>
      <c r="I365" t="s">
        <v>37</v>
      </c>
      <c r="J365">
        <v>3</v>
      </c>
      <c r="K365">
        <v>65000</v>
      </c>
      <c r="L365">
        <v>195000</v>
      </c>
    </row>
    <row r="366" spans="1:12" x14ac:dyDescent="0.3">
      <c r="A366">
        <v>10365</v>
      </c>
      <c r="B366" s="2">
        <v>45818</v>
      </c>
      <c r="C366" t="s">
        <v>77</v>
      </c>
      <c r="D366" t="s">
        <v>78</v>
      </c>
      <c r="E366" t="s">
        <v>79</v>
      </c>
      <c r="F366" t="s">
        <v>34</v>
      </c>
      <c r="G366" t="s">
        <v>144</v>
      </c>
      <c r="H366" t="s">
        <v>145</v>
      </c>
      <c r="I366" t="s">
        <v>37</v>
      </c>
      <c r="J366">
        <v>2</v>
      </c>
      <c r="K366">
        <v>65000</v>
      </c>
      <c r="L366">
        <v>130000</v>
      </c>
    </row>
    <row r="367" spans="1:12" x14ac:dyDescent="0.3">
      <c r="A367">
        <v>10366</v>
      </c>
      <c r="B367" s="2">
        <v>45667</v>
      </c>
      <c r="C367" t="s">
        <v>150</v>
      </c>
      <c r="D367" t="s">
        <v>151</v>
      </c>
      <c r="E367" t="s">
        <v>84</v>
      </c>
      <c r="F367" t="s">
        <v>46</v>
      </c>
      <c r="G367" t="s">
        <v>16</v>
      </c>
      <c r="H367" t="s">
        <v>17</v>
      </c>
      <c r="I367" t="s">
        <v>18</v>
      </c>
      <c r="J367">
        <v>2</v>
      </c>
      <c r="K367">
        <v>11000</v>
      </c>
      <c r="L367">
        <v>22000</v>
      </c>
    </row>
    <row r="368" spans="1:12" x14ac:dyDescent="0.3">
      <c r="A368">
        <v>10367</v>
      </c>
      <c r="B368" s="2">
        <v>45759</v>
      </c>
      <c r="C368" t="s">
        <v>12</v>
      </c>
      <c r="D368" t="s">
        <v>13</v>
      </c>
      <c r="E368" t="s">
        <v>14</v>
      </c>
      <c r="F368" t="s">
        <v>15</v>
      </c>
      <c r="G368" t="s">
        <v>163</v>
      </c>
      <c r="H368" t="s">
        <v>164</v>
      </c>
      <c r="I368" t="s">
        <v>49</v>
      </c>
      <c r="J368">
        <v>2</v>
      </c>
      <c r="K368">
        <v>4200</v>
      </c>
      <c r="L368">
        <v>8400</v>
      </c>
    </row>
    <row r="369" spans="1:12" x14ac:dyDescent="0.3">
      <c r="A369">
        <v>10368</v>
      </c>
      <c r="B369" s="2">
        <v>45770</v>
      </c>
      <c r="C369" t="s">
        <v>218</v>
      </c>
      <c r="D369" t="s">
        <v>219</v>
      </c>
      <c r="E369" t="s">
        <v>160</v>
      </c>
      <c r="F369" t="s">
        <v>34</v>
      </c>
      <c r="G369" t="s">
        <v>16</v>
      </c>
      <c r="H369" t="s">
        <v>17</v>
      </c>
      <c r="I369" t="s">
        <v>18</v>
      </c>
      <c r="J369">
        <v>1</v>
      </c>
      <c r="K369">
        <v>11000</v>
      </c>
      <c r="L369">
        <v>11000</v>
      </c>
    </row>
    <row r="370" spans="1:12" x14ac:dyDescent="0.3">
      <c r="A370">
        <v>10369</v>
      </c>
      <c r="B370" s="2">
        <v>45817</v>
      </c>
      <c r="C370" t="s">
        <v>175</v>
      </c>
      <c r="D370" t="s">
        <v>176</v>
      </c>
      <c r="E370" t="s">
        <v>84</v>
      </c>
      <c r="F370" t="s">
        <v>46</v>
      </c>
      <c r="G370" t="s">
        <v>103</v>
      </c>
      <c r="H370" t="s">
        <v>104</v>
      </c>
      <c r="I370" t="s">
        <v>37</v>
      </c>
      <c r="J370">
        <v>2</v>
      </c>
      <c r="K370">
        <v>28000</v>
      </c>
      <c r="L370">
        <v>56000</v>
      </c>
    </row>
    <row r="371" spans="1:12" x14ac:dyDescent="0.3">
      <c r="A371">
        <v>10370</v>
      </c>
      <c r="B371" s="2">
        <v>45928</v>
      </c>
      <c r="C371" t="s">
        <v>91</v>
      </c>
      <c r="D371" t="s">
        <v>92</v>
      </c>
      <c r="E371" t="s">
        <v>40</v>
      </c>
      <c r="F371" t="s">
        <v>15</v>
      </c>
      <c r="G371" t="s">
        <v>89</v>
      </c>
      <c r="H371" t="s">
        <v>90</v>
      </c>
      <c r="I371" t="s">
        <v>18</v>
      </c>
      <c r="J371">
        <v>2</v>
      </c>
      <c r="K371">
        <v>4200</v>
      </c>
      <c r="L371">
        <v>8400</v>
      </c>
    </row>
    <row r="372" spans="1:12" x14ac:dyDescent="0.3">
      <c r="A372">
        <v>10371</v>
      </c>
      <c r="B372" s="2">
        <v>46021</v>
      </c>
      <c r="C372" t="s">
        <v>58</v>
      </c>
      <c r="D372" t="s">
        <v>59</v>
      </c>
      <c r="E372" t="s">
        <v>21</v>
      </c>
      <c r="F372" t="s">
        <v>15</v>
      </c>
      <c r="G372" t="s">
        <v>109</v>
      </c>
      <c r="H372" t="s">
        <v>110</v>
      </c>
      <c r="I372" t="s">
        <v>18</v>
      </c>
      <c r="J372">
        <v>1</v>
      </c>
      <c r="K372">
        <v>5000</v>
      </c>
      <c r="L372">
        <v>5000</v>
      </c>
    </row>
    <row r="373" spans="1:12" x14ac:dyDescent="0.3">
      <c r="A373">
        <v>10372</v>
      </c>
      <c r="B373" s="2">
        <v>45863</v>
      </c>
      <c r="C373" t="s">
        <v>156</v>
      </c>
      <c r="D373" t="s">
        <v>157</v>
      </c>
      <c r="E373" t="s">
        <v>95</v>
      </c>
      <c r="F373" t="s">
        <v>15</v>
      </c>
      <c r="G373" t="s">
        <v>41</v>
      </c>
      <c r="H373" t="s">
        <v>42</v>
      </c>
      <c r="I373" t="s">
        <v>37</v>
      </c>
      <c r="J373">
        <v>1</v>
      </c>
      <c r="K373">
        <v>30000</v>
      </c>
      <c r="L373">
        <v>30000</v>
      </c>
    </row>
    <row r="374" spans="1:12" x14ac:dyDescent="0.3">
      <c r="A374">
        <v>10373</v>
      </c>
      <c r="B374" s="2">
        <v>45672</v>
      </c>
      <c r="C374" t="s">
        <v>156</v>
      </c>
      <c r="D374" t="s">
        <v>157</v>
      </c>
      <c r="E374" t="s">
        <v>95</v>
      </c>
      <c r="F374" t="s">
        <v>15</v>
      </c>
      <c r="G374" t="s">
        <v>144</v>
      </c>
      <c r="H374" t="s">
        <v>145</v>
      </c>
      <c r="I374" t="s">
        <v>37</v>
      </c>
      <c r="J374">
        <v>1</v>
      </c>
      <c r="K374">
        <v>65000</v>
      </c>
      <c r="L374">
        <v>65000</v>
      </c>
    </row>
    <row r="375" spans="1:12" x14ac:dyDescent="0.3">
      <c r="A375">
        <v>10374</v>
      </c>
      <c r="B375" s="2">
        <v>45814</v>
      </c>
      <c r="C375" t="s">
        <v>238</v>
      </c>
      <c r="D375" t="s">
        <v>239</v>
      </c>
      <c r="E375" t="s">
        <v>137</v>
      </c>
      <c r="F375" t="s">
        <v>46</v>
      </c>
      <c r="G375" t="s">
        <v>144</v>
      </c>
      <c r="H375" t="s">
        <v>145</v>
      </c>
      <c r="I375" t="s">
        <v>37</v>
      </c>
      <c r="J375">
        <v>1</v>
      </c>
      <c r="K375">
        <v>65000</v>
      </c>
      <c r="L375">
        <v>65000</v>
      </c>
    </row>
    <row r="376" spans="1:12" x14ac:dyDescent="0.3">
      <c r="A376">
        <v>10375</v>
      </c>
      <c r="B376" s="2">
        <v>45816</v>
      </c>
      <c r="C376" t="s">
        <v>236</v>
      </c>
      <c r="D376" t="s">
        <v>237</v>
      </c>
      <c r="E376" t="s">
        <v>201</v>
      </c>
      <c r="F376" t="s">
        <v>28</v>
      </c>
      <c r="G376" t="s">
        <v>98</v>
      </c>
      <c r="H376" t="s">
        <v>99</v>
      </c>
      <c r="I376" t="s">
        <v>24</v>
      </c>
      <c r="J376">
        <v>1</v>
      </c>
      <c r="K376">
        <v>2000</v>
      </c>
      <c r="L376">
        <v>2000</v>
      </c>
    </row>
    <row r="377" spans="1:12" x14ac:dyDescent="0.3">
      <c r="A377">
        <v>10376</v>
      </c>
      <c r="B377" s="2">
        <v>45702</v>
      </c>
      <c r="C377" t="s">
        <v>236</v>
      </c>
      <c r="D377" t="s">
        <v>237</v>
      </c>
      <c r="E377" t="s">
        <v>201</v>
      </c>
      <c r="F377" t="s">
        <v>28</v>
      </c>
      <c r="G377" t="s">
        <v>109</v>
      </c>
      <c r="H377" t="s">
        <v>110</v>
      </c>
      <c r="I377" t="s">
        <v>18</v>
      </c>
      <c r="J377">
        <v>3</v>
      </c>
      <c r="K377">
        <v>5000</v>
      </c>
      <c r="L377">
        <v>15000</v>
      </c>
    </row>
    <row r="378" spans="1:12" x14ac:dyDescent="0.3">
      <c r="A378">
        <v>10377</v>
      </c>
      <c r="B378" s="2">
        <v>45837</v>
      </c>
      <c r="C378" t="s">
        <v>91</v>
      </c>
      <c r="D378" t="s">
        <v>92</v>
      </c>
      <c r="E378" t="s">
        <v>40</v>
      </c>
      <c r="F378" t="s">
        <v>15</v>
      </c>
      <c r="G378" t="s">
        <v>177</v>
      </c>
      <c r="H378" t="s">
        <v>178</v>
      </c>
      <c r="I378" t="s">
        <v>37</v>
      </c>
      <c r="J378">
        <v>1</v>
      </c>
      <c r="K378">
        <v>2500</v>
      </c>
      <c r="L378">
        <v>2500</v>
      </c>
    </row>
    <row r="379" spans="1:12" x14ac:dyDescent="0.3">
      <c r="A379">
        <v>10378</v>
      </c>
      <c r="B379" s="2">
        <v>45699</v>
      </c>
      <c r="C379" t="s">
        <v>31</v>
      </c>
      <c r="D379" t="s">
        <v>32</v>
      </c>
      <c r="E379" t="s">
        <v>33</v>
      </c>
      <c r="F379" t="s">
        <v>34</v>
      </c>
      <c r="G379" t="s">
        <v>187</v>
      </c>
      <c r="H379" t="s">
        <v>188</v>
      </c>
      <c r="I379" t="s">
        <v>24</v>
      </c>
      <c r="J379">
        <v>3</v>
      </c>
      <c r="K379">
        <v>5500</v>
      </c>
      <c r="L379">
        <v>16500</v>
      </c>
    </row>
    <row r="380" spans="1:12" x14ac:dyDescent="0.3">
      <c r="A380">
        <v>10379</v>
      </c>
      <c r="B380" s="2">
        <v>45919</v>
      </c>
      <c r="C380" t="s">
        <v>133</v>
      </c>
      <c r="D380" t="s">
        <v>134</v>
      </c>
      <c r="E380" t="s">
        <v>33</v>
      </c>
      <c r="F380" t="s">
        <v>34</v>
      </c>
      <c r="G380" t="s">
        <v>109</v>
      </c>
      <c r="H380" t="s">
        <v>110</v>
      </c>
      <c r="I380" t="s">
        <v>18</v>
      </c>
      <c r="J380">
        <v>2</v>
      </c>
      <c r="K380">
        <v>5000</v>
      </c>
      <c r="L380">
        <v>10000</v>
      </c>
    </row>
    <row r="381" spans="1:12" x14ac:dyDescent="0.3">
      <c r="A381">
        <v>10380</v>
      </c>
      <c r="B381" s="2">
        <v>45888</v>
      </c>
      <c r="C381" t="s">
        <v>220</v>
      </c>
      <c r="D381" t="s">
        <v>221</v>
      </c>
      <c r="E381" t="s">
        <v>102</v>
      </c>
      <c r="F381" t="s">
        <v>34</v>
      </c>
      <c r="G381" t="s">
        <v>163</v>
      </c>
      <c r="H381" t="s">
        <v>164</v>
      </c>
      <c r="I381" t="s">
        <v>49</v>
      </c>
      <c r="J381">
        <v>1</v>
      </c>
      <c r="K381">
        <v>4200</v>
      </c>
      <c r="L381">
        <v>4200</v>
      </c>
    </row>
    <row r="382" spans="1:12" x14ac:dyDescent="0.3">
      <c r="A382">
        <v>10381</v>
      </c>
      <c r="B382" s="2">
        <v>45967</v>
      </c>
      <c r="C382" t="s">
        <v>234</v>
      </c>
      <c r="D382" t="s">
        <v>235</v>
      </c>
      <c r="E382" t="s">
        <v>137</v>
      </c>
      <c r="F382" t="s">
        <v>46</v>
      </c>
      <c r="G382" t="s">
        <v>163</v>
      </c>
      <c r="H382" t="s">
        <v>164</v>
      </c>
      <c r="I382" t="s">
        <v>49</v>
      </c>
      <c r="J382">
        <v>2</v>
      </c>
      <c r="K382">
        <v>4200</v>
      </c>
      <c r="L382">
        <v>8400</v>
      </c>
    </row>
    <row r="383" spans="1:12" x14ac:dyDescent="0.3">
      <c r="A383">
        <v>10382</v>
      </c>
      <c r="B383" s="2">
        <v>45762</v>
      </c>
      <c r="C383" t="s">
        <v>31</v>
      </c>
      <c r="D383" t="s">
        <v>32</v>
      </c>
      <c r="E383" t="s">
        <v>33</v>
      </c>
      <c r="F383" t="s">
        <v>34</v>
      </c>
      <c r="G383" t="s">
        <v>152</v>
      </c>
      <c r="H383" t="s">
        <v>153</v>
      </c>
      <c r="I383" t="s">
        <v>49</v>
      </c>
      <c r="J383">
        <v>2</v>
      </c>
      <c r="K383">
        <v>3200</v>
      </c>
      <c r="L383">
        <v>6400</v>
      </c>
    </row>
    <row r="384" spans="1:12" x14ac:dyDescent="0.3">
      <c r="A384">
        <v>10383</v>
      </c>
      <c r="B384" s="2">
        <v>45755</v>
      </c>
      <c r="C384" t="s">
        <v>91</v>
      </c>
      <c r="D384" t="s">
        <v>92</v>
      </c>
      <c r="E384" t="s">
        <v>40</v>
      </c>
      <c r="F384" t="s">
        <v>15</v>
      </c>
      <c r="G384" t="s">
        <v>121</v>
      </c>
      <c r="H384" t="s">
        <v>122</v>
      </c>
      <c r="I384" t="s">
        <v>49</v>
      </c>
      <c r="J384">
        <v>1</v>
      </c>
      <c r="K384">
        <v>4800</v>
      </c>
      <c r="L384">
        <v>4800</v>
      </c>
    </row>
    <row r="385" spans="1:12" x14ac:dyDescent="0.3">
      <c r="A385">
        <v>10384</v>
      </c>
      <c r="B385" s="2">
        <v>45907</v>
      </c>
      <c r="C385" t="s">
        <v>171</v>
      </c>
      <c r="D385" t="s">
        <v>172</v>
      </c>
      <c r="E385" t="s">
        <v>45</v>
      </c>
      <c r="F385" t="s">
        <v>46</v>
      </c>
      <c r="G385" t="s">
        <v>41</v>
      </c>
      <c r="H385" t="s">
        <v>42</v>
      </c>
      <c r="I385" t="s">
        <v>37</v>
      </c>
      <c r="J385">
        <v>2</v>
      </c>
      <c r="K385">
        <v>30000</v>
      </c>
      <c r="L385">
        <v>60000</v>
      </c>
    </row>
    <row r="386" spans="1:12" x14ac:dyDescent="0.3">
      <c r="A386">
        <v>10385</v>
      </c>
      <c r="B386" s="2">
        <v>45846</v>
      </c>
      <c r="C386" t="s">
        <v>58</v>
      </c>
      <c r="D386" t="s">
        <v>59</v>
      </c>
      <c r="E386" t="s">
        <v>21</v>
      </c>
      <c r="F386" t="s">
        <v>15</v>
      </c>
      <c r="G386" t="s">
        <v>109</v>
      </c>
      <c r="H386" t="s">
        <v>110</v>
      </c>
      <c r="I386" t="s">
        <v>18</v>
      </c>
      <c r="J386">
        <v>2</v>
      </c>
      <c r="K386">
        <v>5000</v>
      </c>
      <c r="L386">
        <v>10000</v>
      </c>
    </row>
    <row r="387" spans="1:12" x14ac:dyDescent="0.3">
      <c r="A387">
        <v>10386</v>
      </c>
      <c r="B387" s="2">
        <v>45962</v>
      </c>
      <c r="C387" t="s">
        <v>12</v>
      </c>
      <c r="D387" t="s">
        <v>13</v>
      </c>
      <c r="E387" t="s">
        <v>14</v>
      </c>
      <c r="F387" t="s">
        <v>15</v>
      </c>
      <c r="G387" t="s">
        <v>75</v>
      </c>
      <c r="H387" t="s">
        <v>76</v>
      </c>
      <c r="I387" t="s">
        <v>49</v>
      </c>
      <c r="J387">
        <v>2</v>
      </c>
      <c r="K387">
        <v>3000</v>
      </c>
      <c r="L387">
        <v>6000</v>
      </c>
    </row>
    <row r="388" spans="1:12" x14ac:dyDescent="0.3">
      <c r="A388">
        <v>10387</v>
      </c>
      <c r="B388" s="2">
        <v>45669</v>
      </c>
      <c r="C388" t="s">
        <v>105</v>
      </c>
      <c r="D388" t="s">
        <v>106</v>
      </c>
      <c r="E388" t="s">
        <v>45</v>
      </c>
      <c r="F388" t="s">
        <v>46</v>
      </c>
      <c r="G388" t="s">
        <v>52</v>
      </c>
      <c r="H388" t="s">
        <v>53</v>
      </c>
      <c r="I388" t="s">
        <v>24</v>
      </c>
      <c r="J388">
        <v>2</v>
      </c>
      <c r="K388">
        <v>3500</v>
      </c>
      <c r="L388">
        <v>7000</v>
      </c>
    </row>
    <row r="389" spans="1:12" x14ac:dyDescent="0.3">
      <c r="A389">
        <v>10388</v>
      </c>
      <c r="B389" s="2">
        <v>45791</v>
      </c>
      <c r="C389" t="s">
        <v>87</v>
      </c>
      <c r="D389" t="s">
        <v>88</v>
      </c>
      <c r="E389" t="s">
        <v>64</v>
      </c>
      <c r="F389" t="s">
        <v>46</v>
      </c>
      <c r="G389" t="s">
        <v>177</v>
      </c>
      <c r="H389" t="s">
        <v>178</v>
      </c>
      <c r="I389" t="s">
        <v>37</v>
      </c>
      <c r="J389">
        <v>2</v>
      </c>
      <c r="K389">
        <v>2500</v>
      </c>
      <c r="L389">
        <v>5000</v>
      </c>
    </row>
    <row r="390" spans="1:12" x14ac:dyDescent="0.3">
      <c r="A390">
        <v>10389</v>
      </c>
      <c r="B390" s="2">
        <v>45775</v>
      </c>
      <c r="C390" t="s">
        <v>181</v>
      </c>
      <c r="D390" t="s">
        <v>182</v>
      </c>
      <c r="E390" t="s">
        <v>21</v>
      </c>
      <c r="F390" t="s">
        <v>15</v>
      </c>
      <c r="G390" t="s">
        <v>109</v>
      </c>
      <c r="H390" t="s">
        <v>110</v>
      </c>
      <c r="I390" t="s">
        <v>18</v>
      </c>
      <c r="J390">
        <v>3</v>
      </c>
      <c r="K390">
        <v>5000</v>
      </c>
      <c r="L390">
        <v>15000</v>
      </c>
    </row>
    <row r="391" spans="1:12" x14ac:dyDescent="0.3">
      <c r="A391">
        <v>10390</v>
      </c>
      <c r="B391" s="2">
        <v>45923</v>
      </c>
      <c r="C391" t="s">
        <v>58</v>
      </c>
      <c r="D391" t="s">
        <v>59</v>
      </c>
      <c r="E391" t="s">
        <v>21</v>
      </c>
      <c r="F391" t="s">
        <v>15</v>
      </c>
      <c r="G391" t="s">
        <v>16</v>
      </c>
      <c r="H391" t="s">
        <v>17</v>
      </c>
      <c r="I391" t="s">
        <v>18</v>
      </c>
      <c r="J391">
        <v>1</v>
      </c>
      <c r="K391">
        <v>11000</v>
      </c>
      <c r="L391">
        <v>11000</v>
      </c>
    </row>
    <row r="392" spans="1:12" x14ac:dyDescent="0.3">
      <c r="A392">
        <v>10391</v>
      </c>
      <c r="B392" s="2">
        <v>45895</v>
      </c>
      <c r="C392" t="s">
        <v>105</v>
      </c>
      <c r="D392" t="s">
        <v>106</v>
      </c>
      <c r="E392" t="s">
        <v>45</v>
      </c>
      <c r="F392" t="s">
        <v>46</v>
      </c>
      <c r="G392" t="s">
        <v>131</v>
      </c>
      <c r="H392" t="s">
        <v>132</v>
      </c>
      <c r="I392" t="s">
        <v>37</v>
      </c>
      <c r="J392">
        <v>1</v>
      </c>
      <c r="K392">
        <v>4500</v>
      </c>
      <c r="L392">
        <v>4500</v>
      </c>
    </row>
    <row r="393" spans="1:12" x14ac:dyDescent="0.3">
      <c r="A393">
        <v>10392</v>
      </c>
      <c r="B393" s="2">
        <v>45794</v>
      </c>
      <c r="C393" t="s">
        <v>142</v>
      </c>
      <c r="D393" t="s">
        <v>143</v>
      </c>
      <c r="E393" t="s">
        <v>14</v>
      </c>
      <c r="F393" t="s">
        <v>15</v>
      </c>
      <c r="G393" t="s">
        <v>41</v>
      </c>
      <c r="H393" t="s">
        <v>42</v>
      </c>
      <c r="I393" t="s">
        <v>37</v>
      </c>
      <c r="J393">
        <v>1</v>
      </c>
      <c r="K393">
        <v>30000</v>
      </c>
      <c r="L393">
        <v>30000</v>
      </c>
    </row>
    <row r="394" spans="1:12" x14ac:dyDescent="0.3">
      <c r="A394">
        <v>10393</v>
      </c>
      <c r="B394" s="2">
        <v>46006</v>
      </c>
      <c r="C394" t="s">
        <v>105</v>
      </c>
      <c r="D394" t="s">
        <v>106</v>
      </c>
      <c r="E394" t="s">
        <v>45</v>
      </c>
      <c r="F394" t="s">
        <v>46</v>
      </c>
      <c r="G394" t="s">
        <v>22</v>
      </c>
      <c r="H394" t="s">
        <v>23</v>
      </c>
      <c r="I394" t="s">
        <v>24</v>
      </c>
      <c r="J394">
        <v>2</v>
      </c>
      <c r="K394">
        <v>2400</v>
      </c>
      <c r="L394">
        <v>4800</v>
      </c>
    </row>
    <row r="395" spans="1:12" x14ac:dyDescent="0.3">
      <c r="A395">
        <v>10394</v>
      </c>
      <c r="B395" s="2">
        <v>45866</v>
      </c>
      <c r="C395" t="s">
        <v>206</v>
      </c>
      <c r="D395" t="s">
        <v>207</v>
      </c>
      <c r="E395" t="s">
        <v>160</v>
      </c>
      <c r="F395" t="s">
        <v>34</v>
      </c>
      <c r="G395" t="s">
        <v>35</v>
      </c>
      <c r="H395" t="s">
        <v>36</v>
      </c>
      <c r="I395" t="s">
        <v>37</v>
      </c>
      <c r="J395">
        <v>1</v>
      </c>
      <c r="K395">
        <v>12000</v>
      </c>
      <c r="L395">
        <v>12000</v>
      </c>
    </row>
    <row r="396" spans="1:12" x14ac:dyDescent="0.3">
      <c r="A396">
        <v>10395</v>
      </c>
      <c r="B396" s="2">
        <v>45951</v>
      </c>
      <c r="C396" t="s">
        <v>133</v>
      </c>
      <c r="D396" t="s">
        <v>134</v>
      </c>
      <c r="E396" t="s">
        <v>33</v>
      </c>
      <c r="F396" t="s">
        <v>34</v>
      </c>
      <c r="G396" t="s">
        <v>75</v>
      </c>
      <c r="H396" t="s">
        <v>76</v>
      </c>
      <c r="I396" t="s">
        <v>49</v>
      </c>
      <c r="J396">
        <v>1</v>
      </c>
      <c r="K396">
        <v>3000</v>
      </c>
      <c r="L396">
        <v>3000</v>
      </c>
    </row>
    <row r="397" spans="1:12" x14ac:dyDescent="0.3">
      <c r="A397">
        <v>10396</v>
      </c>
      <c r="B397" s="2">
        <v>45747</v>
      </c>
      <c r="C397" t="s">
        <v>82</v>
      </c>
      <c r="D397" t="s">
        <v>83</v>
      </c>
      <c r="E397" t="s">
        <v>84</v>
      </c>
      <c r="F397" t="s">
        <v>46</v>
      </c>
      <c r="G397" t="s">
        <v>140</v>
      </c>
      <c r="H397" t="s">
        <v>141</v>
      </c>
      <c r="I397" t="s">
        <v>18</v>
      </c>
      <c r="J397">
        <v>1</v>
      </c>
      <c r="K397">
        <v>3000</v>
      </c>
      <c r="L397">
        <v>3000</v>
      </c>
    </row>
    <row r="398" spans="1:12" x14ac:dyDescent="0.3">
      <c r="A398">
        <v>10397</v>
      </c>
      <c r="B398" s="2">
        <v>45726</v>
      </c>
      <c r="C398" t="s">
        <v>197</v>
      </c>
      <c r="D398" t="s">
        <v>198</v>
      </c>
      <c r="E398" t="s">
        <v>95</v>
      </c>
      <c r="F398" t="s">
        <v>15</v>
      </c>
      <c r="G398" t="s">
        <v>65</v>
      </c>
      <c r="H398" t="s">
        <v>66</v>
      </c>
      <c r="I398" t="s">
        <v>49</v>
      </c>
      <c r="J398">
        <v>2</v>
      </c>
      <c r="K398">
        <v>2400</v>
      </c>
      <c r="L398">
        <v>4800</v>
      </c>
    </row>
    <row r="399" spans="1:12" x14ac:dyDescent="0.3">
      <c r="A399">
        <v>10398</v>
      </c>
      <c r="B399" s="2">
        <v>45671</v>
      </c>
      <c r="C399" t="s">
        <v>181</v>
      </c>
      <c r="D399" t="s">
        <v>182</v>
      </c>
      <c r="E399" t="s">
        <v>21</v>
      </c>
      <c r="F399" t="s">
        <v>15</v>
      </c>
      <c r="G399" t="s">
        <v>152</v>
      </c>
      <c r="H399" t="s">
        <v>153</v>
      </c>
      <c r="I399" t="s">
        <v>49</v>
      </c>
      <c r="J399">
        <v>2</v>
      </c>
      <c r="K399">
        <v>3200</v>
      </c>
      <c r="L399">
        <v>6400</v>
      </c>
    </row>
    <row r="400" spans="1:12" x14ac:dyDescent="0.3">
      <c r="A400">
        <v>10399</v>
      </c>
      <c r="B400" s="2">
        <v>45772</v>
      </c>
      <c r="C400" t="s">
        <v>195</v>
      </c>
      <c r="D400" t="s">
        <v>196</v>
      </c>
      <c r="E400" t="s">
        <v>102</v>
      </c>
      <c r="F400" t="s">
        <v>34</v>
      </c>
      <c r="G400" t="s">
        <v>125</v>
      </c>
      <c r="H400" t="s">
        <v>126</v>
      </c>
      <c r="I400" t="s">
        <v>37</v>
      </c>
      <c r="J400">
        <v>4</v>
      </c>
      <c r="K400">
        <v>22000</v>
      </c>
      <c r="L400">
        <v>88000</v>
      </c>
    </row>
    <row r="401" spans="1:12" x14ac:dyDescent="0.3">
      <c r="A401">
        <v>10400</v>
      </c>
      <c r="B401" s="2">
        <v>46007</v>
      </c>
      <c r="C401" t="s">
        <v>43</v>
      </c>
      <c r="D401" t="s">
        <v>44</v>
      </c>
      <c r="E401" t="s">
        <v>45</v>
      </c>
      <c r="F401" t="s">
        <v>46</v>
      </c>
      <c r="G401" t="s">
        <v>144</v>
      </c>
      <c r="H401" t="s">
        <v>145</v>
      </c>
      <c r="I401" t="s">
        <v>37</v>
      </c>
      <c r="J401">
        <v>2</v>
      </c>
      <c r="K401">
        <v>65000</v>
      </c>
      <c r="L401">
        <v>130000</v>
      </c>
    </row>
    <row r="402" spans="1:12" x14ac:dyDescent="0.3">
      <c r="A402">
        <v>10401</v>
      </c>
      <c r="B402" s="2">
        <v>45853</v>
      </c>
      <c r="C402" t="s">
        <v>123</v>
      </c>
      <c r="D402" t="s">
        <v>124</v>
      </c>
      <c r="E402" t="s">
        <v>69</v>
      </c>
      <c r="F402" t="s">
        <v>28</v>
      </c>
      <c r="G402" t="s">
        <v>70</v>
      </c>
      <c r="H402" t="s">
        <v>71</v>
      </c>
      <c r="I402" t="s">
        <v>37</v>
      </c>
      <c r="J402">
        <v>1</v>
      </c>
      <c r="K402">
        <v>2200</v>
      </c>
      <c r="L402">
        <v>2200</v>
      </c>
    </row>
    <row r="403" spans="1:12" x14ac:dyDescent="0.3">
      <c r="A403">
        <v>10402</v>
      </c>
      <c r="B403" s="2">
        <v>45924</v>
      </c>
      <c r="C403" t="s">
        <v>54</v>
      </c>
      <c r="D403" t="s">
        <v>55</v>
      </c>
      <c r="E403" t="s">
        <v>33</v>
      </c>
      <c r="F403" t="s">
        <v>34</v>
      </c>
      <c r="G403" t="s">
        <v>41</v>
      </c>
      <c r="H403" t="s">
        <v>42</v>
      </c>
      <c r="I403" t="s">
        <v>37</v>
      </c>
      <c r="J403">
        <v>2</v>
      </c>
      <c r="K403">
        <v>30000</v>
      </c>
      <c r="L403">
        <v>60000</v>
      </c>
    </row>
    <row r="404" spans="1:12" x14ac:dyDescent="0.3">
      <c r="A404">
        <v>10403</v>
      </c>
      <c r="B404" s="2">
        <v>45720</v>
      </c>
      <c r="C404" t="s">
        <v>226</v>
      </c>
      <c r="D404" t="s">
        <v>227</v>
      </c>
      <c r="E404" t="s">
        <v>79</v>
      </c>
      <c r="F404" t="s">
        <v>34</v>
      </c>
      <c r="G404" t="s">
        <v>144</v>
      </c>
      <c r="H404" t="s">
        <v>145</v>
      </c>
      <c r="I404" t="s">
        <v>37</v>
      </c>
      <c r="J404">
        <v>1</v>
      </c>
      <c r="K404">
        <v>65000</v>
      </c>
      <c r="L404">
        <v>65000</v>
      </c>
    </row>
    <row r="405" spans="1:12" x14ac:dyDescent="0.3">
      <c r="A405">
        <v>10404</v>
      </c>
      <c r="B405" s="2">
        <v>45711</v>
      </c>
      <c r="C405" t="s">
        <v>87</v>
      </c>
      <c r="D405" t="s">
        <v>88</v>
      </c>
      <c r="E405" t="s">
        <v>64</v>
      </c>
      <c r="F405" t="s">
        <v>46</v>
      </c>
      <c r="G405" t="s">
        <v>60</v>
      </c>
      <c r="H405" t="s">
        <v>61</v>
      </c>
      <c r="I405" t="s">
        <v>18</v>
      </c>
      <c r="J405">
        <v>1</v>
      </c>
      <c r="K405">
        <v>2200</v>
      </c>
      <c r="L405">
        <v>2200</v>
      </c>
    </row>
    <row r="406" spans="1:12" x14ac:dyDescent="0.3">
      <c r="A406">
        <v>10405</v>
      </c>
      <c r="B406" s="2">
        <v>45749</v>
      </c>
      <c r="C406" t="s">
        <v>148</v>
      </c>
      <c r="D406" t="s">
        <v>149</v>
      </c>
      <c r="E406" t="s">
        <v>14</v>
      </c>
      <c r="F406" t="s">
        <v>15</v>
      </c>
      <c r="G406" t="s">
        <v>125</v>
      </c>
      <c r="H406" t="s">
        <v>126</v>
      </c>
      <c r="I406" t="s">
        <v>37</v>
      </c>
      <c r="J406">
        <v>1</v>
      </c>
      <c r="K406">
        <v>22000</v>
      </c>
      <c r="L406">
        <v>22000</v>
      </c>
    </row>
    <row r="407" spans="1:12" x14ac:dyDescent="0.3">
      <c r="A407">
        <v>10406</v>
      </c>
      <c r="B407" s="2">
        <v>45757</v>
      </c>
      <c r="C407" t="s">
        <v>100</v>
      </c>
      <c r="D407" t="s">
        <v>101</v>
      </c>
      <c r="E407" t="s">
        <v>102</v>
      </c>
      <c r="F407" t="s">
        <v>34</v>
      </c>
      <c r="G407" t="s">
        <v>121</v>
      </c>
      <c r="H407" t="s">
        <v>122</v>
      </c>
      <c r="I407" t="s">
        <v>49</v>
      </c>
      <c r="J407">
        <v>5</v>
      </c>
      <c r="K407">
        <v>4800</v>
      </c>
      <c r="L407">
        <v>24000</v>
      </c>
    </row>
    <row r="408" spans="1:12" x14ac:dyDescent="0.3">
      <c r="A408">
        <v>10407</v>
      </c>
      <c r="B408" s="2">
        <v>45729</v>
      </c>
      <c r="C408" t="s">
        <v>87</v>
      </c>
      <c r="D408" t="s">
        <v>88</v>
      </c>
      <c r="E408" t="s">
        <v>64</v>
      </c>
      <c r="F408" t="s">
        <v>46</v>
      </c>
      <c r="G408" t="s">
        <v>129</v>
      </c>
      <c r="H408" t="s">
        <v>130</v>
      </c>
      <c r="I408" t="s">
        <v>24</v>
      </c>
      <c r="J408">
        <v>3</v>
      </c>
      <c r="K408">
        <v>1400</v>
      </c>
      <c r="L408">
        <v>4200</v>
      </c>
    </row>
    <row r="409" spans="1:12" x14ac:dyDescent="0.3">
      <c r="A409">
        <v>10408</v>
      </c>
      <c r="B409" s="2">
        <v>45919</v>
      </c>
      <c r="C409" t="s">
        <v>72</v>
      </c>
      <c r="D409" t="s">
        <v>73</v>
      </c>
      <c r="E409" t="s">
        <v>74</v>
      </c>
      <c r="F409" t="s">
        <v>28</v>
      </c>
      <c r="G409" t="s">
        <v>144</v>
      </c>
      <c r="H409" t="s">
        <v>145</v>
      </c>
      <c r="I409" t="s">
        <v>37</v>
      </c>
      <c r="J409">
        <v>1</v>
      </c>
      <c r="K409">
        <v>65000</v>
      </c>
      <c r="L409">
        <v>65000</v>
      </c>
    </row>
    <row r="410" spans="1:12" x14ac:dyDescent="0.3">
      <c r="A410">
        <v>10409</v>
      </c>
      <c r="B410" s="2">
        <v>45979</v>
      </c>
      <c r="C410" t="s">
        <v>43</v>
      </c>
      <c r="D410" t="s">
        <v>44</v>
      </c>
      <c r="E410" t="s">
        <v>45</v>
      </c>
      <c r="F410" t="s">
        <v>46</v>
      </c>
      <c r="G410" t="s">
        <v>29</v>
      </c>
      <c r="H410" t="s">
        <v>30</v>
      </c>
      <c r="I410" t="s">
        <v>18</v>
      </c>
      <c r="J410">
        <v>1</v>
      </c>
      <c r="K410">
        <v>15000</v>
      </c>
      <c r="L410">
        <v>15000</v>
      </c>
    </row>
    <row r="411" spans="1:12" x14ac:dyDescent="0.3">
      <c r="A411">
        <v>10410</v>
      </c>
      <c r="B411" s="2">
        <v>45834</v>
      </c>
      <c r="C411" t="s">
        <v>58</v>
      </c>
      <c r="D411" t="s">
        <v>59</v>
      </c>
      <c r="E411" t="s">
        <v>21</v>
      </c>
      <c r="F411" t="s">
        <v>15</v>
      </c>
      <c r="G411" t="s">
        <v>56</v>
      </c>
      <c r="H411" t="s">
        <v>57</v>
      </c>
      <c r="I411" t="s">
        <v>18</v>
      </c>
      <c r="J411">
        <v>1</v>
      </c>
      <c r="K411">
        <v>9000</v>
      </c>
      <c r="L411">
        <v>9000</v>
      </c>
    </row>
    <row r="412" spans="1:12" x14ac:dyDescent="0.3">
      <c r="A412">
        <v>10411</v>
      </c>
      <c r="B412" s="2">
        <v>45723</v>
      </c>
      <c r="C412" t="s">
        <v>175</v>
      </c>
      <c r="D412" t="s">
        <v>176</v>
      </c>
      <c r="E412" t="s">
        <v>84</v>
      </c>
      <c r="F412" t="s">
        <v>46</v>
      </c>
      <c r="G412" t="s">
        <v>144</v>
      </c>
      <c r="H412" t="s">
        <v>145</v>
      </c>
      <c r="I412" t="s">
        <v>37</v>
      </c>
      <c r="J412">
        <v>1</v>
      </c>
      <c r="K412">
        <v>65000</v>
      </c>
      <c r="L412">
        <v>65000</v>
      </c>
    </row>
    <row r="413" spans="1:12" x14ac:dyDescent="0.3">
      <c r="A413">
        <v>10412</v>
      </c>
      <c r="B413" s="2">
        <v>45954</v>
      </c>
      <c r="C413" t="s">
        <v>72</v>
      </c>
      <c r="D413" t="s">
        <v>73</v>
      </c>
      <c r="E413" t="s">
        <v>74</v>
      </c>
      <c r="F413" t="s">
        <v>28</v>
      </c>
      <c r="G413" t="s">
        <v>121</v>
      </c>
      <c r="H413" t="s">
        <v>122</v>
      </c>
      <c r="I413" t="s">
        <v>49</v>
      </c>
      <c r="J413">
        <v>1</v>
      </c>
      <c r="K413">
        <v>4800</v>
      </c>
      <c r="L413">
        <v>4800</v>
      </c>
    </row>
    <row r="414" spans="1:12" x14ac:dyDescent="0.3">
      <c r="A414">
        <v>10413</v>
      </c>
      <c r="B414" s="2">
        <v>45771</v>
      </c>
      <c r="C414" t="s">
        <v>105</v>
      </c>
      <c r="D414" t="s">
        <v>106</v>
      </c>
      <c r="E414" t="s">
        <v>45</v>
      </c>
      <c r="F414" t="s">
        <v>46</v>
      </c>
      <c r="G414" t="s">
        <v>103</v>
      </c>
      <c r="H414" t="s">
        <v>104</v>
      </c>
      <c r="I414" t="s">
        <v>37</v>
      </c>
      <c r="J414">
        <v>1</v>
      </c>
      <c r="K414">
        <v>28000</v>
      </c>
      <c r="L414">
        <v>28000</v>
      </c>
    </row>
    <row r="415" spans="1:12" x14ac:dyDescent="0.3">
      <c r="A415">
        <v>10414</v>
      </c>
      <c r="B415" s="2">
        <v>45821</v>
      </c>
      <c r="C415" t="s">
        <v>93</v>
      </c>
      <c r="D415" t="s">
        <v>94</v>
      </c>
      <c r="E415" t="s">
        <v>95</v>
      </c>
      <c r="F415" t="s">
        <v>15</v>
      </c>
      <c r="G415" t="s">
        <v>179</v>
      </c>
      <c r="H415" t="s">
        <v>180</v>
      </c>
      <c r="I415" t="s">
        <v>18</v>
      </c>
      <c r="J415">
        <v>3</v>
      </c>
      <c r="K415">
        <v>6500</v>
      </c>
      <c r="L415">
        <v>19500</v>
      </c>
    </row>
    <row r="416" spans="1:12" x14ac:dyDescent="0.3">
      <c r="A416">
        <v>10415</v>
      </c>
      <c r="B416" s="2">
        <v>45843</v>
      </c>
      <c r="C416" t="s">
        <v>146</v>
      </c>
      <c r="D416" t="s">
        <v>147</v>
      </c>
      <c r="E416" t="s">
        <v>64</v>
      </c>
      <c r="F416" t="s">
        <v>46</v>
      </c>
      <c r="G416" t="s">
        <v>103</v>
      </c>
      <c r="H416" t="s">
        <v>104</v>
      </c>
      <c r="I416" t="s">
        <v>37</v>
      </c>
      <c r="J416">
        <v>1</v>
      </c>
      <c r="K416">
        <v>28000</v>
      </c>
      <c r="L416">
        <v>28000</v>
      </c>
    </row>
    <row r="417" spans="1:12" x14ac:dyDescent="0.3">
      <c r="A417">
        <v>10416</v>
      </c>
      <c r="B417" s="2">
        <v>45685</v>
      </c>
      <c r="C417" t="s">
        <v>197</v>
      </c>
      <c r="D417" t="s">
        <v>198</v>
      </c>
      <c r="E417" t="s">
        <v>95</v>
      </c>
      <c r="F417" t="s">
        <v>15</v>
      </c>
      <c r="G417" t="s">
        <v>52</v>
      </c>
      <c r="H417" t="s">
        <v>53</v>
      </c>
      <c r="I417" t="s">
        <v>24</v>
      </c>
      <c r="J417">
        <v>1</v>
      </c>
      <c r="K417">
        <v>3500</v>
      </c>
      <c r="L417">
        <v>3500</v>
      </c>
    </row>
    <row r="418" spans="1:12" x14ac:dyDescent="0.3">
      <c r="A418">
        <v>10417</v>
      </c>
      <c r="B418" s="2">
        <v>45694</v>
      </c>
      <c r="C418" t="s">
        <v>62</v>
      </c>
      <c r="D418" t="s">
        <v>63</v>
      </c>
      <c r="E418" t="s">
        <v>64</v>
      </c>
      <c r="F418" t="s">
        <v>46</v>
      </c>
      <c r="G418" t="s">
        <v>65</v>
      </c>
      <c r="H418" t="s">
        <v>66</v>
      </c>
      <c r="I418" t="s">
        <v>49</v>
      </c>
      <c r="J418">
        <v>2</v>
      </c>
      <c r="K418">
        <v>2400</v>
      </c>
      <c r="L418">
        <v>4800</v>
      </c>
    </row>
    <row r="419" spans="1:12" x14ac:dyDescent="0.3">
      <c r="A419">
        <v>10418</v>
      </c>
      <c r="B419" s="2">
        <v>45695</v>
      </c>
      <c r="C419" t="s">
        <v>105</v>
      </c>
      <c r="D419" t="s">
        <v>106</v>
      </c>
      <c r="E419" t="s">
        <v>45</v>
      </c>
      <c r="F419" t="s">
        <v>46</v>
      </c>
      <c r="G419" t="s">
        <v>163</v>
      </c>
      <c r="H419" t="s">
        <v>164</v>
      </c>
      <c r="I419" t="s">
        <v>49</v>
      </c>
      <c r="J419">
        <v>4</v>
      </c>
      <c r="K419">
        <v>4200</v>
      </c>
      <c r="L419">
        <v>16800</v>
      </c>
    </row>
    <row r="420" spans="1:12" x14ac:dyDescent="0.3">
      <c r="A420">
        <v>10419</v>
      </c>
      <c r="B420" s="2">
        <v>45796</v>
      </c>
      <c r="C420" t="s">
        <v>138</v>
      </c>
      <c r="D420" t="s">
        <v>139</v>
      </c>
      <c r="E420" t="s">
        <v>79</v>
      </c>
      <c r="F420" t="s">
        <v>34</v>
      </c>
      <c r="G420" t="s">
        <v>121</v>
      </c>
      <c r="H420" t="s">
        <v>122</v>
      </c>
      <c r="I420" t="s">
        <v>49</v>
      </c>
      <c r="J420">
        <v>1</v>
      </c>
      <c r="K420">
        <v>4800</v>
      </c>
      <c r="L420">
        <v>4800</v>
      </c>
    </row>
    <row r="421" spans="1:12" x14ac:dyDescent="0.3">
      <c r="A421">
        <v>10420</v>
      </c>
      <c r="B421" s="2">
        <v>45831</v>
      </c>
      <c r="C421" t="s">
        <v>119</v>
      </c>
      <c r="D421" t="s">
        <v>120</v>
      </c>
      <c r="E421" t="s">
        <v>27</v>
      </c>
      <c r="F421" t="s">
        <v>28</v>
      </c>
      <c r="G421" t="s">
        <v>113</v>
      </c>
      <c r="H421" t="s">
        <v>114</v>
      </c>
      <c r="I421" t="s">
        <v>37</v>
      </c>
      <c r="J421">
        <v>2</v>
      </c>
      <c r="K421">
        <v>52000</v>
      </c>
      <c r="L421">
        <v>104000</v>
      </c>
    </row>
    <row r="422" spans="1:12" x14ac:dyDescent="0.3">
      <c r="A422">
        <v>10421</v>
      </c>
      <c r="B422" s="2">
        <v>45993</v>
      </c>
      <c r="C422" t="s">
        <v>146</v>
      </c>
      <c r="D422" t="s">
        <v>147</v>
      </c>
      <c r="E422" t="s">
        <v>64</v>
      </c>
      <c r="F422" t="s">
        <v>46</v>
      </c>
      <c r="G422" t="s">
        <v>167</v>
      </c>
      <c r="H422" t="s">
        <v>168</v>
      </c>
      <c r="I422" t="s">
        <v>49</v>
      </c>
      <c r="J422">
        <v>1</v>
      </c>
      <c r="K422">
        <v>3800</v>
      </c>
      <c r="L422">
        <v>3800</v>
      </c>
    </row>
    <row r="423" spans="1:12" x14ac:dyDescent="0.3">
      <c r="A423">
        <v>10422</v>
      </c>
      <c r="B423" s="2">
        <v>45824</v>
      </c>
      <c r="C423" t="s">
        <v>142</v>
      </c>
      <c r="D423" t="s">
        <v>143</v>
      </c>
      <c r="E423" t="s">
        <v>14</v>
      </c>
      <c r="F423" t="s">
        <v>15</v>
      </c>
      <c r="G423" t="s">
        <v>163</v>
      </c>
      <c r="H423" t="s">
        <v>164</v>
      </c>
      <c r="I423" t="s">
        <v>49</v>
      </c>
      <c r="J423">
        <v>1</v>
      </c>
      <c r="K423">
        <v>4200</v>
      </c>
      <c r="L423">
        <v>4200</v>
      </c>
    </row>
    <row r="424" spans="1:12" x14ac:dyDescent="0.3">
      <c r="A424">
        <v>10423</v>
      </c>
      <c r="B424" s="2">
        <v>45757</v>
      </c>
      <c r="C424" t="s">
        <v>12</v>
      </c>
      <c r="D424" t="s">
        <v>13</v>
      </c>
      <c r="E424" t="s">
        <v>14</v>
      </c>
      <c r="F424" t="s">
        <v>15</v>
      </c>
      <c r="G424" t="s">
        <v>113</v>
      </c>
      <c r="H424" t="s">
        <v>114</v>
      </c>
      <c r="I424" t="s">
        <v>37</v>
      </c>
      <c r="J424">
        <v>3</v>
      </c>
      <c r="K424">
        <v>52000</v>
      </c>
      <c r="L424">
        <v>156000</v>
      </c>
    </row>
    <row r="425" spans="1:12" x14ac:dyDescent="0.3">
      <c r="A425">
        <v>10424</v>
      </c>
      <c r="B425" s="2">
        <v>45837</v>
      </c>
      <c r="C425" t="s">
        <v>117</v>
      </c>
      <c r="D425" t="s">
        <v>118</v>
      </c>
      <c r="E425" t="s">
        <v>95</v>
      </c>
      <c r="F425" t="s">
        <v>15</v>
      </c>
      <c r="G425" t="s">
        <v>125</v>
      </c>
      <c r="H425" t="s">
        <v>126</v>
      </c>
      <c r="I425" t="s">
        <v>37</v>
      </c>
      <c r="J425">
        <v>1</v>
      </c>
      <c r="K425">
        <v>22000</v>
      </c>
      <c r="L425">
        <v>22000</v>
      </c>
    </row>
    <row r="426" spans="1:12" x14ac:dyDescent="0.3">
      <c r="A426">
        <v>10425</v>
      </c>
      <c r="B426" s="2">
        <v>45658</v>
      </c>
      <c r="C426" t="s">
        <v>12</v>
      </c>
      <c r="D426" t="s">
        <v>13</v>
      </c>
      <c r="E426" t="s">
        <v>14</v>
      </c>
      <c r="F426" t="s">
        <v>15</v>
      </c>
      <c r="G426" t="s">
        <v>167</v>
      </c>
      <c r="H426" t="s">
        <v>168</v>
      </c>
      <c r="I426" t="s">
        <v>49</v>
      </c>
      <c r="J426">
        <v>1</v>
      </c>
      <c r="K426">
        <v>3800</v>
      </c>
      <c r="L426">
        <v>3800</v>
      </c>
    </row>
    <row r="427" spans="1:12" x14ac:dyDescent="0.3">
      <c r="A427">
        <v>10426</v>
      </c>
      <c r="B427" s="2">
        <v>45930</v>
      </c>
      <c r="C427" t="s">
        <v>43</v>
      </c>
      <c r="D427" t="s">
        <v>44</v>
      </c>
      <c r="E427" t="s">
        <v>45</v>
      </c>
      <c r="F427" t="s">
        <v>46</v>
      </c>
      <c r="G427" t="s">
        <v>113</v>
      </c>
      <c r="H427" t="s">
        <v>114</v>
      </c>
      <c r="I427" t="s">
        <v>37</v>
      </c>
      <c r="J427">
        <v>3</v>
      </c>
      <c r="K427">
        <v>52000</v>
      </c>
      <c r="L427">
        <v>156000</v>
      </c>
    </row>
    <row r="428" spans="1:12" x14ac:dyDescent="0.3">
      <c r="A428">
        <v>10427</v>
      </c>
      <c r="B428" s="2">
        <v>45717</v>
      </c>
      <c r="C428" t="s">
        <v>218</v>
      </c>
      <c r="D428" t="s">
        <v>219</v>
      </c>
      <c r="E428" t="s">
        <v>160</v>
      </c>
      <c r="F428" t="s">
        <v>34</v>
      </c>
      <c r="G428" t="s">
        <v>96</v>
      </c>
      <c r="H428" t="s">
        <v>97</v>
      </c>
      <c r="I428" t="s">
        <v>37</v>
      </c>
      <c r="J428">
        <v>3</v>
      </c>
      <c r="K428">
        <v>18000</v>
      </c>
      <c r="L428">
        <v>54000</v>
      </c>
    </row>
    <row r="429" spans="1:12" x14ac:dyDescent="0.3">
      <c r="A429">
        <v>10428</v>
      </c>
      <c r="B429" s="2">
        <v>45948</v>
      </c>
      <c r="C429" t="s">
        <v>193</v>
      </c>
      <c r="D429" t="s">
        <v>194</v>
      </c>
      <c r="E429" t="s">
        <v>102</v>
      </c>
      <c r="F429" t="s">
        <v>34</v>
      </c>
      <c r="G429" t="s">
        <v>131</v>
      </c>
      <c r="H429" t="s">
        <v>132</v>
      </c>
      <c r="I429" t="s">
        <v>37</v>
      </c>
      <c r="J429">
        <v>1</v>
      </c>
      <c r="K429">
        <v>4500</v>
      </c>
      <c r="L429">
        <v>4500</v>
      </c>
    </row>
    <row r="430" spans="1:12" x14ac:dyDescent="0.3">
      <c r="A430">
        <v>10429</v>
      </c>
      <c r="B430" s="2">
        <v>45918</v>
      </c>
      <c r="C430" t="s">
        <v>208</v>
      </c>
      <c r="D430" t="s">
        <v>209</v>
      </c>
      <c r="E430" t="s">
        <v>95</v>
      </c>
      <c r="F430" t="s">
        <v>15</v>
      </c>
      <c r="G430" t="s">
        <v>75</v>
      </c>
      <c r="H430" t="s">
        <v>76</v>
      </c>
      <c r="I430" t="s">
        <v>49</v>
      </c>
      <c r="J430">
        <v>1</v>
      </c>
      <c r="K430">
        <v>3000</v>
      </c>
      <c r="L430">
        <v>3000</v>
      </c>
    </row>
    <row r="431" spans="1:12" x14ac:dyDescent="0.3">
      <c r="A431">
        <v>10430</v>
      </c>
      <c r="B431" s="2">
        <v>45849</v>
      </c>
      <c r="C431" t="s">
        <v>123</v>
      </c>
      <c r="D431" t="s">
        <v>124</v>
      </c>
      <c r="E431" t="s">
        <v>69</v>
      </c>
      <c r="F431" t="s">
        <v>28</v>
      </c>
      <c r="G431" t="s">
        <v>75</v>
      </c>
      <c r="H431" t="s">
        <v>76</v>
      </c>
      <c r="I431" t="s">
        <v>49</v>
      </c>
      <c r="J431">
        <v>2</v>
      </c>
      <c r="K431">
        <v>3000</v>
      </c>
      <c r="L431">
        <v>6000</v>
      </c>
    </row>
    <row r="432" spans="1:12" x14ac:dyDescent="0.3">
      <c r="A432">
        <v>10431</v>
      </c>
      <c r="B432" s="2">
        <v>45724</v>
      </c>
      <c r="C432" t="s">
        <v>197</v>
      </c>
      <c r="D432" t="s">
        <v>198</v>
      </c>
      <c r="E432" t="s">
        <v>95</v>
      </c>
      <c r="F432" t="s">
        <v>15</v>
      </c>
      <c r="G432" t="s">
        <v>187</v>
      </c>
      <c r="H432" t="s">
        <v>188</v>
      </c>
      <c r="I432" t="s">
        <v>24</v>
      </c>
      <c r="J432">
        <v>1</v>
      </c>
      <c r="K432">
        <v>5500</v>
      </c>
      <c r="L432">
        <v>5500</v>
      </c>
    </row>
    <row r="433" spans="1:12" x14ac:dyDescent="0.3">
      <c r="A433">
        <v>10432</v>
      </c>
      <c r="B433" s="2">
        <v>45925</v>
      </c>
      <c r="C433" t="s">
        <v>117</v>
      </c>
      <c r="D433" t="s">
        <v>118</v>
      </c>
      <c r="E433" t="s">
        <v>95</v>
      </c>
      <c r="F433" t="s">
        <v>15</v>
      </c>
      <c r="G433" t="s">
        <v>65</v>
      </c>
      <c r="H433" t="s">
        <v>66</v>
      </c>
      <c r="I433" t="s">
        <v>49</v>
      </c>
      <c r="J433">
        <v>3</v>
      </c>
      <c r="K433">
        <v>2400</v>
      </c>
      <c r="L433">
        <v>7200</v>
      </c>
    </row>
    <row r="434" spans="1:12" x14ac:dyDescent="0.3">
      <c r="A434">
        <v>10433</v>
      </c>
      <c r="B434" s="2">
        <v>45930</v>
      </c>
      <c r="C434" t="s">
        <v>43</v>
      </c>
      <c r="D434" t="s">
        <v>44</v>
      </c>
      <c r="E434" t="s">
        <v>45</v>
      </c>
      <c r="F434" t="s">
        <v>46</v>
      </c>
      <c r="G434" t="s">
        <v>103</v>
      </c>
      <c r="H434" t="s">
        <v>104</v>
      </c>
      <c r="I434" t="s">
        <v>37</v>
      </c>
      <c r="J434">
        <v>1</v>
      </c>
      <c r="K434">
        <v>28000</v>
      </c>
      <c r="L434">
        <v>28000</v>
      </c>
    </row>
    <row r="435" spans="1:12" x14ac:dyDescent="0.3">
      <c r="A435">
        <v>10434</v>
      </c>
      <c r="B435" s="2">
        <v>45664</v>
      </c>
      <c r="C435" t="s">
        <v>72</v>
      </c>
      <c r="D435" t="s">
        <v>73</v>
      </c>
      <c r="E435" t="s">
        <v>74</v>
      </c>
      <c r="F435" t="s">
        <v>28</v>
      </c>
      <c r="G435" t="s">
        <v>131</v>
      </c>
      <c r="H435" t="s">
        <v>132</v>
      </c>
      <c r="I435" t="s">
        <v>37</v>
      </c>
      <c r="J435">
        <v>1</v>
      </c>
      <c r="K435">
        <v>4500</v>
      </c>
      <c r="L435">
        <v>4500</v>
      </c>
    </row>
    <row r="436" spans="1:12" x14ac:dyDescent="0.3">
      <c r="A436">
        <v>10435</v>
      </c>
      <c r="B436" s="2">
        <v>45856</v>
      </c>
      <c r="C436" t="s">
        <v>105</v>
      </c>
      <c r="D436" t="s">
        <v>106</v>
      </c>
      <c r="E436" t="s">
        <v>45</v>
      </c>
      <c r="F436" t="s">
        <v>46</v>
      </c>
      <c r="G436" t="s">
        <v>131</v>
      </c>
      <c r="H436" t="s">
        <v>132</v>
      </c>
      <c r="I436" t="s">
        <v>37</v>
      </c>
      <c r="J436">
        <v>1</v>
      </c>
      <c r="K436">
        <v>4500</v>
      </c>
      <c r="L436">
        <v>4500</v>
      </c>
    </row>
    <row r="437" spans="1:12" x14ac:dyDescent="0.3">
      <c r="A437">
        <v>10436</v>
      </c>
      <c r="B437" s="2">
        <v>45789</v>
      </c>
      <c r="C437" t="s">
        <v>50</v>
      </c>
      <c r="D437" t="s">
        <v>51</v>
      </c>
      <c r="E437" t="s">
        <v>14</v>
      </c>
      <c r="F437" t="s">
        <v>15</v>
      </c>
      <c r="G437" t="s">
        <v>47</v>
      </c>
      <c r="H437" t="s">
        <v>48</v>
      </c>
      <c r="I437" t="s">
        <v>49</v>
      </c>
      <c r="J437">
        <v>1</v>
      </c>
      <c r="K437">
        <v>1600</v>
      </c>
      <c r="L437">
        <v>1600</v>
      </c>
    </row>
    <row r="438" spans="1:12" x14ac:dyDescent="0.3">
      <c r="A438">
        <v>10437</v>
      </c>
      <c r="B438" s="2">
        <v>45694</v>
      </c>
      <c r="C438" t="s">
        <v>175</v>
      </c>
      <c r="D438" t="s">
        <v>176</v>
      </c>
      <c r="E438" t="s">
        <v>84</v>
      </c>
      <c r="F438" t="s">
        <v>46</v>
      </c>
      <c r="G438" t="s">
        <v>96</v>
      </c>
      <c r="H438" t="s">
        <v>97</v>
      </c>
      <c r="I438" t="s">
        <v>37</v>
      </c>
      <c r="J438">
        <v>2</v>
      </c>
      <c r="K438">
        <v>18000</v>
      </c>
      <c r="L438">
        <v>36000</v>
      </c>
    </row>
    <row r="439" spans="1:12" x14ac:dyDescent="0.3">
      <c r="A439">
        <v>10438</v>
      </c>
      <c r="B439" s="2">
        <v>45979</v>
      </c>
      <c r="C439" t="s">
        <v>133</v>
      </c>
      <c r="D439" t="s">
        <v>134</v>
      </c>
      <c r="E439" t="s">
        <v>33</v>
      </c>
      <c r="F439" t="s">
        <v>34</v>
      </c>
      <c r="G439" t="s">
        <v>75</v>
      </c>
      <c r="H439" t="s">
        <v>76</v>
      </c>
      <c r="I439" t="s">
        <v>49</v>
      </c>
      <c r="J439">
        <v>3</v>
      </c>
      <c r="K439">
        <v>3000</v>
      </c>
      <c r="L439">
        <v>9000</v>
      </c>
    </row>
    <row r="440" spans="1:12" x14ac:dyDescent="0.3">
      <c r="A440">
        <v>10439</v>
      </c>
      <c r="B440" s="2">
        <v>45885</v>
      </c>
      <c r="C440" t="s">
        <v>181</v>
      </c>
      <c r="D440" t="s">
        <v>182</v>
      </c>
      <c r="E440" t="s">
        <v>21</v>
      </c>
      <c r="F440" t="s">
        <v>15</v>
      </c>
      <c r="G440" t="s">
        <v>121</v>
      </c>
      <c r="H440" t="s">
        <v>122</v>
      </c>
      <c r="I440" t="s">
        <v>49</v>
      </c>
      <c r="J440">
        <v>1</v>
      </c>
      <c r="K440">
        <v>4800</v>
      </c>
      <c r="L440">
        <v>4800</v>
      </c>
    </row>
    <row r="441" spans="1:12" x14ac:dyDescent="0.3">
      <c r="A441">
        <v>10440</v>
      </c>
      <c r="B441" s="2">
        <v>45897</v>
      </c>
      <c r="C441" t="s">
        <v>146</v>
      </c>
      <c r="D441" t="s">
        <v>147</v>
      </c>
      <c r="E441" t="s">
        <v>64</v>
      </c>
      <c r="F441" t="s">
        <v>46</v>
      </c>
      <c r="G441" t="s">
        <v>75</v>
      </c>
      <c r="H441" t="s">
        <v>76</v>
      </c>
      <c r="I441" t="s">
        <v>49</v>
      </c>
      <c r="J441">
        <v>1</v>
      </c>
      <c r="K441">
        <v>3000</v>
      </c>
      <c r="L441">
        <v>3000</v>
      </c>
    </row>
    <row r="442" spans="1:12" x14ac:dyDescent="0.3">
      <c r="A442">
        <v>10441</v>
      </c>
      <c r="B442" s="2">
        <v>45684</v>
      </c>
      <c r="C442" t="s">
        <v>204</v>
      </c>
      <c r="D442" t="s">
        <v>205</v>
      </c>
      <c r="E442" t="s">
        <v>201</v>
      </c>
      <c r="F442" t="s">
        <v>28</v>
      </c>
      <c r="G442" t="s">
        <v>179</v>
      </c>
      <c r="H442" t="s">
        <v>180</v>
      </c>
      <c r="I442" t="s">
        <v>18</v>
      </c>
      <c r="J442">
        <v>2</v>
      </c>
      <c r="K442">
        <v>6500</v>
      </c>
      <c r="L442">
        <v>13000</v>
      </c>
    </row>
    <row r="443" spans="1:12" x14ac:dyDescent="0.3">
      <c r="A443">
        <v>10442</v>
      </c>
      <c r="B443" s="2">
        <v>45859</v>
      </c>
      <c r="C443" t="s">
        <v>50</v>
      </c>
      <c r="D443" t="s">
        <v>51</v>
      </c>
      <c r="E443" t="s">
        <v>14</v>
      </c>
      <c r="F443" t="s">
        <v>15</v>
      </c>
      <c r="G443" t="s">
        <v>96</v>
      </c>
      <c r="H443" t="s">
        <v>97</v>
      </c>
      <c r="I443" t="s">
        <v>37</v>
      </c>
      <c r="J443">
        <v>1</v>
      </c>
      <c r="K443">
        <v>18000</v>
      </c>
      <c r="L443">
        <v>18000</v>
      </c>
    </row>
    <row r="444" spans="1:12" x14ac:dyDescent="0.3">
      <c r="A444">
        <v>10443</v>
      </c>
      <c r="B444" s="2">
        <v>45682</v>
      </c>
      <c r="C444" t="s">
        <v>175</v>
      </c>
      <c r="D444" t="s">
        <v>176</v>
      </c>
      <c r="E444" t="s">
        <v>84</v>
      </c>
      <c r="F444" t="s">
        <v>46</v>
      </c>
      <c r="G444" t="s">
        <v>29</v>
      </c>
      <c r="H444" t="s">
        <v>30</v>
      </c>
      <c r="I444" t="s">
        <v>18</v>
      </c>
      <c r="J444">
        <v>1</v>
      </c>
      <c r="K444">
        <v>15000</v>
      </c>
      <c r="L444">
        <v>15000</v>
      </c>
    </row>
    <row r="445" spans="1:12" x14ac:dyDescent="0.3">
      <c r="A445">
        <v>10444</v>
      </c>
      <c r="B445" s="2">
        <v>45762</v>
      </c>
      <c r="C445" t="s">
        <v>169</v>
      </c>
      <c r="D445" t="s">
        <v>170</v>
      </c>
      <c r="E445" t="s">
        <v>64</v>
      </c>
      <c r="F445" t="s">
        <v>46</v>
      </c>
      <c r="G445" t="s">
        <v>35</v>
      </c>
      <c r="H445" t="s">
        <v>36</v>
      </c>
      <c r="I445" t="s">
        <v>37</v>
      </c>
      <c r="J445">
        <v>1</v>
      </c>
      <c r="K445">
        <v>12000</v>
      </c>
      <c r="L445">
        <v>12000</v>
      </c>
    </row>
    <row r="446" spans="1:12" x14ac:dyDescent="0.3">
      <c r="A446">
        <v>10445</v>
      </c>
      <c r="B446" s="2">
        <v>45966</v>
      </c>
      <c r="C446" t="s">
        <v>111</v>
      </c>
      <c r="D446" t="s">
        <v>112</v>
      </c>
      <c r="E446" t="s">
        <v>40</v>
      </c>
      <c r="F446" t="s">
        <v>15</v>
      </c>
      <c r="G446" t="s">
        <v>167</v>
      </c>
      <c r="H446" t="s">
        <v>168</v>
      </c>
      <c r="I446" t="s">
        <v>49</v>
      </c>
      <c r="J446">
        <v>1</v>
      </c>
      <c r="K446">
        <v>3800</v>
      </c>
      <c r="L446">
        <v>3800</v>
      </c>
    </row>
    <row r="447" spans="1:12" x14ac:dyDescent="0.3">
      <c r="A447">
        <v>10446</v>
      </c>
      <c r="B447" s="2">
        <v>45713</v>
      </c>
      <c r="C447" t="s">
        <v>142</v>
      </c>
      <c r="D447" t="s">
        <v>143</v>
      </c>
      <c r="E447" t="s">
        <v>14</v>
      </c>
      <c r="F447" t="s">
        <v>15</v>
      </c>
      <c r="G447" t="s">
        <v>16</v>
      </c>
      <c r="H447" t="s">
        <v>17</v>
      </c>
      <c r="I447" t="s">
        <v>18</v>
      </c>
      <c r="J447">
        <v>1</v>
      </c>
      <c r="K447">
        <v>11000</v>
      </c>
      <c r="L447">
        <v>11000</v>
      </c>
    </row>
    <row r="448" spans="1:12" x14ac:dyDescent="0.3">
      <c r="A448">
        <v>10447</v>
      </c>
      <c r="B448" s="2">
        <v>45802</v>
      </c>
      <c r="C448" t="s">
        <v>148</v>
      </c>
      <c r="D448" t="s">
        <v>149</v>
      </c>
      <c r="E448" t="s">
        <v>14</v>
      </c>
      <c r="F448" t="s">
        <v>15</v>
      </c>
      <c r="G448" t="s">
        <v>140</v>
      </c>
      <c r="H448" t="s">
        <v>141</v>
      </c>
      <c r="I448" t="s">
        <v>18</v>
      </c>
      <c r="J448">
        <v>1</v>
      </c>
      <c r="K448">
        <v>3000</v>
      </c>
      <c r="L448">
        <v>3000</v>
      </c>
    </row>
    <row r="449" spans="1:12" x14ac:dyDescent="0.3">
      <c r="A449">
        <v>10448</v>
      </c>
      <c r="B449" s="2">
        <v>45680</v>
      </c>
      <c r="C449" t="s">
        <v>72</v>
      </c>
      <c r="D449" t="s">
        <v>73</v>
      </c>
      <c r="E449" t="s">
        <v>74</v>
      </c>
      <c r="F449" t="s">
        <v>28</v>
      </c>
      <c r="G449" t="s">
        <v>140</v>
      </c>
      <c r="H449" t="s">
        <v>141</v>
      </c>
      <c r="I449" t="s">
        <v>18</v>
      </c>
      <c r="J449">
        <v>3</v>
      </c>
      <c r="K449">
        <v>3000</v>
      </c>
      <c r="L449">
        <v>9000</v>
      </c>
    </row>
    <row r="450" spans="1:12" x14ac:dyDescent="0.3">
      <c r="A450">
        <v>10449</v>
      </c>
      <c r="B450" s="2">
        <v>45871</v>
      </c>
      <c r="C450" t="s">
        <v>87</v>
      </c>
      <c r="D450" t="s">
        <v>88</v>
      </c>
      <c r="E450" t="s">
        <v>64</v>
      </c>
      <c r="F450" t="s">
        <v>46</v>
      </c>
      <c r="G450" t="s">
        <v>144</v>
      </c>
      <c r="H450" t="s">
        <v>145</v>
      </c>
      <c r="I450" t="s">
        <v>37</v>
      </c>
      <c r="J450">
        <v>2</v>
      </c>
      <c r="K450">
        <v>65000</v>
      </c>
      <c r="L450">
        <v>130000</v>
      </c>
    </row>
    <row r="451" spans="1:12" x14ac:dyDescent="0.3">
      <c r="A451">
        <v>10450</v>
      </c>
      <c r="B451" s="2">
        <v>45873</v>
      </c>
      <c r="C451" t="s">
        <v>224</v>
      </c>
      <c r="D451" t="s">
        <v>225</v>
      </c>
      <c r="E451" t="s">
        <v>201</v>
      </c>
      <c r="F451" t="s">
        <v>28</v>
      </c>
      <c r="G451" t="s">
        <v>187</v>
      </c>
      <c r="H451" t="s">
        <v>188</v>
      </c>
      <c r="I451" t="s">
        <v>24</v>
      </c>
      <c r="J451">
        <v>1</v>
      </c>
      <c r="K451">
        <v>5500</v>
      </c>
      <c r="L451">
        <v>5500</v>
      </c>
    </row>
    <row r="452" spans="1:12" x14ac:dyDescent="0.3">
      <c r="A452">
        <v>10451</v>
      </c>
      <c r="B452" s="2">
        <v>45831</v>
      </c>
      <c r="C452" t="s">
        <v>202</v>
      </c>
      <c r="D452" t="s">
        <v>203</v>
      </c>
      <c r="E452" t="s">
        <v>64</v>
      </c>
      <c r="F452" t="s">
        <v>46</v>
      </c>
      <c r="G452" t="s">
        <v>144</v>
      </c>
      <c r="H452" t="s">
        <v>145</v>
      </c>
      <c r="I452" t="s">
        <v>37</v>
      </c>
      <c r="J452">
        <v>1</v>
      </c>
      <c r="K452">
        <v>65000</v>
      </c>
      <c r="L452">
        <v>65000</v>
      </c>
    </row>
    <row r="453" spans="1:12" x14ac:dyDescent="0.3">
      <c r="A453">
        <v>10452</v>
      </c>
      <c r="B453" s="2">
        <v>45698</v>
      </c>
      <c r="C453" t="s">
        <v>31</v>
      </c>
      <c r="D453" t="s">
        <v>32</v>
      </c>
      <c r="E453" t="s">
        <v>33</v>
      </c>
      <c r="F453" t="s">
        <v>34</v>
      </c>
      <c r="G453" t="s">
        <v>70</v>
      </c>
      <c r="H453" t="s">
        <v>71</v>
      </c>
      <c r="I453" t="s">
        <v>37</v>
      </c>
      <c r="J453">
        <v>1</v>
      </c>
      <c r="K453">
        <v>2200</v>
      </c>
      <c r="L453">
        <v>2200</v>
      </c>
    </row>
    <row r="454" spans="1:12" x14ac:dyDescent="0.3">
      <c r="A454">
        <v>10453</v>
      </c>
      <c r="B454" s="2">
        <v>45945</v>
      </c>
      <c r="C454" t="s">
        <v>93</v>
      </c>
      <c r="D454" t="s">
        <v>94</v>
      </c>
      <c r="E454" t="s">
        <v>95</v>
      </c>
      <c r="F454" t="s">
        <v>15</v>
      </c>
      <c r="G454" t="s">
        <v>113</v>
      </c>
      <c r="H454" t="s">
        <v>114</v>
      </c>
      <c r="I454" t="s">
        <v>37</v>
      </c>
      <c r="J454">
        <v>2</v>
      </c>
      <c r="K454">
        <v>52000</v>
      </c>
      <c r="L454">
        <v>104000</v>
      </c>
    </row>
    <row r="455" spans="1:12" x14ac:dyDescent="0.3">
      <c r="A455">
        <v>10454</v>
      </c>
      <c r="B455" s="2">
        <v>45785</v>
      </c>
      <c r="C455" t="s">
        <v>146</v>
      </c>
      <c r="D455" t="s">
        <v>147</v>
      </c>
      <c r="E455" t="s">
        <v>64</v>
      </c>
      <c r="F455" t="s">
        <v>46</v>
      </c>
      <c r="G455" t="s">
        <v>129</v>
      </c>
      <c r="H455" t="s">
        <v>130</v>
      </c>
      <c r="I455" t="s">
        <v>24</v>
      </c>
      <c r="J455">
        <v>2</v>
      </c>
      <c r="K455">
        <v>1400</v>
      </c>
      <c r="L455">
        <v>2800</v>
      </c>
    </row>
    <row r="456" spans="1:12" x14ac:dyDescent="0.3">
      <c r="A456">
        <v>10455</v>
      </c>
      <c r="B456" s="2">
        <v>45955</v>
      </c>
      <c r="C456" t="s">
        <v>133</v>
      </c>
      <c r="D456" t="s">
        <v>134</v>
      </c>
      <c r="E456" t="s">
        <v>33</v>
      </c>
      <c r="F456" t="s">
        <v>34</v>
      </c>
      <c r="G456" t="s">
        <v>103</v>
      </c>
      <c r="H456" t="s">
        <v>104</v>
      </c>
      <c r="I456" t="s">
        <v>37</v>
      </c>
      <c r="J456">
        <v>2</v>
      </c>
      <c r="K456">
        <v>28000</v>
      </c>
      <c r="L456">
        <v>56000</v>
      </c>
    </row>
    <row r="457" spans="1:12" x14ac:dyDescent="0.3">
      <c r="A457">
        <v>10456</v>
      </c>
      <c r="B457" s="2">
        <v>45828</v>
      </c>
      <c r="C457" t="s">
        <v>62</v>
      </c>
      <c r="D457" t="s">
        <v>63</v>
      </c>
      <c r="E457" t="s">
        <v>64</v>
      </c>
      <c r="F457" t="s">
        <v>46</v>
      </c>
      <c r="G457" t="s">
        <v>179</v>
      </c>
      <c r="H457" t="s">
        <v>180</v>
      </c>
      <c r="I457" t="s">
        <v>18</v>
      </c>
      <c r="J457">
        <v>1</v>
      </c>
      <c r="K457">
        <v>6500</v>
      </c>
      <c r="L457">
        <v>6500</v>
      </c>
    </row>
    <row r="458" spans="1:12" x14ac:dyDescent="0.3">
      <c r="A458">
        <v>10457</v>
      </c>
      <c r="B458" s="2">
        <v>45912</v>
      </c>
      <c r="C458" t="s">
        <v>105</v>
      </c>
      <c r="D458" t="s">
        <v>106</v>
      </c>
      <c r="E458" t="s">
        <v>45</v>
      </c>
      <c r="F458" t="s">
        <v>46</v>
      </c>
      <c r="G458" t="s">
        <v>65</v>
      </c>
      <c r="H458" t="s">
        <v>66</v>
      </c>
      <c r="I458" t="s">
        <v>49</v>
      </c>
      <c r="J458">
        <v>1</v>
      </c>
      <c r="K458">
        <v>2400</v>
      </c>
      <c r="L458">
        <v>2400</v>
      </c>
    </row>
    <row r="459" spans="1:12" x14ac:dyDescent="0.3">
      <c r="A459">
        <v>10458</v>
      </c>
      <c r="B459" s="2">
        <v>45923</v>
      </c>
      <c r="C459" t="s">
        <v>173</v>
      </c>
      <c r="D459" t="s">
        <v>174</v>
      </c>
      <c r="E459" t="s">
        <v>137</v>
      </c>
      <c r="F459" t="s">
        <v>46</v>
      </c>
      <c r="G459" t="s">
        <v>163</v>
      </c>
      <c r="H459" t="s">
        <v>164</v>
      </c>
      <c r="I459" t="s">
        <v>49</v>
      </c>
      <c r="J459">
        <v>2</v>
      </c>
      <c r="K459">
        <v>4200</v>
      </c>
      <c r="L459">
        <v>8400</v>
      </c>
    </row>
    <row r="460" spans="1:12" x14ac:dyDescent="0.3">
      <c r="A460">
        <v>10459</v>
      </c>
      <c r="B460" s="2">
        <v>45673</v>
      </c>
      <c r="C460" t="s">
        <v>91</v>
      </c>
      <c r="D460" t="s">
        <v>92</v>
      </c>
      <c r="E460" t="s">
        <v>40</v>
      </c>
      <c r="F460" t="s">
        <v>15</v>
      </c>
      <c r="G460" t="s">
        <v>47</v>
      </c>
      <c r="H460" t="s">
        <v>48</v>
      </c>
      <c r="I460" t="s">
        <v>49</v>
      </c>
      <c r="J460">
        <v>1</v>
      </c>
      <c r="K460">
        <v>1600</v>
      </c>
      <c r="L460">
        <v>1600</v>
      </c>
    </row>
    <row r="461" spans="1:12" x14ac:dyDescent="0.3">
      <c r="A461">
        <v>10460</v>
      </c>
      <c r="B461" s="2">
        <v>45664</v>
      </c>
      <c r="C461" t="s">
        <v>91</v>
      </c>
      <c r="D461" t="s">
        <v>92</v>
      </c>
      <c r="E461" t="s">
        <v>40</v>
      </c>
      <c r="F461" t="s">
        <v>15</v>
      </c>
      <c r="G461" t="s">
        <v>41</v>
      </c>
      <c r="H461" t="s">
        <v>42</v>
      </c>
      <c r="I461" t="s">
        <v>37</v>
      </c>
      <c r="J461">
        <v>3</v>
      </c>
      <c r="K461">
        <v>30000</v>
      </c>
      <c r="L461">
        <v>90000</v>
      </c>
    </row>
    <row r="462" spans="1:12" x14ac:dyDescent="0.3">
      <c r="A462">
        <v>10461</v>
      </c>
      <c r="B462" s="2">
        <v>45875</v>
      </c>
      <c r="C462" t="s">
        <v>150</v>
      </c>
      <c r="D462" t="s">
        <v>151</v>
      </c>
      <c r="E462" t="s">
        <v>84</v>
      </c>
      <c r="F462" t="s">
        <v>46</v>
      </c>
      <c r="G462" t="s">
        <v>41</v>
      </c>
      <c r="H462" t="s">
        <v>42</v>
      </c>
      <c r="I462" t="s">
        <v>37</v>
      </c>
      <c r="J462">
        <v>4</v>
      </c>
      <c r="K462">
        <v>30000</v>
      </c>
      <c r="L462">
        <v>120000</v>
      </c>
    </row>
    <row r="463" spans="1:12" x14ac:dyDescent="0.3">
      <c r="A463">
        <v>10462</v>
      </c>
      <c r="B463" s="2">
        <v>45791</v>
      </c>
      <c r="C463" t="s">
        <v>133</v>
      </c>
      <c r="D463" t="s">
        <v>134</v>
      </c>
      <c r="E463" t="s">
        <v>33</v>
      </c>
      <c r="F463" t="s">
        <v>34</v>
      </c>
      <c r="G463" t="s">
        <v>140</v>
      </c>
      <c r="H463" t="s">
        <v>141</v>
      </c>
      <c r="I463" t="s">
        <v>18</v>
      </c>
      <c r="J463">
        <v>1</v>
      </c>
      <c r="K463">
        <v>3000</v>
      </c>
      <c r="L463">
        <v>3000</v>
      </c>
    </row>
    <row r="464" spans="1:12" x14ac:dyDescent="0.3">
      <c r="A464">
        <v>10463</v>
      </c>
      <c r="B464" s="2">
        <v>45684</v>
      </c>
      <c r="C464" t="s">
        <v>193</v>
      </c>
      <c r="D464" t="s">
        <v>194</v>
      </c>
      <c r="E464" t="s">
        <v>102</v>
      </c>
      <c r="F464" t="s">
        <v>34</v>
      </c>
      <c r="G464" t="s">
        <v>56</v>
      </c>
      <c r="H464" t="s">
        <v>57</v>
      </c>
      <c r="I464" t="s">
        <v>18</v>
      </c>
      <c r="J464">
        <v>2</v>
      </c>
      <c r="K464">
        <v>9000</v>
      </c>
      <c r="L464">
        <v>18000</v>
      </c>
    </row>
    <row r="465" spans="1:12" x14ac:dyDescent="0.3">
      <c r="A465">
        <v>10464</v>
      </c>
      <c r="B465" s="2">
        <v>45799</v>
      </c>
      <c r="C465" t="s">
        <v>197</v>
      </c>
      <c r="D465" t="s">
        <v>198</v>
      </c>
      <c r="E465" t="s">
        <v>95</v>
      </c>
      <c r="F465" t="s">
        <v>15</v>
      </c>
      <c r="G465" t="s">
        <v>75</v>
      </c>
      <c r="H465" t="s">
        <v>76</v>
      </c>
      <c r="I465" t="s">
        <v>49</v>
      </c>
      <c r="J465">
        <v>3</v>
      </c>
      <c r="K465">
        <v>3000</v>
      </c>
      <c r="L465">
        <v>9000</v>
      </c>
    </row>
    <row r="466" spans="1:12" x14ac:dyDescent="0.3">
      <c r="A466">
        <v>10465</v>
      </c>
      <c r="B466" s="2">
        <v>45882</v>
      </c>
      <c r="C466" t="s">
        <v>191</v>
      </c>
      <c r="D466" t="s">
        <v>192</v>
      </c>
      <c r="E466" t="s">
        <v>27</v>
      </c>
      <c r="F466" t="s">
        <v>28</v>
      </c>
      <c r="G466" t="s">
        <v>167</v>
      </c>
      <c r="H466" t="s">
        <v>168</v>
      </c>
      <c r="I466" t="s">
        <v>49</v>
      </c>
      <c r="J466">
        <v>1</v>
      </c>
      <c r="K466">
        <v>3800</v>
      </c>
      <c r="L466">
        <v>3800</v>
      </c>
    </row>
    <row r="467" spans="1:12" x14ac:dyDescent="0.3">
      <c r="A467">
        <v>10466</v>
      </c>
      <c r="B467" s="2">
        <v>45765</v>
      </c>
      <c r="C467" t="s">
        <v>117</v>
      </c>
      <c r="D467" t="s">
        <v>118</v>
      </c>
      <c r="E467" t="s">
        <v>95</v>
      </c>
      <c r="F467" t="s">
        <v>15</v>
      </c>
      <c r="G467" t="s">
        <v>70</v>
      </c>
      <c r="H467" t="s">
        <v>71</v>
      </c>
      <c r="I467" t="s">
        <v>37</v>
      </c>
      <c r="J467">
        <v>1</v>
      </c>
      <c r="K467">
        <v>2200</v>
      </c>
      <c r="L467">
        <v>2200</v>
      </c>
    </row>
    <row r="468" spans="1:12" x14ac:dyDescent="0.3">
      <c r="A468">
        <v>10467</v>
      </c>
      <c r="B468" s="2">
        <v>45900</v>
      </c>
      <c r="C468" t="s">
        <v>236</v>
      </c>
      <c r="D468" t="s">
        <v>237</v>
      </c>
      <c r="E468" t="s">
        <v>201</v>
      </c>
      <c r="F468" t="s">
        <v>28</v>
      </c>
      <c r="G468" t="s">
        <v>109</v>
      </c>
      <c r="H468" t="s">
        <v>110</v>
      </c>
      <c r="I468" t="s">
        <v>18</v>
      </c>
      <c r="J468">
        <v>3</v>
      </c>
      <c r="K468">
        <v>5000</v>
      </c>
      <c r="L468">
        <v>15000</v>
      </c>
    </row>
    <row r="469" spans="1:12" x14ac:dyDescent="0.3">
      <c r="A469">
        <v>10468</v>
      </c>
      <c r="B469" s="2">
        <v>45804</v>
      </c>
      <c r="C469" t="s">
        <v>175</v>
      </c>
      <c r="D469" t="s">
        <v>176</v>
      </c>
      <c r="E469" t="s">
        <v>84</v>
      </c>
      <c r="F469" t="s">
        <v>46</v>
      </c>
      <c r="G469" t="s">
        <v>125</v>
      </c>
      <c r="H469" t="s">
        <v>126</v>
      </c>
      <c r="I469" t="s">
        <v>37</v>
      </c>
      <c r="J469">
        <v>1</v>
      </c>
      <c r="K469">
        <v>22000</v>
      </c>
      <c r="L469">
        <v>22000</v>
      </c>
    </row>
    <row r="470" spans="1:12" x14ac:dyDescent="0.3">
      <c r="A470">
        <v>10469</v>
      </c>
      <c r="B470" s="2">
        <v>45806</v>
      </c>
      <c r="C470" t="s">
        <v>115</v>
      </c>
      <c r="D470" t="s">
        <v>116</v>
      </c>
      <c r="E470" t="s">
        <v>33</v>
      </c>
      <c r="F470" t="s">
        <v>34</v>
      </c>
      <c r="G470" t="s">
        <v>98</v>
      </c>
      <c r="H470" t="s">
        <v>99</v>
      </c>
      <c r="I470" t="s">
        <v>24</v>
      </c>
      <c r="J470">
        <v>1</v>
      </c>
      <c r="K470">
        <v>2000</v>
      </c>
      <c r="L470">
        <v>2000</v>
      </c>
    </row>
    <row r="471" spans="1:12" x14ac:dyDescent="0.3">
      <c r="A471">
        <v>10470</v>
      </c>
      <c r="B471" s="2">
        <v>45994</v>
      </c>
      <c r="C471" t="s">
        <v>135</v>
      </c>
      <c r="D471" t="s">
        <v>136</v>
      </c>
      <c r="E471" t="s">
        <v>137</v>
      </c>
      <c r="F471" t="s">
        <v>46</v>
      </c>
      <c r="G471" t="s">
        <v>140</v>
      </c>
      <c r="H471" t="s">
        <v>141</v>
      </c>
      <c r="I471" t="s">
        <v>18</v>
      </c>
      <c r="J471">
        <v>1</v>
      </c>
      <c r="K471">
        <v>3000</v>
      </c>
      <c r="L471">
        <v>3000</v>
      </c>
    </row>
    <row r="472" spans="1:12" x14ac:dyDescent="0.3">
      <c r="A472">
        <v>10471</v>
      </c>
      <c r="B472" s="2">
        <v>45746</v>
      </c>
      <c r="C472" t="s">
        <v>195</v>
      </c>
      <c r="D472" t="s">
        <v>196</v>
      </c>
      <c r="E472" t="s">
        <v>102</v>
      </c>
      <c r="F472" t="s">
        <v>34</v>
      </c>
      <c r="G472" t="s">
        <v>177</v>
      </c>
      <c r="H472" t="s">
        <v>178</v>
      </c>
      <c r="I472" t="s">
        <v>37</v>
      </c>
      <c r="J472">
        <v>1</v>
      </c>
      <c r="K472">
        <v>2500</v>
      </c>
      <c r="L472">
        <v>2500</v>
      </c>
    </row>
    <row r="473" spans="1:12" x14ac:dyDescent="0.3">
      <c r="A473">
        <v>10472</v>
      </c>
      <c r="B473" s="2">
        <v>45765</v>
      </c>
      <c r="C473" t="s">
        <v>111</v>
      </c>
      <c r="D473" t="s">
        <v>112</v>
      </c>
      <c r="E473" t="s">
        <v>40</v>
      </c>
      <c r="F473" t="s">
        <v>15</v>
      </c>
      <c r="G473" t="s">
        <v>29</v>
      </c>
      <c r="H473" t="s">
        <v>30</v>
      </c>
      <c r="I473" t="s">
        <v>18</v>
      </c>
      <c r="J473">
        <v>1</v>
      </c>
      <c r="K473">
        <v>15000</v>
      </c>
      <c r="L473">
        <v>15000</v>
      </c>
    </row>
    <row r="474" spans="1:12" x14ac:dyDescent="0.3">
      <c r="A474">
        <v>10473</v>
      </c>
      <c r="B474" s="2">
        <v>46019</v>
      </c>
      <c r="C474" t="s">
        <v>242</v>
      </c>
      <c r="D474" t="s">
        <v>243</v>
      </c>
      <c r="E474" t="s">
        <v>40</v>
      </c>
      <c r="F474" t="s">
        <v>15</v>
      </c>
      <c r="G474" t="s">
        <v>121</v>
      </c>
      <c r="H474" t="s">
        <v>122</v>
      </c>
      <c r="I474" t="s">
        <v>49</v>
      </c>
      <c r="J474">
        <v>1</v>
      </c>
      <c r="K474">
        <v>4800</v>
      </c>
      <c r="L474">
        <v>4800</v>
      </c>
    </row>
    <row r="475" spans="1:12" x14ac:dyDescent="0.3">
      <c r="A475">
        <v>10474</v>
      </c>
      <c r="B475" s="2">
        <v>45743</v>
      </c>
      <c r="C475" t="s">
        <v>25</v>
      </c>
      <c r="D475" t="s">
        <v>26</v>
      </c>
      <c r="E475" t="s">
        <v>27</v>
      </c>
      <c r="F475" t="s">
        <v>28</v>
      </c>
      <c r="G475" t="s">
        <v>140</v>
      </c>
      <c r="H475" t="s">
        <v>141</v>
      </c>
      <c r="I475" t="s">
        <v>18</v>
      </c>
      <c r="J475">
        <v>1</v>
      </c>
      <c r="K475">
        <v>3000</v>
      </c>
      <c r="L475">
        <v>3000</v>
      </c>
    </row>
    <row r="476" spans="1:12" x14ac:dyDescent="0.3">
      <c r="A476">
        <v>10475</v>
      </c>
      <c r="B476" s="2">
        <v>45718</v>
      </c>
      <c r="C476" t="s">
        <v>58</v>
      </c>
      <c r="D476" t="s">
        <v>59</v>
      </c>
      <c r="E476" t="s">
        <v>21</v>
      </c>
      <c r="F476" t="s">
        <v>15</v>
      </c>
      <c r="G476" t="s">
        <v>56</v>
      </c>
      <c r="H476" t="s">
        <v>57</v>
      </c>
      <c r="I476" t="s">
        <v>18</v>
      </c>
      <c r="J476">
        <v>1</v>
      </c>
      <c r="K476">
        <v>9000</v>
      </c>
      <c r="L476">
        <v>9000</v>
      </c>
    </row>
    <row r="477" spans="1:12" x14ac:dyDescent="0.3">
      <c r="A477">
        <v>10476</v>
      </c>
      <c r="B477" s="2">
        <v>45908</v>
      </c>
      <c r="C477" t="s">
        <v>127</v>
      </c>
      <c r="D477" t="s">
        <v>128</v>
      </c>
      <c r="E477" t="s">
        <v>102</v>
      </c>
      <c r="F477" t="s">
        <v>34</v>
      </c>
      <c r="G477" t="s">
        <v>121</v>
      </c>
      <c r="H477" t="s">
        <v>122</v>
      </c>
      <c r="I477" t="s">
        <v>49</v>
      </c>
      <c r="J477">
        <v>1</v>
      </c>
      <c r="K477">
        <v>4800</v>
      </c>
      <c r="L477">
        <v>4800</v>
      </c>
    </row>
    <row r="478" spans="1:12" x14ac:dyDescent="0.3">
      <c r="A478">
        <v>10477</v>
      </c>
      <c r="B478" s="2">
        <v>46001</v>
      </c>
      <c r="C478" t="s">
        <v>82</v>
      </c>
      <c r="D478" t="s">
        <v>83</v>
      </c>
      <c r="E478" t="s">
        <v>84</v>
      </c>
      <c r="F478" t="s">
        <v>46</v>
      </c>
      <c r="G478" t="s">
        <v>22</v>
      </c>
      <c r="H478" t="s">
        <v>23</v>
      </c>
      <c r="I478" t="s">
        <v>24</v>
      </c>
      <c r="J478">
        <v>1</v>
      </c>
      <c r="K478">
        <v>2400</v>
      </c>
      <c r="L478">
        <v>2400</v>
      </c>
    </row>
    <row r="479" spans="1:12" x14ac:dyDescent="0.3">
      <c r="A479">
        <v>10478</v>
      </c>
      <c r="B479" s="2">
        <v>45734</v>
      </c>
      <c r="C479" t="s">
        <v>148</v>
      </c>
      <c r="D479" t="s">
        <v>149</v>
      </c>
      <c r="E479" t="s">
        <v>14</v>
      </c>
      <c r="F479" t="s">
        <v>15</v>
      </c>
      <c r="G479" t="s">
        <v>152</v>
      </c>
      <c r="H479" t="s">
        <v>153</v>
      </c>
      <c r="I479" t="s">
        <v>49</v>
      </c>
      <c r="J479">
        <v>2</v>
      </c>
      <c r="K479">
        <v>3200</v>
      </c>
      <c r="L479">
        <v>6400</v>
      </c>
    </row>
    <row r="480" spans="1:12" x14ac:dyDescent="0.3">
      <c r="A480">
        <v>10479</v>
      </c>
      <c r="B480" s="2">
        <v>45830</v>
      </c>
      <c r="C480" t="s">
        <v>146</v>
      </c>
      <c r="D480" t="s">
        <v>147</v>
      </c>
      <c r="E480" t="s">
        <v>64</v>
      </c>
      <c r="F480" t="s">
        <v>46</v>
      </c>
      <c r="G480" t="s">
        <v>131</v>
      </c>
      <c r="H480" t="s">
        <v>132</v>
      </c>
      <c r="I480" t="s">
        <v>37</v>
      </c>
      <c r="J480">
        <v>1</v>
      </c>
      <c r="K480">
        <v>4500</v>
      </c>
      <c r="L480">
        <v>4500</v>
      </c>
    </row>
    <row r="481" spans="1:12" x14ac:dyDescent="0.3">
      <c r="A481">
        <v>10480</v>
      </c>
      <c r="B481" s="2">
        <v>45754</v>
      </c>
      <c r="C481" t="s">
        <v>50</v>
      </c>
      <c r="D481" t="s">
        <v>51</v>
      </c>
      <c r="E481" t="s">
        <v>14</v>
      </c>
      <c r="F481" t="s">
        <v>15</v>
      </c>
      <c r="G481" t="s">
        <v>29</v>
      </c>
      <c r="H481" t="s">
        <v>30</v>
      </c>
      <c r="I481" t="s">
        <v>18</v>
      </c>
      <c r="J481">
        <v>1</v>
      </c>
      <c r="K481">
        <v>15000</v>
      </c>
      <c r="L481">
        <v>15000</v>
      </c>
    </row>
    <row r="482" spans="1:12" x14ac:dyDescent="0.3">
      <c r="A482">
        <v>10481</v>
      </c>
      <c r="B482" s="2">
        <v>45809</v>
      </c>
      <c r="C482" t="s">
        <v>85</v>
      </c>
      <c r="D482" t="s">
        <v>86</v>
      </c>
      <c r="E482" t="s">
        <v>45</v>
      </c>
      <c r="F482" t="s">
        <v>46</v>
      </c>
      <c r="G482" t="s">
        <v>179</v>
      </c>
      <c r="H482" t="s">
        <v>180</v>
      </c>
      <c r="I482" t="s">
        <v>18</v>
      </c>
      <c r="J482">
        <v>1</v>
      </c>
      <c r="K482">
        <v>6500</v>
      </c>
      <c r="L482">
        <v>6500</v>
      </c>
    </row>
    <row r="483" spans="1:12" x14ac:dyDescent="0.3">
      <c r="A483">
        <v>10482</v>
      </c>
      <c r="B483" s="2">
        <v>46020</v>
      </c>
      <c r="C483" t="s">
        <v>212</v>
      </c>
      <c r="D483" t="s">
        <v>213</v>
      </c>
      <c r="E483" t="s">
        <v>69</v>
      </c>
      <c r="F483" t="s">
        <v>28</v>
      </c>
      <c r="G483" t="s">
        <v>163</v>
      </c>
      <c r="H483" t="s">
        <v>164</v>
      </c>
      <c r="I483" t="s">
        <v>49</v>
      </c>
      <c r="J483">
        <v>1</v>
      </c>
      <c r="K483">
        <v>4200</v>
      </c>
      <c r="L483">
        <v>4200</v>
      </c>
    </row>
    <row r="484" spans="1:12" x14ac:dyDescent="0.3">
      <c r="A484">
        <v>10483</v>
      </c>
      <c r="B484" s="2">
        <v>45694</v>
      </c>
      <c r="C484" t="s">
        <v>210</v>
      </c>
      <c r="D484" t="s">
        <v>211</v>
      </c>
      <c r="E484" t="s">
        <v>40</v>
      </c>
      <c r="F484" t="s">
        <v>15</v>
      </c>
      <c r="G484" t="s">
        <v>131</v>
      </c>
      <c r="H484" t="s">
        <v>132</v>
      </c>
      <c r="I484" t="s">
        <v>37</v>
      </c>
      <c r="J484">
        <v>1</v>
      </c>
      <c r="K484">
        <v>4500</v>
      </c>
      <c r="L484">
        <v>4500</v>
      </c>
    </row>
    <row r="485" spans="1:12" x14ac:dyDescent="0.3">
      <c r="A485">
        <v>10484</v>
      </c>
      <c r="B485" s="2">
        <v>45804</v>
      </c>
      <c r="C485" t="s">
        <v>115</v>
      </c>
      <c r="D485" t="s">
        <v>116</v>
      </c>
      <c r="E485" t="s">
        <v>33</v>
      </c>
      <c r="F485" t="s">
        <v>34</v>
      </c>
      <c r="G485" t="s">
        <v>98</v>
      </c>
      <c r="H485" t="s">
        <v>99</v>
      </c>
      <c r="I485" t="s">
        <v>24</v>
      </c>
      <c r="J485">
        <v>1</v>
      </c>
      <c r="K485">
        <v>2000</v>
      </c>
      <c r="L485">
        <v>2000</v>
      </c>
    </row>
    <row r="486" spans="1:12" x14ac:dyDescent="0.3">
      <c r="A486">
        <v>10485</v>
      </c>
      <c r="B486" s="2">
        <v>45842</v>
      </c>
      <c r="C486" t="s">
        <v>183</v>
      </c>
      <c r="D486" t="s">
        <v>184</v>
      </c>
      <c r="E486" t="s">
        <v>27</v>
      </c>
      <c r="F486" t="s">
        <v>28</v>
      </c>
      <c r="G486" t="s">
        <v>29</v>
      </c>
      <c r="H486" t="s">
        <v>30</v>
      </c>
      <c r="I486" t="s">
        <v>18</v>
      </c>
      <c r="J486">
        <v>3</v>
      </c>
      <c r="K486">
        <v>15000</v>
      </c>
      <c r="L486">
        <v>45000</v>
      </c>
    </row>
    <row r="487" spans="1:12" x14ac:dyDescent="0.3">
      <c r="A487">
        <v>10486</v>
      </c>
      <c r="B487" s="2">
        <v>45681</v>
      </c>
      <c r="C487" t="s">
        <v>208</v>
      </c>
      <c r="D487" t="s">
        <v>209</v>
      </c>
      <c r="E487" t="s">
        <v>95</v>
      </c>
      <c r="F487" t="s">
        <v>15</v>
      </c>
      <c r="G487" t="s">
        <v>177</v>
      </c>
      <c r="H487" t="s">
        <v>178</v>
      </c>
      <c r="I487" t="s">
        <v>37</v>
      </c>
      <c r="J487">
        <v>1</v>
      </c>
      <c r="K487">
        <v>2500</v>
      </c>
      <c r="L487">
        <v>2500</v>
      </c>
    </row>
    <row r="488" spans="1:12" x14ac:dyDescent="0.3">
      <c r="A488">
        <v>10487</v>
      </c>
      <c r="B488" s="2">
        <v>45823</v>
      </c>
      <c r="C488" t="s">
        <v>123</v>
      </c>
      <c r="D488" t="s">
        <v>124</v>
      </c>
      <c r="E488" t="s">
        <v>69</v>
      </c>
      <c r="F488" t="s">
        <v>28</v>
      </c>
      <c r="G488" t="s">
        <v>65</v>
      </c>
      <c r="H488" t="s">
        <v>66</v>
      </c>
      <c r="I488" t="s">
        <v>49</v>
      </c>
      <c r="J488">
        <v>1</v>
      </c>
      <c r="K488">
        <v>2400</v>
      </c>
      <c r="L488">
        <v>2400</v>
      </c>
    </row>
    <row r="489" spans="1:12" x14ac:dyDescent="0.3">
      <c r="A489">
        <v>10488</v>
      </c>
      <c r="B489" s="2">
        <v>45658</v>
      </c>
      <c r="C489" t="s">
        <v>38</v>
      </c>
      <c r="D489" t="s">
        <v>39</v>
      </c>
      <c r="E489" t="s">
        <v>40</v>
      </c>
      <c r="F489" t="s">
        <v>15</v>
      </c>
      <c r="G489" t="s">
        <v>41</v>
      </c>
      <c r="H489" t="s">
        <v>42</v>
      </c>
      <c r="I489" t="s">
        <v>37</v>
      </c>
      <c r="J489">
        <v>1</v>
      </c>
      <c r="K489">
        <v>30000</v>
      </c>
      <c r="L489">
        <v>30000</v>
      </c>
    </row>
    <row r="490" spans="1:12" x14ac:dyDescent="0.3">
      <c r="A490">
        <v>10489</v>
      </c>
      <c r="B490" s="2">
        <v>45848</v>
      </c>
      <c r="C490" t="s">
        <v>189</v>
      </c>
      <c r="D490" t="s">
        <v>190</v>
      </c>
      <c r="E490" t="s">
        <v>160</v>
      </c>
      <c r="F490" t="s">
        <v>34</v>
      </c>
      <c r="G490" t="s">
        <v>113</v>
      </c>
      <c r="H490" t="s">
        <v>114</v>
      </c>
      <c r="I490" t="s">
        <v>37</v>
      </c>
      <c r="J490">
        <v>1</v>
      </c>
      <c r="K490">
        <v>52000</v>
      </c>
      <c r="L490">
        <v>52000</v>
      </c>
    </row>
    <row r="491" spans="1:12" x14ac:dyDescent="0.3">
      <c r="A491">
        <v>10490</v>
      </c>
      <c r="B491" s="2">
        <v>45941</v>
      </c>
      <c r="C491" t="s">
        <v>169</v>
      </c>
      <c r="D491" t="s">
        <v>170</v>
      </c>
      <c r="E491" t="s">
        <v>64</v>
      </c>
      <c r="F491" t="s">
        <v>46</v>
      </c>
      <c r="G491" t="s">
        <v>47</v>
      </c>
      <c r="H491" t="s">
        <v>48</v>
      </c>
      <c r="I491" t="s">
        <v>49</v>
      </c>
      <c r="J491">
        <v>2</v>
      </c>
      <c r="K491">
        <v>1600</v>
      </c>
      <c r="L491">
        <v>3200</v>
      </c>
    </row>
    <row r="492" spans="1:12" x14ac:dyDescent="0.3">
      <c r="A492">
        <v>10491</v>
      </c>
      <c r="B492" s="2">
        <v>45694</v>
      </c>
      <c r="C492" t="s">
        <v>236</v>
      </c>
      <c r="D492" t="s">
        <v>237</v>
      </c>
      <c r="E492" t="s">
        <v>201</v>
      </c>
      <c r="F492" t="s">
        <v>28</v>
      </c>
      <c r="G492" t="s">
        <v>89</v>
      </c>
      <c r="H492" t="s">
        <v>90</v>
      </c>
      <c r="I492" t="s">
        <v>18</v>
      </c>
      <c r="J492">
        <v>2</v>
      </c>
      <c r="K492">
        <v>4200</v>
      </c>
      <c r="L492">
        <v>8400</v>
      </c>
    </row>
    <row r="493" spans="1:12" x14ac:dyDescent="0.3">
      <c r="A493">
        <v>10492</v>
      </c>
      <c r="B493" s="2">
        <v>45976</v>
      </c>
      <c r="C493" t="s">
        <v>183</v>
      </c>
      <c r="D493" t="s">
        <v>184</v>
      </c>
      <c r="E493" t="s">
        <v>27</v>
      </c>
      <c r="F493" t="s">
        <v>28</v>
      </c>
      <c r="G493" t="s">
        <v>163</v>
      </c>
      <c r="H493" t="s">
        <v>164</v>
      </c>
      <c r="I493" t="s">
        <v>49</v>
      </c>
      <c r="J493">
        <v>1</v>
      </c>
      <c r="K493">
        <v>4200</v>
      </c>
      <c r="L493">
        <v>4200</v>
      </c>
    </row>
    <row r="494" spans="1:12" x14ac:dyDescent="0.3">
      <c r="A494">
        <v>10493</v>
      </c>
      <c r="B494" s="2">
        <v>45689</v>
      </c>
      <c r="C494" t="s">
        <v>105</v>
      </c>
      <c r="D494" t="s">
        <v>106</v>
      </c>
      <c r="E494" t="s">
        <v>45</v>
      </c>
      <c r="F494" t="s">
        <v>46</v>
      </c>
      <c r="G494" t="s">
        <v>144</v>
      </c>
      <c r="H494" t="s">
        <v>145</v>
      </c>
      <c r="I494" t="s">
        <v>37</v>
      </c>
      <c r="J494">
        <v>1</v>
      </c>
      <c r="K494">
        <v>65000</v>
      </c>
      <c r="L494">
        <v>65000</v>
      </c>
    </row>
    <row r="495" spans="1:12" x14ac:dyDescent="0.3">
      <c r="A495">
        <v>10494</v>
      </c>
      <c r="B495" s="2">
        <v>45830</v>
      </c>
      <c r="C495" t="s">
        <v>43</v>
      </c>
      <c r="D495" t="s">
        <v>44</v>
      </c>
      <c r="E495" t="s">
        <v>45</v>
      </c>
      <c r="F495" t="s">
        <v>46</v>
      </c>
      <c r="G495" t="s">
        <v>187</v>
      </c>
      <c r="H495" t="s">
        <v>188</v>
      </c>
      <c r="I495" t="s">
        <v>24</v>
      </c>
      <c r="J495">
        <v>2</v>
      </c>
      <c r="K495">
        <v>5500</v>
      </c>
      <c r="L495">
        <v>11000</v>
      </c>
    </row>
    <row r="496" spans="1:12" x14ac:dyDescent="0.3">
      <c r="A496">
        <v>10495</v>
      </c>
      <c r="B496" s="2">
        <v>45816</v>
      </c>
      <c r="C496" t="s">
        <v>117</v>
      </c>
      <c r="D496" t="s">
        <v>118</v>
      </c>
      <c r="E496" t="s">
        <v>95</v>
      </c>
      <c r="F496" t="s">
        <v>15</v>
      </c>
      <c r="G496" t="s">
        <v>129</v>
      </c>
      <c r="H496" t="s">
        <v>130</v>
      </c>
      <c r="I496" t="s">
        <v>24</v>
      </c>
      <c r="J496">
        <v>1</v>
      </c>
      <c r="K496">
        <v>1400</v>
      </c>
      <c r="L496">
        <v>1400</v>
      </c>
    </row>
    <row r="497" spans="1:12" x14ac:dyDescent="0.3">
      <c r="A497">
        <v>10496</v>
      </c>
      <c r="B497" s="2">
        <v>45907</v>
      </c>
      <c r="C497" t="s">
        <v>115</v>
      </c>
      <c r="D497" t="s">
        <v>116</v>
      </c>
      <c r="E497" t="s">
        <v>33</v>
      </c>
      <c r="F497" t="s">
        <v>34</v>
      </c>
      <c r="G497" t="s">
        <v>52</v>
      </c>
      <c r="H497" t="s">
        <v>53</v>
      </c>
      <c r="I497" t="s">
        <v>24</v>
      </c>
      <c r="J497">
        <v>1</v>
      </c>
      <c r="K497">
        <v>3500</v>
      </c>
      <c r="L497">
        <v>3500</v>
      </c>
    </row>
    <row r="498" spans="1:12" x14ac:dyDescent="0.3">
      <c r="A498">
        <v>10497</v>
      </c>
      <c r="B498" s="2">
        <v>45983</v>
      </c>
      <c r="C498" t="s">
        <v>82</v>
      </c>
      <c r="D498" t="s">
        <v>83</v>
      </c>
      <c r="E498" t="s">
        <v>84</v>
      </c>
      <c r="F498" t="s">
        <v>46</v>
      </c>
      <c r="G498" t="s">
        <v>140</v>
      </c>
      <c r="H498" t="s">
        <v>141</v>
      </c>
      <c r="I498" t="s">
        <v>18</v>
      </c>
      <c r="J498">
        <v>1</v>
      </c>
      <c r="K498">
        <v>3000</v>
      </c>
      <c r="L498">
        <v>3000</v>
      </c>
    </row>
    <row r="499" spans="1:12" x14ac:dyDescent="0.3">
      <c r="A499">
        <v>10498</v>
      </c>
      <c r="B499" s="2">
        <v>45837</v>
      </c>
      <c r="C499" t="s">
        <v>171</v>
      </c>
      <c r="D499" t="s">
        <v>172</v>
      </c>
      <c r="E499" t="s">
        <v>45</v>
      </c>
      <c r="F499" t="s">
        <v>46</v>
      </c>
      <c r="G499" t="s">
        <v>47</v>
      </c>
      <c r="H499" t="s">
        <v>48</v>
      </c>
      <c r="I499" t="s">
        <v>49</v>
      </c>
      <c r="J499">
        <v>1</v>
      </c>
      <c r="K499">
        <v>1600</v>
      </c>
      <c r="L499">
        <v>1600</v>
      </c>
    </row>
    <row r="500" spans="1:12" x14ac:dyDescent="0.3">
      <c r="A500">
        <v>10499</v>
      </c>
      <c r="B500" s="2">
        <v>45979</v>
      </c>
      <c r="C500" t="s">
        <v>67</v>
      </c>
      <c r="D500" t="s">
        <v>68</v>
      </c>
      <c r="E500" t="s">
        <v>69</v>
      </c>
      <c r="F500" t="s">
        <v>28</v>
      </c>
      <c r="G500" t="s">
        <v>144</v>
      </c>
      <c r="H500" t="s">
        <v>145</v>
      </c>
      <c r="I500" t="s">
        <v>37</v>
      </c>
      <c r="J500">
        <v>2</v>
      </c>
      <c r="K500">
        <v>65000</v>
      </c>
      <c r="L500">
        <v>130000</v>
      </c>
    </row>
    <row r="501" spans="1:12" x14ac:dyDescent="0.3">
      <c r="A501">
        <v>10500</v>
      </c>
      <c r="B501" s="2">
        <v>45691</v>
      </c>
      <c r="C501" t="s">
        <v>183</v>
      </c>
      <c r="D501" t="s">
        <v>184</v>
      </c>
      <c r="E501" t="s">
        <v>27</v>
      </c>
      <c r="F501" t="s">
        <v>28</v>
      </c>
      <c r="G501" t="s">
        <v>129</v>
      </c>
      <c r="H501" t="s">
        <v>130</v>
      </c>
      <c r="I501" t="s">
        <v>24</v>
      </c>
      <c r="J501">
        <v>2</v>
      </c>
      <c r="K501">
        <v>1400</v>
      </c>
      <c r="L501">
        <v>2800</v>
      </c>
    </row>
    <row r="502" spans="1:12" x14ac:dyDescent="0.3">
      <c r="A502">
        <v>10501</v>
      </c>
      <c r="B502" s="2">
        <v>45688</v>
      </c>
      <c r="C502" t="s">
        <v>91</v>
      </c>
      <c r="D502" t="s">
        <v>92</v>
      </c>
      <c r="E502" t="s">
        <v>40</v>
      </c>
      <c r="F502" t="s">
        <v>15</v>
      </c>
      <c r="G502" t="s">
        <v>75</v>
      </c>
      <c r="H502" t="s">
        <v>76</v>
      </c>
      <c r="I502" t="s">
        <v>49</v>
      </c>
      <c r="J502">
        <v>1</v>
      </c>
      <c r="K502">
        <v>3000</v>
      </c>
      <c r="L502">
        <v>3000</v>
      </c>
    </row>
    <row r="503" spans="1:12" x14ac:dyDescent="0.3">
      <c r="A503">
        <v>10502</v>
      </c>
      <c r="B503" s="2">
        <v>45696</v>
      </c>
      <c r="C503" t="s">
        <v>218</v>
      </c>
      <c r="D503" t="s">
        <v>219</v>
      </c>
      <c r="E503" t="s">
        <v>160</v>
      </c>
      <c r="F503" t="s">
        <v>34</v>
      </c>
      <c r="G503" t="s">
        <v>96</v>
      </c>
      <c r="H503" t="s">
        <v>97</v>
      </c>
      <c r="I503" t="s">
        <v>37</v>
      </c>
      <c r="J503">
        <v>2</v>
      </c>
      <c r="K503">
        <v>18000</v>
      </c>
      <c r="L503">
        <v>36000</v>
      </c>
    </row>
    <row r="504" spans="1:12" x14ac:dyDescent="0.3">
      <c r="A504">
        <v>10503</v>
      </c>
      <c r="B504" s="2">
        <v>45775</v>
      </c>
      <c r="C504" t="s">
        <v>158</v>
      </c>
      <c r="D504" t="s">
        <v>159</v>
      </c>
      <c r="E504" t="s">
        <v>160</v>
      </c>
      <c r="F504" t="s">
        <v>34</v>
      </c>
      <c r="G504" t="s">
        <v>16</v>
      </c>
      <c r="H504" t="s">
        <v>17</v>
      </c>
      <c r="I504" t="s">
        <v>18</v>
      </c>
      <c r="J504">
        <v>1</v>
      </c>
      <c r="K504">
        <v>11000</v>
      </c>
      <c r="L504">
        <v>11000</v>
      </c>
    </row>
    <row r="505" spans="1:12" x14ac:dyDescent="0.3">
      <c r="A505">
        <v>10504</v>
      </c>
      <c r="B505" s="2">
        <v>45885</v>
      </c>
      <c r="C505" t="s">
        <v>206</v>
      </c>
      <c r="D505" t="s">
        <v>207</v>
      </c>
      <c r="E505" t="s">
        <v>160</v>
      </c>
      <c r="F505" t="s">
        <v>34</v>
      </c>
      <c r="G505" t="s">
        <v>29</v>
      </c>
      <c r="H505" t="s">
        <v>30</v>
      </c>
      <c r="I505" t="s">
        <v>18</v>
      </c>
      <c r="J505">
        <v>2</v>
      </c>
      <c r="K505">
        <v>15000</v>
      </c>
      <c r="L505">
        <v>30000</v>
      </c>
    </row>
    <row r="506" spans="1:12" x14ac:dyDescent="0.3">
      <c r="A506">
        <v>10505</v>
      </c>
      <c r="B506" s="2">
        <v>45926</v>
      </c>
      <c r="C506" t="s">
        <v>67</v>
      </c>
      <c r="D506" t="s">
        <v>68</v>
      </c>
      <c r="E506" t="s">
        <v>69</v>
      </c>
      <c r="F506" t="s">
        <v>28</v>
      </c>
      <c r="G506" t="s">
        <v>41</v>
      </c>
      <c r="H506" t="s">
        <v>42</v>
      </c>
      <c r="I506" t="s">
        <v>37</v>
      </c>
      <c r="J506">
        <v>1</v>
      </c>
      <c r="K506">
        <v>30000</v>
      </c>
      <c r="L506">
        <v>30000</v>
      </c>
    </row>
    <row r="507" spans="1:12" x14ac:dyDescent="0.3">
      <c r="A507">
        <v>10506</v>
      </c>
      <c r="B507" s="2">
        <v>45894</v>
      </c>
      <c r="C507" t="s">
        <v>117</v>
      </c>
      <c r="D507" t="s">
        <v>118</v>
      </c>
      <c r="E507" t="s">
        <v>95</v>
      </c>
      <c r="F507" t="s">
        <v>15</v>
      </c>
      <c r="G507" t="s">
        <v>125</v>
      </c>
      <c r="H507" t="s">
        <v>126</v>
      </c>
      <c r="I507" t="s">
        <v>37</v>
      </c>
      <c r="J507">
        <v>1</v>
      </c>
      <c r="K507">
        <v>22000</v>
      </c>
      <c r="L507">
        <v>22000</v>
      </c>
    </row>
    <row r="508" spans="1:12" x14ac:dyDescent="0.3">
      <c r="A508">
        <v>10507</v>
      </c>
      <c r="B508" s="2">
        <v>45828</v>
      </c>
      <c r="C508" t="s">
        <v>105</v>
      </c>
      <c r="D508" t="s">
        <v>106</v>
      </c>
      <c r="E508" t="s">
        <v>45</v>
      </c>
      <c r="F508" t="s">
        <v>46</v>
      </c>
      <c r="G508" t="s">
        <v>56</v>
      </c>
      <c r="H508" t="s">
        <v>57</v>
      </c>
      <c r="I508" t="s">
        <v>18</v>
      </c>
      <c r="J508">
        <v>2</v>
      </c>
      <c r="K508">
        <v>9000</v>
      </c>
      <c r="L508">
        <v>18000</v>
      </c>
    </row>
    <row r="509" spans="1:12" x14ac:dyDescent="0.3">
      <c r="A509">
        <v>10508</v>
      </c>
      <c r="B509" s="2">
        <v>45851</v>
      </c>
      <c r="C509" t="s">
        <v>193</v>
      </c>
      <c r="D509" t="s">
        <v>194</v>
      </c>
      <c r="E509" t="s">
        <v>102</v>
      </c>
      <c r="F509" t="s">
        <v>34</v>
      </c>
      <c r="G509" t="s">
        <v>16</v>
      </c>
      <c r="H509" t="s">
        <v>17</v>
      </c>
      <c r="I509" t="s">
        <v>18</v>
      </c>
      <c r="J509">
        <v>1</v>
      </c>
      <c r="K509">
        <v>11000</v>
      </c>
      <c r="L509">
        <v>11000</v>
      </c>
    </row>
    <row r="510" spans="1:12" x14ac:dyDescent="0.3">
      <c r="A510">
        <v>10509</v>
      </c>
      <c r="B510" s="2">
        <v>45881</v>
      </c>
      <c r="C510" t="s">
        <v>91</v>
      </c>
      <c r="D510" t="s">
        <v>92</v>
      </c>
      <c r="E510" t="s">
        <v>40</v>
      </c>
      <c r="F510" t="s">
        <v>15</v>
      </c>
      <c r="G510" t="s">
        <v>177</v>
      </c>
      <c r="H510" t="s">
        <v>178</v>
      </c>
      <c r="I510" t="s">
        <v>37</v>
      </c>
      <c r="J510">
        <v>2</v>
      </c>
      <c r="K510">
        <v>2500</v>
      </c>
      <c r="L510">
        <v>5000</v>
      </c>
    </row>
    <row r="511" spans="1:12" x14ac:dyDescent="0.3">
      <c r="A511">
        <v>10510</v>
      </c>
      <c r="B511" s="2">
        <v>45750</v>
      </c>
      <c r="C511" t="s">
        <v>80</v>
      </c>
      <c r="D511" t="s">
        <v>81</v>
      </c>
      <c r="E511" t="s">
        <v>79</v>
      </c>
      <c r="F511" t="s">
        <v>34</v>
      </c>
      <c r="G511" t="s">
        <v>121</v>
      </c>
      <c r="H511" t="s">
        <v>122</v>
      </c>
      <c r="I511" t="s">
        <v>49</v>
      </c>
      <c r="J511">
        <v>2</v>
      </c>
      <c r="K511">
        <v>4800</v>
      </c>
      <c r="L511">
        <v>9600</v>
      </c>
    </row>
    <row r="512" spans="1:12" x14ac:dyDescent="0.3">
      <c r="A512">
        <v>10511</v>
      </c>
      <c r="B512" s="2">
        <v>45696</v>
      </c>
      <c r="C512" t="s">
        <v>50</v>
      </c>
      <c r="D512" t="s">
        <v>51</v>
      </c>
      <c r="E512" t="s">
        <v>14</v>
      </c>
      <c r="F512" t="s">
        <v>15</v>
      </c>
      <c r="G512" t="s">
        <v>163</v>
      </c>
      <c r="H512" t="s">
        <v>164</v>
      </c>
      <c r="I512" t="s">
        <v>49</v>
      </c>
      <c r="J512">
        <v>5</v>
      </c>
      <c r="K512">
        <v>4200</v>
      </c>
      <c r="L512">
        <v>21000</v>
      </c>
    </row>
    <row r="513" spans="1:12" x14ac:dyDescent="0.3">
      <c r="A513">
        <v>10512</v>
      </c>
      <c r="B513" s="2">
        <v>45767</v>
      </c>
      <c r="C513" t="s">
        <v>189</v>
      </c>
      <c r="D513" t="s">
        <v>190</v>
      </c>
      <c r="E513" t="s">
        <v>160</v>
      </c>
      <c r="F513" t="s">
        <v>34</v>
      </c>
      <c r="G513" t="s">
        <v>109</v>
      </c>
      <c r="H513" t="s">
        <v>110</v>
      </c>
      <c r="I513" t="s">
        <v>18</v>
      </c>
      <c r="J513">
        <v>1</v>
      </c>
      <c r="K513">
        <v>5000</v>
      </c>
      <c r="L513">
        <v>5000</v>
      </c>
    </row>
    <row r="514" spans="1:12" x14ac:dyDescent="0.3">
      <c r="A514">
        <v>10513</v>
      </c>
      <c r="B514" s="2">
        <v>45768</v>
      </c>
      <c r="C514" t="s">
        <v>135</v>
      </c>
      <c r="D514" t="s">
        <v>136</v>
      </c>
      <c r="E514" t="s">
        <v>137</v>
      </c>
      <c r="F514" t="s">
        <v>46</v>
      </c>
      <c r="G514" t="s">
        <v>179</v>
      </c>
      <c r="H514" t="s">
        <v>180</v>
      </c>
      <c r="I514" t="s">
        <v>18</v>
      </c>
      <c r="J514">
        <v>1</v>
      </c>
      <c r="K514">
        <v>6500</v>
      </c>
      <c r="L514">
        <v>6500</v>
      </c>
    </row>
    <row r="515" spans="1:12" x14ac:dyDescent="0.3">
      <c r="A515">
        <v>10514</v>
      </c>
      <c r="B515" s="2">
        <v>45957</v>
      </c>
      <c r="C515" t="s">
        <v>161</v>
      </c>
      <c r="D515" t="s">
        <v>162</v>
      </c>
      <c r="E515" t="s">
        <v>33</v>
      </c>
      <c r="F515" t="s">
        <v>34</v>
      </c>
      <c r="G515" t="s">
        <v>144</v>
      </c>
      <c r="H515" t="s">
        <v>145</v>
      </c>
      <c r="I515" t="s">
        <v>37</v>
      </c>
      <c r="J515">
        <v>2</v>
      </c>
      <c r="K515">
        <v>65000</v>
      </c>
      <c r="L515">
        <v>130000</v>
      </c>
    </row>
    <row r="516" spans="1:12" x14ac:dyDescent="0.3">
      <c r="A516">
        <v>10515</v>
      </c>
      <c r="B516" s="2">
        <v>45988</v>
      </c>
      <c r="C516" t="s">
        <v>133</v>
      </c>
      <c r="D516" t="s">
        <v>134</v>
      </c>
      <c r="E516" t="s">
        <v>33</v>
      </c>
      <c r="F516" t="s">
        <v>34</v>
      </c>
      <c r="G516" t="s">
        <v>152</v>
      </c>
      <c r="H516" t="s">
        <v>153</v>
      </c>
      <c r="I516" t="s">
        <v>49</v>
      </c>
      <c r="J516">
        <v>2</v>
      </c>
      <c r="K516">
        <v>3200</v>
      </c>
      <c r="L516">
        <v>6400</v>
      </c>
    </row>
    <row r="517" spans="1:12" x14ac:dyDescent="0.3">
      <c r="A517">
        <v>10516</v>
      </c>
      <c r="B517" s="2">
        <v>45994</v>
      </c>
      <c r="C517" t="s">
        <v>82</v>
      </c>
      <c r="D517" t="s">
        <v>83</v>
      </c>
      <c r="E517" t="s">
        <v>84</v>
      </c>
      <c r="F517" t="s">
        <v>46</v>
      </c>
      <c r="G517" t="s">
        <v>152</v>
      </c>
      <c r="H517" t="s">
        <v>153</v>
      </c>
      <c r="I517" t="s">
        <v>49</v>
      </c>
      <c r="J517">
        <v>1</v>
      </c>
      <c r="K517">
        <v>3200</v>
      </c>
      <c r="L517">
        <v>3200</v>
      </c>
    </row>
    <row r="518" spans="1:12" x14ac:dyDescent="0.3">
      <c r="A518">
        <v>10517</v>
      </c>
      <c r="B518" s="2">
        <v>45699</v>
      </c>
      <c r="C518" t="s">
        <v>242</v>
      </c>
      <c r="D518" t="s">
        <v>243</v>
      </c>
      <c r="E518" t="s">
        <v>40</v>
      </c>
      <c r="F518" t="s">
        <v>15</v>
      </c>
      <c r="G518" t="s">
        <v>140</v>
      </c>
      <c r="H518" t="s">
        <v>141</v>
      </c>
      <c r="I518" t="s">
        <v>18</v>
      </c>
      <c r="J518">
        <v>4</v>
      </c>
      <c r="K518">
        <v>3000</v>
      </c>
      <c r="L518">
        <v>12000</v>
      </c>
    </row>
    <row r="519" spans="1:12" x14ac:dyDescent="0.3">
      <c r="A519">
        <v>10518</v>
      </c>
      <c r="B519" s="2">
        <v>45798</v>
      </c>
      <c r="C519" t="s">
        <v>191</v>
      </c>
      <c r="D519" t="s">
        <v>192</v>
      </c>
      <c r="E519" t="s">
        <v>27</v>
      </c>
      <c r="F519" t="s">
        <v>28</v>
      </c>
      <c r="G519" t="s">
        <v>144</v>
      </c>
      <c r="H519" t="s">
        <v>145</v>
      </c>
      <c r="I519" t="s">
        <v>37</v>
      </c>
      <c r="J519">
        <v>1</v>
      </c>
      <c r="K519">
        <v>65000</v>
      </c>
      <c r="L519">
        <v>65000</v>
      </c>
    </row>
    <row r="520" spans="1:12" x14ac:dyDescent="0.3">
      <c r="A520">
        <v>10519</v>
      </c>
      <c r="B520" s="2">
        <v>45942</v>
      </c>
      <c r="C520" t="s">
        <v>214</v>
      </c>
      <c r="D520" t="s">
        <v>215</v>
      </c>
      <c r="E520" t="s">
        <v>137</v>
      </c>
      <c r="F520" t="s">
        <v>46</v>
      </c>
      <c r="G520" t="s">
        <v>103</v>
      </c>
      <c r="H520" t="s">
        <v>104</v>
      </c>
      <c r="I520" t="s">
        <v>37</v>
      </c>
      <c r="J520">
        <v>1</v>
      </c>
      <c r="K520">
        <v>28000</v>
      </c>
      <c r="L520">
        <v>28000</v>
      </c>
    </row>
    <row r="521" spans="1:12" x14ac:dyDescent="0.3">
      <c r="A521">
        <v>10520</v>
      </c>
      <c r="B521" s="2">
        <v>45933</v>
      </c>
      <c r="C521" t="s">
        <v>72</v>
      </c>
      <c r="D521" t="s">
        <v>73</v>
      </c>
      <c r="E521" t="s">
        <v>74</v>
      </c>
      <c r="F521" t="s">
        <v>28</v>
      </c>
      <c r="G521" t="s">
        <v>29</v>
      </c>
      <c r="H521" t="s">
        <v>30</v>
      </c>
      <c r="I521" t="s">
        <v>18</v>
      </c>
      <c r="J521">
        <v>1</v>
      </c>
      <c r="K521">
        <v>15000</v>
      </c>
      <c r="L521">
        <v>15000</v>
      </c>
    </row>
    <row r="522" spans="1:12" x14ac:dyDescent="0.3">
      <c r="A522">
        <v>10521</v>
      </c>
      <c r="B522" s="2">
        <v>45797</v>
      </c>
      <c r="C522" t="s">
        <v>222</v>
      </c>
      <c r="D522" t="s">
        <v>223</v>
      </c>
      <c r="E522" t="s">
        <v>21</v>
      </c>
      <c r="F522" t="s">
        <v>15</v>
      </c>
      <c r="G522" t="s">
        <v>167</v>
      </c>
      <c r="H522" t="s">
        <v>168</v>
      </c>
      <c r="I522" t="s">
        <v>49</v>
      </c>
      <c r="J522">
        <v>1</v>
      </c>
      <c r="K522">
        <v>3800</v>
      </c>
      <c r="L522">
        <v>3800</v>
      </c>
    </row>
    <row r="523" spans="1:12" x14ac:dyDescent="0.3">
      <c r="A523">
        <v>10522</v>
      </c>
      <c r="B523" s="2">
        <v>45776</v>
      </c>
      <c r="C523" t="s">
        <v>212</v>
      </c>
      <c r="D523" t="s">
        <v>213</v>
      </c>
      <c r="E523" t="s">
        <v>69</v>
      </c>
      <c r="F523" t="s">
        <v>28</v>
      </c>
      <c r="G523" t="s">
        <v>113</v>
      </c>
      <c r="H523" t="s">
        <v>114</v>
      </c>
      <c r="I523" t="s">
        <v>37</v>
      </c>
      <c r="J523">
        <v>2</v>
      </c>
      <c r="K523">
        <v>52000</v>
      </c>
      <c r="L523">
        <v>104000</v>
      </c>
    </row>
    <row r="524" spans="1:12" x14ac:dyDescent="0.3">
      <c r="A524">
        <v>10523</v>
      </c>
      <c r="B524" s="2">
        <v>45876</v>
      </c>
      <c r="C524" t="s">
        <v>135</v>
      </c>
      <c r="D524" t="s">
        <v>136</v>
      </c>
      <c r="E524" t="s">
        <v>137</v>
      </c>
      <c r="F524" t="s">
        <v>46</v>
      </c>
      <c r="G524" t="s">
        <v>113</v>
      </c>
      <c r="H524" t="s">
        <v>114</v>
      </c>
      <c r="I524" t="s">
        <v>37</v>
      </c>
      <c r="J524">
        <v>2</v>
      </c>
      <c r="K524">
        <v>52000</v>
      </c>
      <c r="L524">
        <v>104000</v>
      </c>
    </row>
    <row r="525" spans="1:12" x14ac:dyDescent="0.3">
      <c r="A525">
        <v>10524</v>
      </c>
      <c r="B525" s="2">
        <v>45711</v>
      </c>
      <c r="C525" t="s">
        <v>181</v>
      </c>
      <c r="D525" t="s">
        <v>182</v>
      </c>
      <c r="E525" t="s">
        <v>21</v>
      </c>
      <c r="F525" t="s">
        <v>15</v>
      </c>
      <c r="G525" t="s">
        <v>129</v>
      </c>
      <c r="H525" t="s">
        <v>130</v>
      </c>
      <c r="I525" t="s">
        <v>24</v>
      </c>
      <c r="J525">
        <v>4</v>
      </c>
      <c r="K525">
        <v>1400</v>
      </c>
      <c r="L525">
        <v>5600</v>
      </c>
    </row>
    <row r="526" spans="1:12" x14ac:dyDescent="0.3">
      <c r="A526">
        <v>10525</v>
      </c>
      <c r="B526" s="2">
        <v>45842</v>
      </c>
      <c r="C526" t="s">
        <v>154</v>
      </c>
      <c r="D526" t="s">
        <v>155</v>
      </c>
      <c r="E526" t="s">
        <v>74</v>
      </c>
      <c r="F526" t="s">
        <v>28</v>
      </c>
      <c r="G526" t="s">
        <v>29</v>
      </c>
      <c r="H526" t="s">
        <v>30</v>
      </c>
      <c r="I526" t="s">
        <v>18</v>
      </c>
      <c r="J526">
        <v>4</v>
      </c>
      <c r="K526">
        <v>15000</v>
      </c>
      <c r="L526">
        <v>60000</v>
      </c>
    </row>
    <row r="527" spans="1:12" x14ac:dyDescent="0.3">
      <c r="A527">
        <v>10526</v>
      </c>
      <c r="B527" s="2">
        <v>45714</v>
      </c>
      <c r="C527" t="s">
        <v>197</v>
      </c>
      <c r="D527" t="s">
        <v>198</v>
      </c>
      <c r="E527" t="s">
        <v>95</v>
      </c>
      <c r="F527" t="s">
        <v>15</v>
      </c>
      <c r="G527" t="s">
        <v>52</v>
      </c>
      <c r="H527" t="s">
        <v>53</v>
      </c>
      <c r="I527" t="s">
        <v>24</v>
      </c>
      <c r="J527">
        <v>1</v>
      </c>
      <c r="K527">
        <v>3500</v>
      </c>
      <c r="L527">
        <v>3500</v>
      </c>
    </row>
    <row r="528" spans="1:12" x14ac:dyDescent="0.3">
      <c r="A528">
        <v>10527</v>
      </c>
      <c r="B528" s="2">
        <v>45837</v>
      </c>
      <c r="C528" t="s">
        <v>197</v>
      </c>
      <c r="D528" t="s">
        <v>198</v>
      </c>
      <c r="E528" t="s">
        <v>95</v>
      </c>
      <c r="F528" t="s">
        <v>15</v>
      </c>
      <c r="G528" t="s">
        <v>129</v>
      </c>
      <c r="H528" t="s">
        <v>130</v>
      </c>
      <c r="I528" t="s">
        <v>24</v>
      </c>
      <c r="J528">
        <v>1</v>
      </c>
      <c r="K528">
        <v>1400</v>
      </c>
      <c r="L528">
        <v>1400</v>
      </c>
    </row>
    <row r="529" spans="1:12" x14ac:dyDescent="0.3">
      <c r="A529">
        <v>10528</v>
      </c>
      <c r="B529" s="2">
        <v>45732</v>
      </c>
      <c r="C529" t="s">
        <v>208</v>
      </c>
      <c r="D529" t="s">
        <v>209</v>
      </c>
      <c r="E529" t="s">
        <v>95</v>
      </c>
      <c r="F529" t="s">
        <v>15</v>
      </c>
      <c r="G529" t="s">
        <v>187</v>
      </c>
      <c r="H529" t="s">
        <v>188</v>
      </c>
      <c r="I529" t="s">
        <v>24</v>
      </c>
      <c r="J529">
        <v>4</v>
      </c>
      <c r="K529">
        <v>5500</v>
      </c>
      <c r="L529">
        <v>22000</v>
      </c>
    </row>
    <row r="530" spans="1:12" x14ac:dyDescent="0.3">
      <c r="A530">
        <v>10529</v>
      </c>
      <c r="B530" s="2">
        <v>45809</v>
      </c>
      <c r="C530" t="s">
        <v>38</v>
      </c>
      <c r="D530" t="s">
        <v>39</v>
      </c>
      <c r="E530" t="s">
        <v>40</v>
      </c>
      <c r="F530" t="s">
        <v>15</v>
      </c>
      <c r="G530" t="s">
        <v>70</v>
      </c>
      <c r="H530" t="s">
        <v>71</v>
      </c>
      <c r="I530" t="s">
        <v>37</v>
      </c>
      <c r="J530">
        <v>1</v>
      </c>
      <c r="K530">
        <v>2200</v>
      </c>
      <c r="L530">
        <v>2200</v>
      </c>
    </row>
    <row r="531" spans="1:12" x14ac:dyDescent="0.3">
      <c r="A531">
        <v>10530</v>
      </c>
      <c r="B531" s="2">
        <v>45664</v>
      </c>
      <c r="C531" t="s">
        <v>230</v>
      </c>
      <c r="D531" t="s">
        <v>231</v>
      </c>
      <c r="E531" t="s">
        <v>84</v>
      </c>
      <c r="F531" t="s">
        <v>46</v>
      </c>
      <c r="G531" t="s">
        <v>52</v>
      </c>
      <c r="H531" t="s">
        <v>53</v>
      </c>
      <c r="I531" t="s">
        <v>24</v>
      </c>
      <c r="J531">
        <v>1</v>
      </c>
      <c r="K531">
        <v>3500</v>
      </c>
      <c r="L531">
        <v>3500</v>
      </c>
    </row>
    <row r="532" spans="1:12" x14ac:dyDescent="0.3">
      <c r="A532">
        <v>10531</v>
      </c>
      <c r="B532" s="2">
        <v>45723</v>
      </c>
      <c r="C532" t="s">
        <v>183</v>
      </c>
      <c r="D532" t="s">
        <v>184</v>
      </c>
      <c r="E532" t="s">
        <v>27</v>
      </c>
      <c r="F532" t="s">
        <v>28</v>
      </c>
      <c r="G532" t="s">
        <v>60</v>
      </c>
      <c r="H532" t="s">
        <v>61</v>
      </c>
      <c r="I532" t="s">
        <v>18</v>
      </c>
      <c r="J532">
        <v>2</v>
      </c>
      <c r="K532">
        <v>2200</v>
      </c>
      <c r="L532">
        <v>4400</v>
      </c>
    </row>
    <row r="533" spans="1:12" x14ac:dyDescent="0.3">
      <c r="A533">
        <v>10532</v>
      </c>
      <c r="B533" s="2">
        <v>45738</v>
      </c>
      <c r="C533" t="s">
        <v>50</v>
      </c>
      <c r="D533" t="s">
        <v>51</v>
      </c>
      <c r="E533" t="s">
        <v>14</v>
      </c>
      <c r="F533" t="s">
        <v>15</v>
      </c>
      <c r="G533" t="s">
        <v>60</v>
      </c>
      <c r="H533" t="s">
        <v>61</v>
      </c>
      <c r="I533" t="s">
        <v>18</v>
      </c>
      <c r="J533">
        <v>2</v>
      </c>
      <c r="K533">
        <v>2200</v>
      </c>
      <c r="L533">
        <v>4400</v>
      </c>
    </row>
    <row r="534" spans="1:12" x14ac:dyDescent="0.3">
      <c r="A534">
        <v>10533</v>
      </c>
      <c r="B534" s="2">
        <v>45972</v>
      </c>
      <c r="C534" t="s">
        <v>105</v>
      </c>
      <c r="D534" t="s">
        <v>106</v>
      </c>
      <c r="E534" t="s">
        <v>45</v>
      </c>
      <c r="F534" t="s">
        <v>46</v>
      </c>
      <c r="G534" t="s">
        <v>89</v>
      </c>
      <c r="H534" t="s">
        <v>90</v>
      </c>
      <c r="I534" t="s">
        <v>18</v>
      </c>
      <c r="J534">
        <v>3</v>
      </c>
      <c r="K534">
        <v>4200</v>
      </c>
      <c r="L534">
        <v>12600</v>
      </c>
    </row>
    <row r="535" spans="1:12" x14ac:dyDescent="0.3">
      <c r="A535">
        <v>10534</v>
      </c>
      <c r="B535" s="2">
        <v>45906</v>
      </c>
      <c r="C535" t="s">
        <v>214</v>
      </c>
      <c r="D535" t="s">
        <v>215</v>
      </c>
      <c r="E535" t="s">
        <v>137</v>
      </c>
      <c r="F535" t="s">
        <v>46</v>
      </c>
      <c r="G535" t="s">
        <v>113</v>
      </c>
      <c r="H535" t="s">
        <v>114</v>
      </c>
      <c r="I535" t="s">
        <v>37</v>
      </c>
      <c r="J535">
        <v>1</v>
      </c>
      <c r="K535">
        <v>52000</v>
      </c>
      <c r="L535">
        <v>52000</v>
      </c>
    </row>
    <row r="536" spans="1:12" x14ac:dyDescent="0.3">
      <c r="A536">
        <v>10535</v>
      </c>
      <c r="B536" s="2">
        <v>45950</v>
      </c>
      <c r="C536" t="s">
        <v>91</v>
      </c>
      <c r="D536" t="s">
        <v>92</v>
      </c>
      <c r="E536" t="s">
        <v>40</v>
      </c>
      <c r="F536" t="s">
        <v>15</v>
      </c>
      <c r="G536" t="s">
        <v>56</v>
      </c>
      <c r="H536" t="s">
        <v>57</v>
      </c>
      <c r="I536" t="s">
        <v>18</v>
      </c>
      <c r="J536">
        <v>2</v>
      </c>
      <c r="K536">
        <v>9000</v>
      </c>
      <c r="L536">
        <v>18000</v>
      </c>
    </row>
    <row r="537" spans="1:12" x14ac:dyDescent="0.3">
      <c r="A537">
        <v>10536</v>
      </c>
      <c r="B537" s="2">
        <v>45719</v>
      </c>
      <c r="C537" t="s">
        <v>19</v>
      </c>
      <c r="D537" t="s">
        <v>20</v>
      </c>
      <c r="E537" t="s">
        <v>21</v>
      </c>
      <c r="F537" t="s">
        <v>15</v>
      </c>
      <c r="G537" t="s">
        <v>163</v>
      </c>
      <c r="H537" t="s">
        <v>164</v>
      </c>
      <c r="I537" t="s">
        <v>49</v>
      </c>
      <c r="J537">
        <v>1</v>
      </c>
      <c r="K537">
        <v>4200</v>
      </c>
      <c r="L537">
        <v>4200</v>
      </c>
    </row>
    <row r="538" spans="1:12" x14ac:dyDescent="0.3">
      <c r="A538">
        <v>10537</v>
      </c>
      <c r="B538" s="2">
        <v>45989</v>
      </c>
      <c r="C538" t="s">
        <v>87</v>
      </c>
      <c r="D538" t="s">
        <v>88</v>
      </c>
      <c r="E538" t="s">
        <v>64</v>
      </c>
      <c r="F538" t="s">
        <v>46</v>
      </c>
      <c r="G538" t="s">
        <v>167</v>
      </c>
      <c r="H538" t="s">
        <v>168</v>
      </c>
      <c r="I538" t="s">
        <v>49</v>
      </c>
      <c r="J538">
        <v>1</v>
      </c>
      <c r="K538">
        <v>3800</v>
      </c>
      <c r="L538">
        <v>3800</v>
      </c>
    </row>
    <row r="539" spans="1:12" x14ac:dyDescent="0.3">
      <c r="A539">
        <v>10538</v>
      </c>
      <c r="B539" s="2">
        <v>45663</v>
      </c>
      <c r="C539" t="s">
        <v>91</v>
      </c>
      <c r="D539" t="s">
        <v>92</v>
      </c>
      <c r="E539" t="s">
        <v>40</v>
      </c>
      <c r="F539" t="s">
        <v>15</v>
      </c>
      <c r="G539" t="s">
        <v>179</v>
      </c>
      <c r="H539" t="s">
        <v>180</v>
      </c>
      <c r="I539" t="s">
        <v>18</v>
      </c>
      <c r="J539">
        <v>2</v>
      </c>
      <c r="K539">
        <v>6500</v>
      </c>
      <c r="L539">
        <v>13000</v>
      </c>
    </row>
    <row r="540" spans="1:12" x14ac:dyDescent="0.3">
      <c r="A540">
        <v>10539</v>
      </c>
      <c r="B540" s="2">
        <v>45986</v>
      </c>
      <c r="C540" t="s">
        <v>100</v>
      </c>
      <c r="D540" t="s">
        <v>101</v>
      </c>
      <c r="E540" t="s">
        <v>102</v>
      </c>
      <c r="F540" t="s">
        <v>34</v>
      </c>
      <c r="G540" t="s">
        <v>121</v>
      </c>
      <c r="H540" t="s">
        <v>122</v>
      </c>
      <c r="I540" t="s">
        <v>49</v>
      </c>
      <c r="J540">
        <v>2</v>
      </c>
      <c r="K540">
        <v>4800</v>
      </c>
      <c r="L540">
        <v>9600</v>
      </c>
    </row>
    <row r="541" spans="1:12" x14ac:dyDescent="0.3">
      <c r="A541">
        <v>10540</v>
      </c>
      <c r="B541" s="2">
        <v>45998</v>
      </c>
      <c r="C541" t="s">
        <v>105</v>
      </c>
      <c r="D541" t="s">
        <v>106</v>
      </c>
      <c r="E541" t="s">
        <v>45</v>
      </c>
      <c r="F541" t="s">
        <v>46</v>
      </c>
      <c r="G541" t="s">
        <v>65</v>
      </c>
      <c r="H541" t="s">
        <v>66</v>
      </c>
      <c r="I541" t="s">
        <v>49</v>
      </c>
      <c r="J541">
        <v>2</v>
      </c>
      <c r="K541">
        <v>2400</v>
      </c>
      <c r="L541">
        <v>4800</v>
      </c>
    </row>
    <row r="542" spans="1:12" x14ac:dyDescent="0.3">
      <c r="A542">
        <v>10541</v>
      </c>
      <c r="B542" s="2">
        <v>45985</v>
      </c>
      <c r="C542" t="s">
        <v>105</v>
      </c>
      <c r="D542" t="s">
        <v>106</v>
      </c>
      <c r="E542" t="s">
        <v>45</v>
      </c>
      <c r="F542" t="s">
        <v>46</v>
      </c>
      <c r="G542" t="s">
        <v>121</v>
      </c>
      <c r="H542" t="s">
        <v>122</v>
      </c>
      <c r="I542" t="s">
        <v>49</v>
      </c>
      <c r="J542">
        <v>1</v>
      </c>
      <c r="K542">
        <v>4800</v>
      </c>
      <c r="L542">
        <v>4800</v>
      </c>
    </row>
    <row r="543" spans="1:12" x14ac:dyDescent="0.3">
      <c r="A543">
        <v>10542</v>
      </c>
      <c r="B543" s="2">
        <v>45910</v>
      </c>
      <c r="C543" t="s">
        <v>146</v>
      </c>
      <c r="D543" t="s">
        <v>147</v>
      </c>
      <c r="E543" t="s">
        <v>64</v>
      </c>
      <c r="F543" t="s">
        <v>46</v>
      </c>
      <c r="G543" t="s">
        <v>60</v>
      </c>
      <c r="H543" t="s">
        <v>61</v>
      </c>
      <c r="I543" t="s">
        <v>18</v>
      </c>
      <c r="J543">
        <v>1</v>
      </c>
      <c r="K543">
        <v>2200</v>
      </c>
      <c r="L543">
        <v>2200</v>
      </c>
    </row>
    <row r="544" spans="1:12" x14ac:dyDescent="0.3">
      <c r="A544">
        <v>10543</v>
      </c>
      <c r="B544" s="2">
        <v>45753</v>
      </c>
      <c r="C544" t="s">
        <v>154</v>
      </c>
      <c r="D544" t="s">
        <v>155</v>
      </c>
      <c r="E544" t="s">
        <v>74</v>
      </c>
      <c r="F544" t="s">
        <v>28</v>
      </c>
      <c r="G544" t="s">
        <v>179</v>
      </c>
      <c r="H544" t="s">
        <v>180</v>
      </c>
      <c r="I544" t="s">
        <v>18</v>
      </c>
      <c r="J544">
        <v>1</v>
      </c>
      <c r="K544">
        <v>6500</v>
      </c>
      <c r="L544">
        <v>6500</v>
      </c>
    </row>
    <row r="545" spans="1:12" x14ac:dyDescent="0.3">
      <c r="A545">
        <v>10544</v>
      </c>
      <c r="B545" s="2">
        <v>45692</v>
      </c>
      <c r="C545" t="s">
        <v>93</v>
      </c>
      <c r="D545" t="s">
        <v>94</v>
      </c>
      <c r="E545" t="s">
        <v>95</v>
      </c>
      <c r="F545" t="s">
        <v>15</v>
      </c>
      <c r="G545" t="s">
        <v>56</v>
      </c>
      <c r="H545" t="s">
        <v>57</v>
      </c>
      <c r="I545" t="s">
        <v>18</v>
      </c>
      <c r="J545">
        <v>1</v>
      </c>
      <c r="K545">
        <v>9000</v>
      </c>
      <c r="L545">
        <v>9000</v>
      </c>
    </row>
    <row r="546" spans="1:12" x14ac:dyDescent="0.3">
      <c r="A546">
        <v>10545</v>
      </c>
      <c r="B546" s="2">
        <v>45760</v>
      </c>
      <c r="C546" t="s">
        <v>169</v>
      </c>
      <c r="D546" t="s">
        <v>170</v>
      </c>
      <c r="E546" t="s">
        <v>64</v>
      </c>
      <c r="F546" t="s">
        <v>46</v>
      </c>
      <c r="G546" t="s">
        <v>187</v>
      </c>
      <c r="H546" t="s">
        <v>188</v>
      </c>
      <c r="I546" t="s">
        <v>24</v>
      </c>
      <c r="J546">
        <v>1</v>
      </c>
      <c r="K546">
        <v>5500</v>
      </c>
      <c r="L546">
        <v>5500</v>
      </c>
    </row>
    <row r="547" spans="1:12" x14ac:dyDescent="0.3">
      <c r="A547">
        <v>10546</v>
      </c>
      <c r="B547" s="2">
        <v>45729</v>
      </c>
      <c r="C547" t="s">
        <v>38</v>
      </c>
      <c r="D547" t="s">
        <v>39</v>
      </c>
      <c r="E547" t="s">
        <v>40</v>
      </c>
      <c r="F547" t="s">
        <v>15</v>
      </c>
      <c r="G547" t="s">
        <v>75</v>
      </c>
      <c r="H547" t="s">
        <v>76</v>
      </c>
      <c r="I547" t="s">
        <v>49</v>
      </c>
      <c r="J547">
        <v>1</v>
      </c>
      <c r="K547">
        <v>3000</v>
      </c>
      <c r="L547">
        <v>3000</v>
      </c>
    </row>
    <row r="548" spans="1:12" x14ac:dyDescent="0.3">
      <c r="A548">
        <v>10547</v>
      </c>
      <c r="B548" s="2">
        <v>45728</v>
      </c>
      <c r="C548" t="s">
        <v>127</v>
      </c>
      <c r="D548" t="s">
        <v>128</v>
      </c>
      <c r="E548" t="s">
        <v>102</v>
      </c>
      <c r="F548" t="s">
        <v>34</v>
      </c>
      <c r="G548" t="s">
        <v>109</v>
      </c>
      <c r="H548" t="s">
        <v>110</v>
      </c>
      <c r="I548" t="s">
        <v>18</v>
      </c>
      <c r="J548">
        <v>2</v>
      </c>
      <c r="K548">
        <v>5000</v>
      </c>
      <c r="L548">
        <v>10000</v>
      </c>
    </row>
    <row r="549" spans="1:12" x14ac:dyDescent="0.3">
      <c r="A549">
        <v>10548</v>
      </c>
      <c r="B549" s="2">
        <v>45832</v>
      </c>
      <c r="C549" t="s">
        <v>236</v>
      </c>
      <c r="D549" t="s">
        <v>237</v>
      </c>
      <c r="E549" t="s">
        <v>201</v>
      </c>
      <c r="F549" t="s">
        <v>28</v>
      </c>
      <c r="G549" t="s">
        <v>177</v>
      </c>
      <c r="H549" t="s">
        <v>178</v>
      </c>
      <c r="I549" t="s">
        <v>37</v>
      </c>
      <c r="J549">
        <v>1</v>
      </c>
      <c r="K549">
        <v>2500</v>
      </c>
      <c r="L549">
        <v>2500</v>
      </c>
    </row>
    <row r="550" spans="1:12" x14ac:dyDescent="0.3">
      <c r="A550">
        <v>10549</v>
      </c>
      <c r="B550" s="2">
        <v>45909</v>
      </c>
      <c r="C550" t="s">
        <v>208</v>
      </c>
      <c r="D550" t="s">
        <v>209</v>
      </c>
      <c r="E550" t="s">
        <v>95</v>
      </c>
      <c r="F550" t="s">
        <v>15</v>
      </c>
      <c r="G550" t="s">
        <v>16</v>
      </c>
      <c r="H550" t="s">
        <v>17</v>
      </c>
      <c r="I550" t="s">
        <v>18</v>
      </c>
      <c r="J550">
        <v>1</v>
      </c>
      <c r="K550">
        <v>11000</v>
      </c>
      <c r="L550">
        <v>11000</v>
      </c>
    </row>
    <row r="551" spans="1:12" x14ac:dyDescent="0.3">
      <c r="A551">
        <v>10550</v>
      </c>
      <c r="B551" s="2">
        <v>46013</v>
      </c>
      <c r="C551" t="s">
        <v>77</v>
      </c>
      <c r="D551" t="s">
        <v>78</v>
      </c>
      <c r="E551" t="s">
        <v>79</v>
      </c>
      <c r="F551" t="s">
        <v>34</v>
      </c>
      <c r="G551" t="s">
        <v>75</v>
      </c>
      <c r="H551" t="s">
        <v>76</v>
      </c>
      <c r="I551" t="s">
        <v>49</v>
      </c>
      <c r="J551">
        <v>1</v>
      </c>
      <c r="K551">
        <v>3000</v>
      </c>
      <c r="L551">
        <v>3000</v>
      </c>
    </row>
    <row r="552" spans="1:12" x14ac:dyDescent="0.3">
      <c r="A552">
        <v>10551</v>
      </c>
      <c r="B552" s="2">
        <v>45714</v>
      </c>
      <c r="C552" t="s">
        <v>85</v>
      </c>
      <c r="D552" t="s">
        <v>86</v>
      </c>
      <c r="E552" t="s">
        <v>45</v>
      </c>
      <c r="F552" t="s">
        <v>46</v>
      </c>
      <c r="G552" t="s">
        <v>41</v>
      </c>
      <c r="H552" t="s">
        <v>42</v>
      </c>
      <c r="I552" t="s">
        <v>37</v>
      </c>
      <c r="J552">
        <v>4</v>
      </c>
      <c r="K552">
        <v>30000</v>
      </c>
      <c r="L552">
        <v>120000</v>
      </c>
    </row>
    <row r="553" spans="1:12" x14ac:dyDescent="0.3">
      <c r="A553">
        <v>10552</v>
      </c>
      <c r="B553" s="2">
        <v>45952</v>
      </c>
      <c r="C553" t="s">
        <v>234</v>
      </c>
      <c r="D553" t="s">
        <v>235</v>
      </c>
      <c r="E553" t="s">
        <v>137</v>
      </c>
      <c r="F553" t="s">
        <v>46</v>
      </c>
      <c r="G553" t="s">
        <v>29</v>
      </c>
      <c r="H553" t="s">
        <v>30</v>
      </c>
      <c r="I553" t="s">
        <v>18</v>
      </c>
      <c r="J553">
        <v>1</v>
      </c>
      <c r="K553">
        <v>15000</v>
      </c>
      <c r="L553">
        <v>15000</v>
      </c>
    </row>
    <row r="554" spans="1:12" x14ac:dyDescent="0.3">
      <c r="A554">
        <v>10553</v>
      </c>
      <c r="B554" s="2">
        <v>45929</v>
      </c>
      <c r="C554" t="s">
        <v>204</v>
      </c>
      <c r="D554" t="s">
        <v>205</v>
      </c>
      <c r="E554" t="s">
        <v>201</v>
      </c>
      <c r="F554" t="s">
        <v>28</v>
      </c>
      <c r="G554" t="s">
        <v>121</v>
      </c>
      <c r="H554" t="s">
        <v>122</v>
      </c>
      <c r="I554" t="s">
        <v>49</v>
      </c>
      <c r="J554">
        <v>1</v>
      </c>
      <c r="K554">
        <v>4800</v>
      </c>
      <c r="L554">
        <v>4800</v>
      </c>
    </row>
    <row r="555" spans="1:12" x14ac:dyDescent="0.3">
      <c r="A555">
        <v>10554</v>
      </c>
      <c r="B555" s="2">
        <v>45801</v>
      </c>
      <c r="C555" t="s">
        <v>214</v>
      </c>
      <c r="D555" t="s">
        <v>215</v>
      </c>
      <c r="E555" t="s">
        <v>137</v>
      </c>
      <c r="F555" t="s">
        <v>46</v>
      </c>
      <c r="G555" t="s">
        <v>98</v>
      </c>
      <c r="H555" t="s">
        <v>99</v>
      </c>
      <c r="I555" t="s">
        <v>24</v>
      </c>
      <c r="J555">
        <v>1</v>
      </c>
      <c r="K555">
        <v>2000</v>
      </c>
      <c r="L555">
        <v>2000</v>
      </c>
    </row>
    <row r="556" spans="1:12" x14ac:dyDescent="0.3">
      <c r="A556">
        <v>10555</v>
      </c>
      <c r="B556" s="2">
        <v>45766</v>
      </c>
      <c r="C556" t="s">
        <v>138</v>
      </c>
      <c r="D556" t="s">
        <v>139</v>
      </c>
      <c r="E556" t="s">
        <v>79</v>
      </c>
      <c r="F556" t="s">
        <v>34</v>
      </c>
      <c r="G556" t="s">
        <v>121</v>
      </c>
      <c r="H556" t="s">
        <v>122</v>
      </c>
      <c r="I556" t="s">
        <v>49</v>
      </c>
      <c r="J556">
        <v>1</v>
      </c>
      <c r="K556">
        <v>4800</v>
      </c>
      <c r="L556">
        <v>4800</v>
      </c>
    </row>
    <row r="557" spans="1:12" x14ac:dyDescent="0.3">
      <c r="A557">
        <v>10556</v>
      </c>
      <c r="B557" s="2">
        <v>45764</v>
      </c>
      <c r="C557" t="s">
        <v>12</v>
      </c>
      <c r="D557" t="s">
        <v>13</v>
      </c>
      <c r="E557" t="s">
        <v>14</v>
      </c>
      <c r="F557" t="s">
        <v>15</v>
      </c>
      <c r="G557" t="s">
        <v>177</v>
      </c>
      <c r="H557" t="s">
        <v>178</v>
      </c>
      <c r="I557" t="s">
        <v>37</v>
      </c>
      <c r="J557">
        <v>1</v>
      </c>
      <c r="K557">
        <v>2500</v>
      </c>
      <c r="L557">
        <v>2500</v>
      </c>
    </row>
    <row r="558" spans="1:12" x14ac:dyDescent="0.3">
      <c r="A558">
        <v>10557</v>
      </c>
      <c r="B558" s="2">
        <v>45865</v>
      </c>
      <c r="C558" t="s">
        <v>91</v>
      </c>
      <c r="D558" t="s">
        <v>92</v>
      </c>
      <c r="E558" t="s">
        <v>40</v>
      </c>
      <c r="F558" t="s">
        <v>15</v>
      </c>
      <c r="G558" t="s">
        <v>103</v>
      </c>
      <c r="H558" t="s">
        <v>104</v>
      </c>
      <c r="I558" t="s">
        <v>37</v>
      </c>
      <c r="J558">
        <v>1</v>
      </c>
      <c r="K558">
        <v>28000</v>
      </c>
      <c r="L558">
        <v>28000</v>
      </c>
    </row>
    <row r="559" spans="1:12" x14ac:dyDescent="0.3">
      <c r="A559">
        <v>10558</v>
      </c>
      <c r="B559" s="2">
        <v>45814</v>
      </c>
      <c r="C559" t="s">
        <v>189</v>
      </c>
      <c r="D559" t="s">
        <v>190</v>
      </c>
      <c r="E559" t="s">
        <v>160</v>
      </c>
      <c r="F559" t="s">
        <v>34</v>
      </c>
      <c r="G559" t="s">
        <v>65</v>
      </c>
      <c r="H559" t="s">
        <v>66</v>
      </c>
      <c r="I559" t="s">
        <v>49</v>
      </c>
      <c r="J559">
        <v>1</v>
      </c>
      <c r="K559">
        <v>2400</v>
      </c>
      <c r="L559">
        <v>2400</v>
      </c>
    </row>
    <row r="560" spans="1:12" x14ac:dyDescent="0.3">
      <c r="A560">
        <v>10559</v>
      </c>
      <c r="B560" s="2">
        <v>45728</v>
      </c>
      <c r="C560" t="s">
        <v>181</v>
      </c>
      <c r="D560" t="s">
        <v>182</v>
      </c>
      <c r="E560" t="s">
        <v>21</v>
      </c>
      <c r="F560" t="s">
        <v>15</v>
      </c>
      <c r="G560" t="s">
        <v>89</v>
      </c>
      <c r="H560" t="s">
        <v>90</v>
      </c>
      <c r="I560" t="s">
        <v>18</v>
      </c>
      <c r="J560">
        <v>1</v>
      </c>
      <c r="K560">
        <v>4200</v>
      </c>
      <c r="L560">
        <v>4200</v>
      </c>
    </row>
    <row r="561" spans="1:12" x14ac:dyDescent="0.3">
      <c r="A561">
        <v>10560</v>
      </c>
      <c r="B561" s="2">
        <v>45847</v>
      </c>
      <c r="C561" t="s">
        <v>133</v>
      </c>
      <c r="D561" t="s">
        <v>134</v>
      </c>
      <c r="E561" t="s">
        <v>33</v>
      </c>
      <c r="F561" t="s">
        <v>34</v>
      </c>
      <c r="G561" t="s">
        <v>121</v>
      </c>
      <c r="H561" t="s">
        <v>122</v>
      </c>
      <c r="I561" t="s">
        <v>49</v>
      </c>
      <c r="J561">
        <v>1</v>
      </c>
      <c r="K561">
        <v>4800</v>
      </c>
      <c r="L561">
        <v>4800</v>
      </c>
    </row>
    <row r="562" spans="1:12" x14ac:dyDescent="0.3">
      <c r="A562">
        <v>10561</v>
      </c>
      <c r="B562" s="2">
        <v>45939</v>
      </c>
      <c r="C562" t="s">
        <v>193</v>
      </c>
      <c r="D562" t="s">
        <v>194</v>
      </c>
      <c r="E562" t="s">
        <v>102</v>
      </c>
      <c r="F562" t="s">
        <v>34</v>
      </c>
      <c r="G562" t="s">
        <v>163</v>
      </c>
      <c r="H562" t="s">
        <v>164</v>
      </c>
      <c r="I562" t="s">
        <v>49</v>
      </c>
      <c r="J562">
        <v>3</v>
      </c>
      <c r="K562">
        <v>4200</v>
      </c>
      <c r="L562">
        <v>12600</v>
      </c>
    </row>
    <row r="563" spans="1:12" x14ac:dyDescent="0.3">
      <c r="A563">
        <v>10562</v>
      </c>
      <c r="B563" s="2">
        <v>45746</v>
      </c>
      <c r="C563" t="s">
        <v>85</v>
      </c>
      <c r="D563" t="s">
        <v>86</v>
      </c>
      <c r="E563" t="s">
        <v>45</v>
      </c>
      <c r="F563" t="s">
        <v>46</v>
      </c>
      <c r="G563" t="s">
        <v>41</v>
      </c>
      <c r="H563" t="s">
        <v>42</v>
      </c>
      <c r="I563" t="s">
        <v>37</v>
      </c>
      <c r="J563">
        <v>2</v>
      </c>
      <c r="K563">
        <v>30000</v>
      </c>
      <c r="L563">
        <v>60000</v>
      </c>
    </row>
    <row r="564" spans="1:12" x14ac:dyDescent="0.3">
      <c r="A564">
        <v>10563</v>
      </c>
      <c r="B564" s="2">
        <v>45664</v>
      </c>
      <c r="C564" t="s">
        <v>244</v>
      </c>
      <c r="D564" t="s">
        <v>245</v>
      </c>
      <c r="E564" t="s">
        <v>45</v>
      </c>
      <c r="F564" t="s">
        <v>46</v>
      </c>
      <c r="G564" t="s">
        <v>22</v>
      </c>
      <c r="H564" t="s">
        <v>23</v>
      </c>
      <c r="I564" t="s">
        <v>24</v>
      </c>
      <c r="J564">
        <v>1</v>
      </c>
      <c r="K564">
        <v>2400</v>
      </c>
      <c r="L564">
        <v>2400</v>
      </c>
    </row>
    <row r="565" spans="1:12" x14ac:dyDescent="0.3">
      <c r="A565">
        <v>10564</v>
      </c>
      <c r="B565" s="2">
        <v>45870</v>
      </c>
      <c r="C565" t="s">
        <v>224</v>
      </c>
      <c r="D565" t="s">
        <v>225</v>
      </c>
      <c r="E565" t="s">
        <v>201</v>
      </c>
      <c r="F565" t="s">
        <v>28</v>
      </c>
      <c r="G565" t="s">
        <v>29</v>
      </c>
      <c r="H565" t="s">
        <v>30</v>
      </c>
      <c r="I565" t="s">
        <v>18</v>
      </c>
      <c r="J565">
        <v>1</v>
      </c>
      <c r="K565">
        <v>15000</v>
      </c>
      <c r="L565">
        <v>15000</v>
      </c>
    </row>
    <row r="566" spans="1:12" x14ac:dyDescent="0.3">
      <c r="A566">
        <v>10565</v>
      </c>
      <c r="B566" s="2">
        <v>45763</v>
      </c>
      <c r="C566" t="s">
        <v>91</v>
      </c>
      <c r="D566" t="s">
        <v>92</v>
      </c>
      <c r="E566" t="s">
        <v>40</v>
      </c>
      <c r="F566" t="s">
        <v>15</v>
      </c>
      <c r="G566" t="s">
        <v>131</v>
      </c>
      <c r="H566" t="s">
        <v>132</v>
      </c>
      <c r="I566" t="s">
        <v>37</v>
      </c>
      <c r="J566">
        <v>3</v>
      </c>
      <c r="K566">
        <v>4500</v>
      </c>
      <c r="L566">
        <v>13500</v>
      </c>
    </row>
    <row r="567" spans="1:12" x14ac:dyDescent="0.3">
      <c r="A567">
        <v>10566</v>
      </c>
      <c r="B567" s="2">
        <v>45758</v>
      </c>
      <c r="C567" t="s">
        <v>19</v>
      </c>
      <c r="D567" t="s">
        <v>20</v>
      </c>
      <c r="E567" t="s">
        <v>21</v>
      </c>
      <c r="F567" t="s">
        <v>15</v>
      </c>
      <c r="G567" t="s">
        <v>75</v>
      </c>
      <c r="H567" t="s">
        <v>76</v>
      </c>
      <c r="I567" t="s">
        <v>49</v>
      </c>
      <c r="J567">
        <v>1</v>
      </c>
      <c r="K567">
        <v>3000</v>
      </c>
      <c r="L567">
        <v>3000</v>
      </c>
    </row>
    <row r="568" spans="1:12" x14ac:dyDescent="0.3">
      <c r="A568">
        <v>10567</v>
      </c>
      <c r="B568" s="2">
        <v>45763</v>
      </c>
      <c r="C568" t="s">
        <v>58</v>
      </c>
      <c r="D568" t="s">
        <v>59</v>
      </c>
      <c r="E568" t="s">
        <v>21</v>
      </c>
      <c r="F568" t="s">
        <v>15</v>
      </c>
      <c r="G568" t="s">
        <v>163</v>
      </c>
      <c r="H568" t="s">
        <v>164</v>
      </c>
      <c r="I568" t="s">
        <v>49</v>
      </c>
      <c r="J568">
        <v>3</v>
      </c>
      <c r="K568">
        <v>4200</v>
      </c>
      <c r="L568">
        <v>12600</v>
      </c>
    </row>
    <row r="569" spans="1:12" x14ac:dyDescent="0.3">
      <c r="A569">
        <v>10568</v>
      </c>
      <c r="B569" s="2">
        <v>45973</v>
      </c>
      <c r="C569" t="s">
        <v>58</v>
      </c>
      <c r="D569" t="s">
        <v>59</v>
      </c>
      <c r="E569" t="s">
        <v>21</v>
      </c>
      <c r="F569" t="s">
        <v>15</v>
      </c>
      <c r="G569" t="s">
        <v>131</v>
      </c>
      <c r="H569" t="s">
        <v>132</v>
      </c>
      <c r="I569" t="s">
        <v>37</v>
      </c>
      <c r="J569">
        <v>4</v>
      </c>
      <c r="K569">
        <v>4500</v>
      </c>
      <c r="L569">
        <v>18000</v>
      </c>
    </row>
    <row r="570" spans="1:12" x14ac:dyDescent="0.3">
      <c r="A570">
        <v>10569</v>
      </c>
      <c r="B570" s="2">
        <v>45807</v>
      </c>
      <c r="C570" t="s">
        <v>161</v>
      </c>
      <c r="D570" t="s">
        <v>162</v>
      </c>
      <c r="E570" t="s">
        <v>33</v>
      </c>
      <c r="F570" t="s">
        <v>34</v>
      </c>
      <c r="G570" t="s">
        <v>96</v>
      </c>
      <c r="H570" t="s">
        <v>97</v>
      </c>
      <c r="I570" t="s">
        <v>37</v>
      </c>
      <c r="J570">
        <v>1</v>
      </c>
      <c r="K570">
        <v>18000</v>
      </c>
      <c r="L570">
        <v>18000</v>
      </c>
    </row>
    <row r="571" spans="1:12" x14ac:dyDescent="0.3">
      <c r="A571">
        <v>10570</v>
      </c>
      <c r="B571" s="2">
        <v>45853</v>
      </c>
      <c r="C571" t="s">
        <v>220</v>
      </c>
      <c r="D571" t="s">
        <v>221</v>
      </c>
      <c r="E571" t="s">
        <v>102</v>
      </c>
      <c r="F571" t="s">
        <v>34</v>
      </c>
      <c r="G571" t="s">
        <v>129</v>
      </c>
      <c r="H571" t="s">
        <v>130</v>
      </c>
      <c r="I571" t="s">
        <v>24</v>
      </c>
      <c r="J571">
        <v>1</v>
      </c>
      <c r="K571">
        <v>1400</v>
      </c>
      <c r="L571">
        <v>1400</v>
      </c>
    </row>
    <row r="572" spans="1:12" x14ac:dyDescent="0.3">
      <c r="A572">
        <v>10571</v>
      </c>
      <c r="B572" s="2">
        <v>45727</v>
      </c>
      <c r="C572" t="s">
        <v>67</v>
      </c>
      <c r="D572" t="s">
        <v>68</v>
      </c>
      <c r="E572" t="s">
        <v>69</v>
      </c>
      <c r="F572" t="s">
        <v>28</v>
      </c>
      <c r="G572" t="s">
        <v>89</v>
      </c>
      <c r="H572" t="s">
        <v>90</v>
      </c>
      <c r="I572" t="s">
        <v>18</v>
      </c>
      <c r="J572">
        <v>1</v>
      </c>
      <c r="K572">
        <v>4200</v>
      </c>
      <c r="L572">
        <v>4200</v>
      </c>
    </row>
    <row r="573" spans="1:12" x14ac:dyDescent="0.3">
      <c r="A573">
        <v>10572</v>
      </c>
      <c r="B573" s="2">
        <v>46021</v>
      </c>
      <c r="C573" t="s">
        <v>19</v>
      </c>
      <c r="D573" t="s">
        <v>20</v>
      </c>
      <c r="E573" t="s">
        <v>21</v>
      </c>
      <c r="F573" t="s">
        <v>15</v>
      </c>
      <c r="G573" t="s">
        <v>144</v>
      </c>
      <c r="H573" t="s">
        <v>145</v>
      </c>
      <c r="I573" t="s">
        <v>37</v>
      </c>
      <c r="J573">
        <v>1</v>
      </c>
      <c r="K573">
        <v>65000</v>
      </c>
      <c r="L573">
        <v>65000</v>
      </c>
    </row>
    <row r="574" spans="1:12" x14ac:dyDescent="0.3">
      <c r="A574">
        <v>10573</v>
      </c>
      <c r="B574" s="2">
        <v>45693</v>
      </c>
      <c r="C574" t="s">
        <v>133</v>
      </c>
      <c r="D574" t="s">
        <v>134</v>
      </c>
      <c r="E574" t="s">
        <v>33</v>
      </c>
      <c r="F574" t="s">
        <v>34</v>
      </c>
      <c r="G574" t="s">
        <v>70</v>
      </c>
      <c r="H574" t="s">
        <v>71</v>
      </c>
      <c r="I574" t="s">
        <v>37</v>
      </c>
      <c r="J574">
        <v>1</v>
      </c>
      <c r="K574">
        <v>2200</v>
      </c>
      <c r="L574">
        <v>2200</v>
      </c>
    </row>
    <row r="575" spans="1:12" x14ac:dyDescent="0.3">
      <c r="A575">
        <v>10574</v>
      </c>
      <c r="B575" s="2">
        <v>45856</v>
      </c>
      <c r="C575" t="s">
        <v>202</v>
      </c>
      <c r="D575" t="s">
        <v>203</v>
      </c>
      <c r="E575" t="s">
        <v>64</v>
      </c>
      <c r="F575" t="s">
        <v>46</v>
      </c>
      <c r="G575" t="s">
        <v>163</v>
      </c>
      <c r="H575" t="s">
        <v>164</v>
      </c>
      <c r="I575" t="s">
        <v>49</v>
      </c>
      <c r="J575">
        <v>1</v>
      </c>
      <c r="K575">
        <v>4200</v>
      </c>
      <c r="L575">
        <v>4200</v>
      </c>
    </row>
    <row r="576" spans="1:12" x14ac:dyDescent="0.3">
      <c r="A576">
        <v>10575</v>
      </c>
      <c r="B576" s="2">
        <v>45831</v>
      </c>
      <c r="C576" t="s">
        <v>105</v>
      </c>
      <c r="D576" t="s">
        <v>106</v>
      </c>
      <c r="E576" t="s">
        <v>45</v>
      </c>
      <c r="F576" t="s">
        <v>46</v>
      </c>
      <c r="G576" t="s">
        <v>152</v>
      </c>
      <c r="H576" t="s">
        <v>153</v>
      </c>
      <c r="I576" t="s">
        <v>49</v>
      </c>
      <c r="J576">
        <v>2</v>
      </c>
      <c r="K576">
        <v>3200</v>
      </c>
      <c r="L576">
        <v>6400</v>
      </c>
    </row>
    <row r="577" spans="1:12" x14ac:dyDescent="0.3">
      <c r="A577">
        <v>10576</v>
      </c>
      <c r="B577" s="2">
        <v>45971</v>
      </c>
      <c r="C577" t="s">
        <v>100</v>
      </c>
      <c r="D577" t="s">
        <v>101</v>
      </c>
      <c r="E577" t="s">
        <v>102</v>
      </c>
      <c r="F577" t="s">
        <v>34</v>
      </c>
      <c r="G577" t="s">
        <v>129</v>
      </c>
      <c r="H577" t="s">
        <v>130</v>
      </c>
      <c r="I577" t="s">
        <v>24</v>
      </c>
      <c r="J577">
        <v>4</v>
      </c>
      <c r="K577">
        <v>1400</v>
      </c>
      <c r="L577">
        <v>5600</v>
      </c>
    </row>
    <row r="578" spans="1:12" x14ac:dyDescent="0.3">
      <c r="A578">
        <v>10577</v>
      </c>
      <c r="B578" s="2">
        <v>45682</v>
      </c>
      <c r="C578" t="s">
        <v>158</v>
      </c>
      <c r="D578" t="s">
        <v>159</v>
      </c>
      <c r="E578" t="s">
        <v>160</v>
      </c>
      <c r="F578" t="s">
        <v>34</v>
      </c>
      <c r="G578" t="s">
        <v>75</v>
      </c>
      <c r="H578" t="s">
        <v>76</v>
      </c>
      <c r="I578" t="s">
        <v>49</v>
      </c>
      <c r="J578">
        <v>5</v>
      </c>
      <c r="K578">
        <v>3000</v>
      </c>
      <c r="L578">
        <v>15000</v>
      </c>
    </row>
    <row r="579" spans="1:12" x14ac:dyDescent="0.3">
      <c r="A579">
        <v>10578</v>
      </c>
      <c r="B579" s="2">
        <v>45861</v>
      </c>
      <c r="C579" t="s">
        <v>100</v>
      </c>
      <c r="D579" t="s">
        <v>101</v>
      </c>
      <c r="E579" t="s">
        <v>102</v>
      </c>
      <c r="F579" t="s">
        <v>34</v>
      </c>
      <c r="G579" t="s">
        <v>60</v>
      </c>
      <c r="H579" t="s">
        <v>61</v>
      </c>
      <c r="I579" t="s">
        <v>18</v>
      </c>
      <c r="J579">
        <v>1</v>
      </c>
      <c r="K579">
        <v>2200</v>
      </c>
      <c r="L579">
        <v>2200</v>
      </c>
    </row>
    <row r="580" spans="1:12" x14ac:dyDescent="0.3">
      <c r="A580">
        <v>10579</v>
      </c>
      <c r="B580" s="2">
        <v>45823</v>
      </c>
      <c r="C580" t="s">
        <v>31</v>
      </c>
      <c r="D580" t="s">
        <v>32</v>
      </c>
      <c r="E580" t="s">
        <v>33</v>
      </c>
      <c r="F580" t="s">
        <v>34</v>
      </c>
      <c r="G580" t="s">
        <v>109</v>
      </c>
      <c r="H580" t="s">
        <v>110</v>
      </c>
      <c r="I580" t="s">
        <v>18</v>
      </c>
      <c r="J580">
        <v>1</v>
      </c>
      <c r="K580">
        <v>5000</v>
      </c>
      <c r="L580">
        <v>5000</v>
      </c>
    </row>
    <row r="581" spans="1:12" x14ac:dyDescent="0.3">
      <c r="A581">
        <v>10580</v>
      </c>
      <c r="B581" s="2">
        <v>45771</v>
      </c>
      <c r="C581" t="s">
        <v>185</v>
      </c>
      <c r="D581" t="s">
        <v>186</v>
      </c>
      <c r="E581" t="s">
        <v>14</v>
      </c>
      <c r="F581" t="s">
        <v>15</v>
      </c>
      <c r="G581" t="s">
        <v>152</v>
      </c>
      <c r="H581" t="s">
        <v>153</v>
      </c>
      <c r="I581" t="s">
        <v>49</v>
      </c>
      <c r="J581">
        <v>1</v>
      </c>
      <c r="K581">
        <v>3200</v>
      </c>
      <c r="L581">
        <v>3200</v>
      </c>
    </row>
    <row r="582" spans="1:12" x14ac:dyDescent="0.3">
      <c r="A582">
        <v>10581</v>
      </c>
      <c r="B582" s="2">
        <v>45889</v>
      </c>
      <c r="C582" t="s">
        <v>77</v>
      </c>
      <c r="D582" t="s">
        <v>78</v>
      </c>
      <c r="E582" t="s">
        <v>79</v>
      </c>
      <c r="F582" t="s">
        <v>34</v>
      </c>
      <c r="G582" t="s">
        <v>152</v>
      </c>
      <c r="H582" t="s">
        <v>153</v>
      </c>
      <c r="I582" t="s">
        <v>49</v>
      </c>
      <c r="J582">
        <v>1</v>
      </c>
      <c r="K582">
        <v>3200</v>
      </c>
      <c r="L582">
        <v>3200</v>
      </c>
    </row>
    <row r="583" spans="1:12" x14ac:dyDescent="0.3">
      <c r="A583">
        <v>10582</v>
      </c>
      <c r="B583" s="2">
        <v>45844</v>
      </c>
      <c r="C583" t="s">
        <v>224</v>
      </c>
      <c r="D583" t="s">
        <v>225</v>
      </c>
      <c r="E583" t="s">
        <v>201</v>
      </c>
      <c r="F583" t="s">
        <v>28</v>
      </c>
      <c r="G583" t="s">
        <v>177</v>
      </c>
      <c r="H583" t="s">
        <v>178</v>
      </c>
      <c r="I583" t="s">
        <v>37</v>
      </c>
      <c r="J583">
        <v>4</v>
      </c>
      <c r="K583">
        <v>2500</v>
      </c>
      <c r="L583">
        <v>10000</v>
      </c>
    </row>
    <row r="584" spans="1:12" x14ac:dyDescent="0.3">
      <c r="A584">
        <v>10583</v>
      </c>
      <c r="B584" s="2">
        <v>45744</v>
      </c>
      <c r="C584" t="s">
        <v>175</v>
      </c>
      <c r="D584" t="s">
        <v>176</v>
      </c>
      <c r="E584" t="s">
        <v>84</v>
      </c>
      <c r="F584" t="s">
        <v>46</v>
      </c>
      <c r="G584" t="s">
        <v>103</v>
      </c>
      <c r="H584" t="s">
        <v>104</v>
      </c>
      <c r="I584" t="s">
        <v>37</v>
      </c>
      <c r="J584">
        <v>1</v>
      </c>
      <c r="K584">
        <v>28000</v>
      </c>
      <c r="L584">
        <v>28000</v>
      </c>
    </row>
    <row r="585" spans="1:12" x14ac:dyDescent="0.3">
      <c r="A585">
        <v>10584</v>
      </c>
      <c r="B585" s="2">
        <v>45776</v>
      </c>
      <c r="C585" t="s">
        <v>244</v>
      </c>
      <c r="D585" t="s">
        <v>245</v>
      </c>
      <c r="E585" t="s">
        <v>45</v>
      </c>
      <c r="F585" t="s">
        <v>46</v>
      </c>
      <c r="G585" t="s">
        <v>60</v>
      </c>
      <c r="H585" t="s">
        <v>61</v>
      </c>
      <c r="I585" t="s">
        <v>18</v>
      </c>
      <c r="J585">
        <v>1</v>
      </c>
      <c r="K585">
        <v>2200</v>
      </c>
      <c r="L585">
        <v>2200</v>
      </c>
    </row>
    <row r="586" spans="1:12" x14ac:dyDescent="0.3">
      <c r="A586">
        <v>10585</v>
      </c>
      <c r="B586" s="2">
        <v>45833</v>
      </c>
      <c r="C586" t="s">
        <v>148</v>
      </c>
      <c r="D586" t="s">
        <v>149</v>
      </c>
      <c r="E586" t="s">
        <v>14</v>
      </c>
      <c r="F586" t="s">
        <v>15</v>
      </c>
      <c r="G586" t="s">
        <v>125</v>
      </c>
      <c r="H586" t="s">
        <v>126</v>
      </c>
      <c r="I586" t="s">
        <v>37</v>
      </c>
      <c r="J586">
        <v>1</v>
      </c>
      <c r="K586">
        <v>22000</v>
      </c>
      <c r="L586">
        <v>22000</v>
      </c>
    </row>
    <row r="587" spans="1:12" x14ac:dyDescent="0.3">
      <c r="A587">
        <v>10586</v>
      </c>
      <c r="B587" s="2">
        <v>45925</v>
      </c>
      <c r="C587" t="s">
        <v>189</v>
      </c>
      <c r="D587" t="s">
        <v>190</v>
      </c>
      <c r="E587" t="s">
        <v>160</v>
      </c>
      <c r="F587" t="s">
        <v>34</v>
      </c>
      <c r="G587" t="s">
        <v>56</v>
      </c>
      <c r="H587" t="s">
        <v>57</v>
      </c>
      <c r="I587" t="s">
        <v>18</v>
      </c>
      <c r="J587">
        <v>1</v>
      </c>
      <c r="K587">
        <v>9000</v>
      </c>
      <c r="L587">
        <v>9000</v>
      </c>
    </row>
    <row r="588" spans="1:12" x14ac:dyDescent="0.3">
      <c r="A588">
        <v>10587</v>
      </c>
      <c r="B588" s="2">
        <v>45764</v>
      </c>
      <c r="C588" t="s">
        <v>238</v>
      </c>
      <c r="D588" t="s">
        <v>239</v>
      </c>
      <c r="E588" t="s">
        <v>137</v>
      </c>
      <c r="F588" t="s">
        <v>46</v>
      </c>
      <c r="G588" t="s">
        <v>75</v>
      </c>
      <c r="H588" t="s">
        <v>76</v>
      </c>
      <c r="I588" t="s">
        <v>49</v>
      </c>
      <c r="J588">
        <v>1</v>
      </c>
      <c r="K588">
        <v>3000</v>
      </c>
      <c r="L588">
        <v>3000</v>
      </c>
    </row>
    <row r="589" spans="1:12" x14ac:dyDescent="0.3">
      <c r="A589">
        <v>10588</v>
      </c>
      <c r="B589" s="2">
        <v>45961</v>
      </c>
      <c r="C589" t="s">
        <v>193</v>
      </c>
      <c r="D589" t="s">
        <v>194</v>
      </c>
      <c r="E589" t="s">
        <v>102</v>
      </c>
      <c r="F589" t="s">
        <v>34</v>
      </c>
      <c r="G589" t="s">
        <v>167</v>
      </c>
      <c r="H589" t="s">
        <v>168</v>
      </c>
      <c r="I589" t="s">
        <v>49</v>
      </c>
      <c r="J589">
        <v>2</v>
      </c>
      <c r="K589">
        <v>3800</v>
      </c>
      <c r="L589">
        <v>7600</v>
      </c>
    </row>
    <row r="590" spans="1:12" x14ac:dyDescent="0.3">
      <c r="A590">
        <v>10589</v>
      </c>
      <c r="B590" s="2">
        <v>45973</v>
      </c>
      <c r="C590" t="s">
        <v>173</v>
      </c>
      <c r="D590" t="s">
        <v>174</v>
      </c>
      <c r="E590" t="s">
        <v>137</v>
      </c>
      <c r="F590" t="s">
        <v>46</v>
      </c>
      <c r="G590" t="s">
        <v>109</v>
      </c>
      <c r="H590" t="s">
        <v>110</v>
      </c>
      <c r="I590" t="s">
        <v>18</v>
      </c>
      <c r="J590">
        <v>1</v>
      </c>
      <c r="K590">
        <v>5000</v>
      </c>
      <c r="L590">
        <v>5000</v>
      </c>
    </row>
    <row r="591" spans="1:12" x14ac:dyDescent="0.3">
      <c r="A591">
        <v>10590</v>
      </c>
      <c r="B591" s="2">
        <v>45777</v>
      </c>
      <c r="C591" t="s">
        <v>107</v>
      </c>
      <c r="D591" t="s">
        <v>108</v>
      </c>
      <c r="E591" t="s">
        <v>74</v>
      </c>
      <c r="F591" t="s">
        <v>28</v>
      </c>
      <c r="G591" t="s">
        <v>70</v>
      </c>
      <c r="H591" t="s">
        <v>71</v>
      </c>
      <c r="I591" t="s">
        <v>37</v>
      </c>
      <c r="J591">
        <v>3</v>
      </c>
      <c r="K591">
        <v>2200</v>
      </c>
      <c r="L591">
        <v>6600</v>
      </c>
    </row>
    <row r="592" spans="1:12" x14ac:dyDescent="0.3">
      <c r="A592">
        <v>10591</v>
      </c>
      <c r="B592" s="2">
        <v>45792</v>
      </c>
      <c r="C592" t="s">
        <v>181</v>
      </c>
      <c r="D592" t="s">
        <v>182</v>
      </c>
      <c r="E592" t="s">
        <v>21</v>
      </c>
      <c r="F592" t="s">
        <v>15</v>
      </c>
      <c r="G592" t="s">
        <v>167</v>
      </c>
      <c r="H592" t="s">
        <v>168</v>
      </c>
      <c r="I592" t="s">
        <v>49</v>
      </c>
      <c r="J592">
        <v>1</v>
      </c>
      <c r="K592">
        <v>3800</v>
      </c>
      <c r="L592">
        <v>3800</v>
      </c>
    </row>
    <row r="593" spans="1:12" x14ac:dyDescent="0.3">
      <c r="A593">
        <v>10592</v>
      </c>
      <c r="B593" s="2">
        <v>45698</v>
      </c>
      <c r="C593" t="s">
        <v>244</v>
      </c>
      <c r="D593" t="s">
        <v>245</v>
      </c>
      <c r="E593" t="s">
        <v>45</v>
      </c>
      <c r="F593" t="s">
        <v>46</v>
      </c>
      <c r="G593" t="s">
        <v>47</v>
      </c>
      <c r="H593" t="s">
        <v>48</v>
      </c>
      <c r="I593" t="s">
        <v>49</v>
      </c>
      <c r="J593">
        <v>2</v>
      </c>
      <c r="K593">
        <v>1600</v>
      </c>
      <c r="L593">
        <v>3200</v>
      </c>
    </row>
    <row r="594" spans="1:12" x14ac:dyDescent="0.3">
      <c r="A594">
        <v>10593</v>
      </c>
      <c r="B594" s="2">
        <v>45842</v>
      </c>
      <c r="C594" t="s">
        <v>105</v>
      </c>
      <c r="D594" t="s">
        <v>106</v>
      </c>
      <c r="E594" t="s">
        <v>45</v>
      </c>
      <c r="F594" t="s">
        <v>46</v>
      </c>
      <c r="G594" t="s">
        <v>177</v>
      </c>
      <c r="H594" t="s">
        <v>178</v>
      </c>
      <c r="I594" t="s">
        <v>37</v>
      </c>
      <c r="J594">
        <v>2</v>
      </c>
      <c r="K594">
        <v>2500</v>
      </c>
      <c r="L594">
        <v>5000</v>
      </c>
    </row>
    <row r="595" spans="1:12" x14ac:dyDescent="0.3">
      <c r="A595">
        <v>10594</v>
      </c>
      <c r="B595" s="2">
        <v>45742</v>
      </c>
      <c r="C595" t="s">
        <v>154</v>
      </c>
      <c r="D595" t="s">
        <v>155</v>
      </c>
      <c r="E595" t="s">
        <v>74</v>
      </c>
      <c r="F595" t="s">
        <v>28</v>
      </c>
      <c r="G595" t="s">
        <v>140</v>
      </c>
      <c r="H595" t="s">
        <v>141</v>
      </c>
      <c r="I595" t="s">
        <v>18</v>
      </c>
      <c r="J595">
        <v>2</v>
      </c>
      <c r="K595">
        <v>3000</v>
      </c>
      <c r="L595">
        <v>6000</v>
      </c>
    </row>
    <row r="596" spans="1:12" x14ac:dyDescent="0.3">
      <c r="A596">
        <v>10595</v>
      </c>
      <c r="B596" s="2">
        <v>45895</v>
      </c>
      <c r="C596" t="s">
        <v>117</v>
      </c>
      <c r="D596" t="s">
        <v>118</v>
      </c>
      <c r="E596" t="s">
        <v>95</v>
      </c>
      <c r="F596" t="s">
        <v>15</v>
      </c>
      <c r="G596" t="s">
        <v>60</v>
      </c>
      <c r="H596" t="s">
        <v>61</v>
      </c>
      <c r="I596" t="s">
        <v>18</v>
      </c>
      <c r="J596">
        <v>1</v>
      </c>
      <c r="K596">
        <v>2200</v>
      </c>
      <c r="L596">
        <v>2200</v>
      </c>
    </row>
    <row r="597" spans="1:12" x14ac:dyDescent="0.3">
      <c r="A597">
        <v>10596</v>
      </c>
      <c r="B597" s="2">
        <v>45704</v>
      </c>
      <c r="C597" t="s">
        <v>222</v>
      </c>
      <c r="D597" t="s">
        <v>223</v>
      </c>
      <c r="E597" t="s">
        <v>21</v>
      </c>
      <c r="F597" t="s">
        <v>15</v>
      </c>
      <c r="G597" t="s">
        <v>65</v>
      </c>
      <c r="H597" t="s">
        <v>66</v>
      </c>
      <c r="I597" t="s">
        <v>49</v>
      </c>
      <c r="J597">
        <v>2</v>
      </c>
      <c r="K597">
        <v>2400</v>
      </c>
      <c r="L597">
        <v>4800</v>
      </c>
    </row>
    <row r="598" spans="1:12" x14ac:dyDescent="0.3">
      <c r="A598">
        <v>10597</v>
      </c>
      <c r="B598" s="2">
        <v>45663</v>
      </c>
      <c r="C598" t="s">
        <v>43</v>
      </c>
      <c r="D598" t="s">
        <v>44</v>
      </c>
      <c r="E598" t="s">
        <v>45</v>
      </c>
      <c r="F598" t="s">
        <v>46</v>
      </c>
      <c r="G598" t="s">
        <v>109</v>
      </c>
      <c r="H598" t="s">
        <v>110</v>
      </c>
      <c r="I598" t="s">
        <v>18</v>
      </c>
      <c r="J598">
        <v>2</v>
      </c>
      <c r="K598">
        <v>5000</v>
      </c>
      <c r="L598">
        <v>10000</v>
      </c>
    </row>
    <row r="599" spans="1:12" x14ac:dyDescent="0.3">
      <c r="A599">
        <v>10598</v>
      </c>
      <c r="B599" s="2">
        <v>45869</v>
      </c>
      <c r="C599" t="s">
        <v>175</v>
      </c>
      <c r="D599" t="s">
        <v>176</v>
      </c>
      <c r="E599" t="s">
        <v>84</v>
      </c>
      <c r="F599" t="s">
        <v>46</v>
      </c>
      <c r="G599" t="s">
        <v>125</v>
      </c>
      <c r="H599" t="s">
        <v>126</v>
      </c>
      <c r="I599" t="s">
        <v>37</v>
      </c>
      <c r="J599">
        <v>1</v>
      </c>
      <c r="K599">
        <v>22000</v>
      </c>
      <c r="L599">
        <v>22000</v>
      </c>
    </row>
    <row r="600" spans="1:12" x14ac:dyDescent="0.3">
      <c r="A600">
        <v>10599</v>
      </c>
      <c r="B600" s="2">
        <v>45866</v>
      </c>
      <c r="C600" t="s">
        <v>50</v>
      </c>
      <c r="D600" t="s">
        <v>51</v>
      </c>
      <c r="E600" t="s">
        <v>14</v>
      </c>
      <c r="F600" t="s">
        <v>15</v>
      </c>
      <c r="G600" t="s">
        <v>56</v>
      </c>
      <c r="H600" t="s">
        <v>57</v>
      </c>
      <c r="I600" t="s">
        <v>18</v>
      </c>
      <c r="J600">
        <v>1</v>
      </c>
      <c r="K600">
        <v>9000</v>
      </c>
      <c r="L600">
        <v>9000</v>
      </c>
    </row>
    <row r="601" spans="1:12" x14ac:dyDescent="0.3">
      <c r="A601">
        <v>10600</v>
      </c>
      <c r="B601" s="2">
        <v>46007</v>
      </c>
      <c r="C601" t="s">
        <v>197</v>
      </c>
      <c r="D601" t="s">
        <v>198</v>
      </c>
      <c r="E601" t="s">
        <v>95</v>
      </c>
      <c r="F601" t="s">
        <v>15</v>
      </c>
      <c r="G601" t="s">
        <v>41</v>
      </c>
      <c r="H601" t="s">
        <v>42</v>
      </c>
      <c r="I601" t="s">
        <v>37</v>
      </c>
      <c r="J601">
        <v>3</v>
      </c>
      <c r="K601">
        <v>30000</v>
      </c>
      <c r="L601">
        <v>90000</v>
      </c>
    </row>
    <row r="602" spans="1:12" x14ac:dyDescent="0.3">
      <c r="A602">
        <v>10601</v>
      </c>
      <c r="B602" s="2">
        <v>45996</v>
      </c>
      <c r="C602" t="s">
        <v>226</v>
      </c>
      <c r="D602" t="s">
        <v>227</v>
      </c>
      <c r="E602" t="s">
        <v>79</v>
      </c>
      <c r="F602" t="s">
        <v>34</v>
      </c>
      <c r="G602" t="s">
        <v>163</v>
      </c>
      <c r="H602" t="s">
        <v>164</v>
      </c>
      <c r="I602" t="s">
        <v>49</v>
      </c>
      <c r="J602">
        <v>1</v>
      </c>
      <c r="K602">
        <v>4200</v>
      </c>
      <c r="L602">
        <v>4200</v>
      </c>
    </row>
    <row r="603" spans="1:12" x14ac:dyDescent="0.3">
      <c r="A603">
        <v>10602</v>
      </c>
      <c r="B603" s="2">
        <v>45955</v>
      </c>
      <c r="C603" t="s">
        <v>12</v>
      </c>
      <c r="D603" t="s">
        <v>13</v>
      </c>
      <c r="E603" t="s">
        <v>14</v>
      </c>
      <c r="F603" t="s">
        <v>15</v>
      </c>
      <c r="G603" t="s">
        <v>177</v>
      </c>
      <c r="H603" t="s">
        <v>178</v>
      </c>
      <c r="I603" t="s">
        <v>37</v>
      </c>
      <c r="J603">
        <v>3</v>
      </c>
      <c r="K603">
        <v>2500</v>
      </c>
      <c r="L603">
        <v>7500</v>
      </c>
    </row>
    <row r="604" spans="1:12" x14ac:dyDescent="0.3">
      <c r="A604">
        <v>10603</v>
      </c>
      <c r="B604" s="2">
        <v>45833</v>
      </c>
      <c r="C604" t="s">
        <v>107</v>
      </c>
      <c r="D604" t="s">
        <v>108</v>
      </c>
      <c r="E604" t="s">
        <v>74</v>
      </c>
      <c r="F604" t="s">
        <v>28</v>
      </c>
      <c r="G604" t="s">
        <v>65</v>
      </c>
      <c r="H604" t="s">
        <v>66</v>
      </c>
      <c r="I604" t="s">
        <v>49</v>
      </c>
      <c r="J604">
        <v>1</v>
      </c>
      <c r="K604">
        <v>2400</v>
      </c>
      <c r="L604">
        <v>2400</v>
      </c>
    </row>
    <row r="605" spans="1:12" x14ac:dyDescent="0.3">
      <c r="A605">
        <v>10604</v>
      </c>
      <c r="B605" s="2">
        <v>45899</v>
      </c>
      <c r="C605" t="s">
        <v>43</v>
      </c>
      <c r="D605" t="s">
        <v>44</v>
      </c>
      <c r="E605" t="s">
        <v>45</v>
      </c>
      <c r="F605" t="s">
        <v>46</v>
      </c>
      <c r="G605" t="s">
        <v>89</v>
      </c>
      <c r="H605" t="s">
        <v>90</v>
      </c>
      <c r="I605" t="s">
        <v>18</v>
      </c>
      <c r="J605">
        <v>1</v>
      </c>
      <c r="K605">
        <v>4200</v>
      </c>
      <c r="L605">
        <v>4200</v>
      </c>
    </row>
    <row r="606" spans="1:12" x14ac:dyDescent="0.3">
      <c r="A606">
        <v>10605</v>
      </c>
      <c r="B606" s="2">
        <v>45933</v>
      </c>
      <c r="C606" t="s">
        <v>91</v>
      </c>
      <c r="D606" t="s">
        <v>92</v>
      </c>
      <c r="E606" t="s">
        <v>40</v>
      </c>
      <c r="F606" t="s">
        <v>15</v>
      </c>
      <c r="G606" t="s">
        <v>29</v>
      </c>
      <c r="H606" t="s">
        <v>30</v>
      </c>
      <c r="I606" t="s">
        <v>18</v>
      </c>
      <c r="J606">
        <v>1</v>
      </c>
      <c r="K606">
        <v>15000</v>
      </c>
      <c r="L606">
        <v>15000</v>
      </c>
    </row>
    <row r="607" spans="1:12" x14ac:dyDescent="0.3">
      <c r="A607">
        <v>10606</v>
      </c>
      <c r="B607" s="2">
        <v>45725</v>
      </c>
      <c r="C607" t="s">
        <v>133</v>
      </c>
      <c r="D607" t="s">
        <v>134</v>
      </c>
      <c r="E607" t="s">
        <v>33</v>
      </c>
      <c r="F607" t="s">
        <v>34</v>
      </c>
      <c r="G607" t="s">
        <v>89</v>
      </c>
      <c r="H607" t="s">
        <v>90</v>
      </c>
      <c r="I607" t="s">
        <v>18</v>
      </c>
      <c r="J607">
        <v>1</v>
      </c>
      <c r="K607">
        <v>4200</v>
      </c>
      <c r="L607">
        <v>4200</v>
      </c>
    </row>
    <row r="608" spans="1:12" x14ac:dyDescent="0.3">
      <c r="A608">
        <v>10607</v>
      </c>
      <c r="B608" s="2">
        <v>45910</v>
      </c>
      <c r="C608" t="s">
        <v>224</v>
      </c>
      <c r="D608" t="s">
        <v>225</v>
      </c>
      <c r="E608" t="s">
        <v>201</v>
      </c>
      <c r="F608" t="s">
        <v>28</v>
      </c>
      <c r="G608" t="s">
        <v>177</v>
      </c>
      <c r="H608" t="s">
        <v>178</v>
      </c>
      <c r="I608" t="s">
        <v>37</v>
      </c>
      <c r="J608">
        <v>1</v>
      </c>
      <c r="K608">
        <v>2500</v>
      </c>
      <c r="L608">
        <v>2500</v>
      </c>
    </row>
    <row r="609" spans="1:12" x14ac:dyDescent="0.3">
      <c r="A609">
        <v>10608</v>
      </c>
      <c r="B609" s="2">
        <v>45663</v>
      </c>
      <c r="C609" t="s">
        <v>165</v>
      </c>
      <c r="D609" t="s">
        <v>166</v>
      </c>
      <c r="E609" t="s">
        <v>69</v>
      </c>
      <c r="F609" t="s">
        <v>28</v>
      </c>
      <c r="G609" t="s">
        <v>152</v>
      </c>
      <c r="H609" t="s">
        <v>153</v>
      </c>
      <c r="I609" t="s">
        <v>49</v>
      </c>
      <c r="J609">
        <v>1</v>
      </c>
      <c r="K609">
        <v>3200</v>
      </c>
      <c r="L609">
        <v>3200</v>
      </c>
    </row>
    <row r="610" spans="1:12" x14ac:dyDescent="0.3">
      <c r="A610">
        <v>10609</v>
      </c>
      <c r="B610" s="2">
        <v>46012</v>
      </c>
      <c r="C610" t="s">
        <v>12</v>
      </c>
      <c r="D610" t="s">
        <v>13</v>
      </c>
      <c r="E610" t="s">
        <v>14</v>
      </c>
      <c r="F610" t="s">
        <v>15</v>
      </c>
      <c r="G610" t="s">
        <v>131</v>
      </c>
      <c r="H610" t="s">
        <v>132</v>
      </c>
      <c r="I610" t="s">
        <v>37</v>
      </c>
      <c r="J610">
        <v>1</v>
      </c>
      <c r="K610">
        <v>4500</v>
      </c>
      <c r="L610">
        <v>4500</v>
      </c>
    </row>
    <row r="611" spans="1:12" x14ac:dyDescent="0.3">
      <c r="A611">
        <v>10610</v>
      </c>
      <c r="B611" s="2">
        <v>46009</v>
      </c>
      <c r="C611" t="s">
        <v>133</v>
      </c>
      <c r="D611" t="s">
        <v>134</v>
      </c>
      <c r="E611" t="s">
        <v>33</v>
      </c>
      <c r="F611" t="s">
        <v>34</v>
      </c>
      <c r="G611" t="s">
        <v>41</v>
      </c>
      <c r="H611" t="s">
        <v>42</v>
      </c>
      <c r="I611" t="s">
        <v>37</v>
      </c>
      <c r="J611">
        <v>2</v>
      </c>
      <c r="K611">
        <v>30000</v>
      </c>
      <c r="L611">
        <v>60000</v>
      </c>
    </row>
    <row r="612" spans="1:12" x14ac:dyDescent="0.3">
      <c r="A612">
        <v>10611</v>
      </c>
      <c r="B612" s="2">
        <v>45710</v>
      </c>
      <c r="C612" t="s">
        <v>133</v>
      </c>
      <c r="D612" t="s">
        <v>134</v>
      </c>
      <c r="E612" t="s">
        <v>33</v>
      </c>
      <c r="F612" t="s">
        <v>34</v>
      </c>
      <c r="G612" t="s">
        <v>98</v>
      </c>
      <c r="H612" t="s">
        <v>99</v>
      </c>
      <c r="I612" t="s">
        <v>24</v>
      </c>
      <c r="J612">
        <v>4</v>
      </c>
      <c r="K612">
        <v>2000</v>
      </c>
      <c r="L612">
        <v>8000</v>
      </c>
    </row>
    <row r="613" spans="1:12" x14ac:dyDescent="0.3">
      <c r="A613">
        <v>10612</v>
      </c>
      <c r="B613" s="2">
        <v>45988</v>
      </c>
      <c r="C613" t="s">
        <v>133</v>
      </c>
      <c r="D613" t="s">
        <v>134</v>
      </c>
      <c r="E613" t="s">
        <v>33</v>
      </c>
      <c r="F613" t="s">
        <v>34</v>
      </c>
      <c r="G613" t="s">
        <v>113</v>
      </c>
      <c r="H613" t="s">
        <v>114</v>
      </c>
      <c r="I613" t="s">
        <v>37</v>
      </c>
      <c r="J613">
        <v>1</v>
      </c>
      <c r="K613">
        <v>52000</v>
      </c>
      <c r="L613">
        <v>52000</v>
      </c>
    </row>
    <row r="614" spans="1:12" x14ac:dyDescent="0.3">
      <c r="A614">
        <v>10613</v>
      </c>
      <c r="B614" s="2">
        <v>45841</v>
      </c>
      <c r="C614" t="s">
        <v>72</v>
      </c>
      <c r="D614" t="s">
        <v>73</v>
      </c>
      <c r="E614" t="s">
        <v>74</v>
      </c>
      <c r="F614" t="s">
        <v>28</v>
      </c>
      <c r="G614" t="s">
        <v>121</v>
      </c>
      <c r="H614" t="s">
        <v>122</v>
      </c>
      <c r="I614" t="s">
        <v>49</v>
      </c>
      <c r="J614">
        <v>2</v>
      </c>
      <c r="K614">
        <v>4800</v>
      </c>
      <c r="L614">
        <v>9600</v>
      </c>
    </row>
    <row r="615" spans="1:12" x14ac:dyDescent="0.3">
      <c r="A615">
        <v>10614</v>
      </c>
      <c r="B615" s="2">
        <v>45668</v>
      </c>
      <c r="C615" t="s">
        <v>107</v>
      </c>
      <c r="D615" t="s">
        <v>108</v>
      </c>
      <c r="E615" t="s">
        <v>74</v>
      </c>
      <c r="F615" t="s">
        <v>28</v>
      </c>
      <c r="G615" t="s">
        <v>98</v>
      </c>
      <c r="H615" t="s">
        <v>99</v>
      </c>
      <c r="I615" t="s">
        <v>24</v>
      </c>
      <c r="J615">
        <v>1</v>
      </c>
      <c r="K615">
        <v>2000</v>
      </c>
      <c r="L615">
        <v>2000</v>
      </c>
    </row>
    <row r="616" spans="1:12" x14ac:dyDescent="0.3">
      <c r="A616">
        <v>10615</v>
      </c>
      <c r="B616" s="2">
        <v>45926</v>
      </c>
      <c r="C616" t="s">
        <v>202</v>
      </c>
      <c r="D616" t="s">
        <v>203</v>
      </c>
      <c r="E616" t="s">
        <v>64</v>
      </c>
      <c r="F616" t="s">
        <v>46</v>
      </c>
      <c r="G616" t="s">
        <v>65</v>
      </c>
      <c r="H616" t="s">
        <v>66</v>
      </c>
      <c r="I616" t="s">
        <v>49</v>
      </c>
      <c r="J616">
        <v>4</v>
      </c>
      <c r="K616">
        <v>2400</v>
      </c>
      <c r="L616">
        <v>9600</v>
      </c>
    </row>
    <row r="617" spans="1:12" x14ac:dyDescent="0.3">
      <c r="A617">
        <v>10616</v>
      </c>
      <c r="B617" s="2">
        <v>45953</v>
      </c>
      <c r="C617" t="s">
        <v>222</v>
      </c>
      <c r="D617" t="s">
        <v>223</v>
      </c>
      <c r="E617" t="s">
        <v>21</v>
      </c>
      <c r="F617" t="s">
        <v>15</v>
      </c>
      <c r="G617" t="s">
        <v>60</v>
      </c>
      <c r="H617" t="s">
        <v>61</v>
      </c>
      <c r="I617" t="s">
        <v>18</v>
      </c>
      <c r="J617">
        <v>2</v>
      </c>
      <c r="K617">
        <v>2200</v>
      </c>
      <c r="L617">
        <v>4400</v>
      </c>
    </row>
    <row r="618" spans="1:12" x14ac:dyDescent="0.3">
      <c r="A618">
        <v>10617</v>
      </c>
      <c r="B618" s="2">
        <v>45958</v>
      </c>
      <c r="C618" t="s">
        <v>91</v>
      </c>
      <c r="D618" t="s">
        <v>92</v>
      </c>
      <c r="E618" t="s">
        <v>40</v>
      </c>
      <c r="F618" t="s">
        <v>15</v>
      </c>
      <c r="G618" t="s">
        <v>75</v>
      </c>
      <c r="H618" t="s">
        <v>76</v>
      </c>
      <c r="I618" t="s">
        <v>49</v>
      </c>
      <c r="J618">
        <v>2</v>
      </c>
      <c r="K618">
        <v>3000</v>
      </c>
      <c r="L618">
        <v>6000</v>
      </c>
    </row>
    <row r="619" spans="1:12" x14ac:dyDescent="0.3">
      <c r="A619">
        <v>10618</v>
      </c>
      <c r="B619" s="2">
        <v>45901</v>
      </c>
      <c r="C619" t="s">
        <v>146</v>
      </c>
      <c r="D619" t="s">
        <v>147</v>
      </c>
      <c r="E619" t="s">
        <v>64</v>
      </c>
      <c r="F619" t="s">
        <v>46</v>
      </c>
      <c r="G619" t="s">
        <v>129</v>
      </c>
      <c r="H619" t="s">
        <v>130</v>
      </c>
      <c r="I619" t="s">
        <v>24</v>
      </c>
      <c r="J619">
        <v>1</v>
      </c>
      <c r="K619">
        <v>1400</v>
      </c>
      <c r="L619">
        <v>1400</v>
      </c>
    </row>
    <row r="620" spans="1:12" x14ac:dyDescent="0.3">
      <c r="A620">
        <v>10619</v>
      </c>
      <c r="B620" s="2">
        <v>45887</v>
      </c>
      <c r="C620" t="s">
        <v>58</v>
      </c>
      <c r="D620" t="s">
        <v>59</v>
      </c>
      <c r="E620" t="s">
        <v>21</v>
      </c>
      <c r="F620" t="s">
        <v>15</v>
      </c>
      <c r="G620" t="s">
        <v>98</v>
      </c>
      <c r="H620" t="s">
        <v>99</v>
      </c>
      <c r="I620" t="s">
        <v>24</v>
      </c>
      <c r="J620">
        <v>1</v>
      </c>
      <c r="K620">
        <v>2000</v>
      </c>
      <c r="L620">
        <v>2000</v>
      </c>
    </row>
    <row r="621" spans="1:12" x14ac:dyDescent="0.3">
      <c r="A621">
        <v>10620</v>
      </c>
      <c r="B621" s="2">
        <v>45857</v>
      </c>
      <c r="C621" t="s">
        <v>146</v>
      </c>
      <c r="D621" t="s">
        <v>147</v>
      </c>
      <c r="E621" t="s">
        <v>64</v>
      </c>
      <c r="F621" t="s">
        <v>46</v>
      </c>
      <c r="G621" t="s">
        <v>52</v>
      </c>
      <c r="H621" t="s">
        <v>53</v>
      </c>
      <c r="I621" t="s">
        <v>24</v>
      </c>
      <c r="J621">
        <v>1</v>
      </c>
      <c r="K621">
        <v>3500</v>
      </c>
      <c r="L621">
        <v>3500</v>
      </c>
    </row>
    <row r="622" spans="1:12" x14ac:dyDescent="0.3">
      <c r="A622">
        <v>10621</v>
      </c>
      <c r="B622" s="2">
        <v>45905</v>
      </c>
      <c r="C622" t="s">
        <v>72</v>
      </c>
      <c r="D622" t="s">
        <v>73</v>
      </c>
      <c r="E622" t="s">
        <v>74</v>
      </c>
      <c r="F622" t="s">
        <v>28</v>
      </c>
      <c r="G622" t="s">
        <v>70</v>
      </c>
      <c r="H622" t="s">
        <v>71</v>
      </c>
      <c r="I622" t="s">
        <v>37</v>
      </c>
      <c r="J622">
        <v>4</v>
      </c>
      <c r="K622">
        <v>2200</v>
      </c>
      <c r="L622">
        <v>8800</v>
      </c>
    </row>
    <row r="623" spans="1:12" x14ac:dyDescent="0.3">
      <c r="A623">
        <v>10622</v>
      </c>
      <c r="B623" s="2">
        <v>45887</v>
      </c>
      <c r="C623" t="s">
        <v>93</v>
      </c>
      <c r="D623" t="s">
        <v>94</v>
      </c>
      <c r="E623" t="s">
        <v>95</v>
      </c>
      <c r="F623" t="s">
        <v>15</v>
      </c>
      <c r="G623" t="s">
        <v>96</v>
      </c>
      <c r="H623" t="s">
        <v>97</v>
      </c>
      <c r="I623" t="s">
        <v>37</v>
      </c>
      <c r="J623">
        <v>2</v>
      </c>
      <c r="K623">
        <v>18000</v>
      </c>
      <c r="L623">
        <v>36000</v>
      </c>
    </row>
    <row r="624" spans="1:12" x14ac:dyDescent="0.3">
      <c r="A624">
        <v>10623</v>
      </c>
      <c r="B624" s="2">
        <v>45878</v>
      </c>
      <c r="C624" t="s">
        <v>117</v>
      </c>
      <c r="D624" t="s">
        <v>118</v>
      </c>
      <c r="E624" t="s">
        <v>95</v>
      </c>
      <c r="F624" t="s">
        <v>15</v>
      </c>
      <c r="G624" t="s">
        <v>35</v>
      </c>
      <c r="H624" t="s">
        <v>36</v>
      </c>
      <c r="I624" t="s">
        <v>37</v>
      </c>
      <c r="J624">
        <v>1</v>
      </c>
      <c r="K624">
        <v>12000</v>
      </c>
      <c r="L624">
        <v>12000</v>
      </c>
    </row>
    <row r="625" spans="1:12" x14ac:dyDescent="0.3">
      <c r="A625">
        <v>10624</v>
      </c>
      <c r="B625" s="2">
        <v>45896</v>
      </c>
      <c r="C625" t="s">
        <v>82</v>
      </c>
      <c r="D625" t="s">
        <v>83</v>
      </c>
      <c r="E625" t="s">
        <v>84</v>
      </c>
      <c r="F625" t="s">
        <v>46</v>
      </c>
      <c r="G625" t="s">
        <v>129</v>
      </c>
      <c r="H625" t="s">
        <v>130</v>
      </c>
      <c r="I625" t="s">
        <v>24</v>
      </c>
      <c r="J625">
        <v>2</v>
      </c>
      <c r="K625">
        <v>1400</v>
      </c>
      <c r="L625">
        <v>2800</v>
      </c>
    </row>
    <row r="626" spans="1:12" x14ac:dyDescent="0.3">
      <c r="A626">
        <v>10625</v>
      </c>
      <c r="B626" s="2">
        <v>45754</v>
      </c>
      <c r="C626" t="s">
        <v>43</v>
      </c>
      <c r="D626" t="s">
        <v>44</v>
      </c>
      <c r="E626" t="s">
        <v>45</v>
      </c>
      <c r="F626" t="s">
        <v>46</v>
      </c>
      <c r="G626" t="s">
        <v>65</v>
      </c>
      <c r="H626" t="s">
        <v>66</v>
      </c>
      <c r="I626" t="s">
        <v>49</v>
      </c>
      <c r="J626">
        <v>3</v>
      </c>
      <c r="K626">
        <v>2400</v>
      </c>
      <c r="L626">
        <v>7200</v>
      </c>
    </row>
    <row r="627" spans="1:12" x14ac:dyDescent="0.3">
      <c r="A627">
        <v>10626</v>
      </c>
      <c r="B627" s="2">
        <v>45818</v>
      </c>
      <c r="C627" t="s">
        <v>62</v>
      </c>
      <c r="D627" t="s">
        <v>63</v>
      </c>
      <c r="E627" t="s">
        <v>64</v>
      </c>
      <c r="F627" t="s">
        <v>46</v>
      </c>
      <c r="G627" t="s">
        <v>103</v>
      </c>
      <c r="H627" t="s">
        <v>104</v>
      </c>
      <c r="I627" t="s">
        <v>37</v>
      </c>
      <c r="J627">
        <v>5</v>
      </c>
      <c r="K627">
        <v>28000</v>
      </c>
      <c r="L627">
        <v>140000</v>
      </c>
    </row>
    <row r="628" spans="1:12" x14ac:dyDescent="0.3">
      <c r="A628">
        <v>10627</v>
      </c>
      <c r="B628" s="2">
        <v>45851</v>
      </c>
      <c r="C628" t="s">
        <v>127</v>
      </c>
      <c r="D628" t="s">
        <v>128</v>
      </c>
      <c r="E628" t="s">
        <v>102</v>
      </c>
      <c r="F628" t="s">
        <v>34</v>
      </c>
      <c r="G628" t="s">
        <v>98</v>
      </c>
      <c r="H628" t="s">
        <v>99</v>
      </c>
      <c r="I628" t="s">
        <v>24</v>
      </c>
      <c r="J628">
        <v>1</v>
      </c>
      <c r="K628">
        <v>2000</v>
      </c>
      <c r="L628">
        <v>2000</v>
      </c>
    </row>
    <row r="629" spans="1:12" x14ac:dyDescent="0.3">
      <c r="A629">
        <v>10628</v>
      </c>
      <c r="B629" s="2">
        <v>45882</v>
      </c>
      <c r="C629" t="s">
        <v>212</v>
      </c>
      <c r="D629" t="s">
        <v>213</v>
      </c>
      <c r="E629" t="s">
        <v>69</v>
      </c>
      <c r="F629" t="s">
        <v>28</v>
      </c>
      <c r="G629" t="s">
        <v>60</v>
      </c>
      <c r="H629" t="s">
        <v>61</v>
      </c>
      <c r="I629" t="s">
        <v>18</v>
      </c>
      <c r="J629">
        <v>1</v>
      </c>
      <c r="K629">
        <v>2200</v>
      </c>
      <c r="L629">
        <v>2200</v>
      </c>
    </row>
    <row r="630" spans="1:12" x14ac:dyDescent="0.3">
      <c r="A630">
        <v>10629</v>
      </c>
      <c r="B630" s="2">
        <v>45826</v>
      </c>
      <c r="C630" t="s">
        <v>148</v>
      </c>
      <c r="D630" t="s">
        <v>149</v>
      </c>
      <c r="E630" t="s">
        <v>14</v>
      </c>
      <c r="F630" t="s">
        <v>15</v>
      </c>
      <c r="G630" t="s">
        <v>96</v>
      </c>
      <c r="H630" t="s">
        <v>97</v>
      </c>
      <c r="I630" t="s">
        <v>37</v>
      </c>
      <c r="J630">
        <v>5</v>
      </c>
      <c r="K630">
        <v>18000</v>
      </c>
      <c r="L630">
        <v>90000</v>
      </c>
    </row>
    <row r="631" spans="1:12" x14ac:dyDescent="0.3">
      <c r="A631">
        <v>10630</v>
      </c>
      <c r="B631" s="2">
        <v>45769</v>
      </c>
      <c r="C631" t="s">
        <v>91</v>
      </c>
      <c r="D631" t="s">
        <v>92</v>
      </c>
      <c r="E631" t="s">
        <v>40</v>
      </c>
      <c r="F631" t="s">
        <v>15</v>
      </c>
      <c r="G631" t="s">
        <v>47</v>
      </c>
      <c r="H631" t="s">
        <v>48</v>
      </c>
      <c r="I631" t="s">
        <v>49</v>
      </c>
      <c r="J631">
        <v>2</v>
      </c>
      <c r="K631">
        <v>1600</v>
      </c>
      <c r="L631">
        <v>3200</v>
      </c>
    </row>
    <row r="632" spans="1:12" x14ac:dyDescent="0.3">
      <c r="A632">
        <v>10631</v>
      </c>
      <c r="B632" s="2">
        <v>45777</v>
      </c>
      <c r="C632" t="s">
        <v>87</v>
      </c>
      <c r="D632" t="s">
        <v>88</v>
      </c>
      <c r="E632" t="s">
        <v>64</v>
      </c>
      <c r="F632" t="s">
        <v>46</v>
      </c>
      <c r="G632" t="s">
        <v>163</v>
      </c>
      <c r="H632" t="s">
        <v>164</v>
      </c>
      <c r="I632" t="s">
        <v>49</v>
      </c>
      <c r="J632">
        <v>1</v>
      </c>
      <c r="K632">
        <v>4200</v>
      </c>
      <c r="L632">
        <v>4200</v>
      </c>
    </row>
    <row r="633" spans="1:12" x14ac:dyDescent="0.3">
      <c r="A633">
        <v>10632</v>
      </c>
      <c r="B633" s="2">
        <v>45754</v>
      </c>
      <c r="C633" t="s">
        <v>82</v>
      </c>
      <c r="D633" t="s">
        <v>83</v>
      </c>
      <c r="E633" t="s">
        <v>84</v>
      </c>
      <c r="F633" t="s">
        <v>46</v>
      </c>
      <c r="G633" t="s">
        <v>47</v>
      </c>
      <c r="H633" t="s">
        <v>48</v>
      </c>
      <c r="I633" t="s">
        <v>49</v>
      </c>
      <c r="J633">
        <v>1</v>
      </c>
      <c r="K633">
        <v>1600</v>
      </c>
      <c r="L633">
        <v>1600</v>
      </c>
    </row>
    <row r="634" spans="1:12" x14ac:dyDescent="0.3">
      <c r="A634">
        <v>10633</v>
      </c>
      <c r="B634" s="2">
        <v>45859</v>
      </c>
      <c r="C634" t="s">
        <v>224</v>
      </c>
      <c r="D634" t="s">
        <v>225</v>
      </c>
      <c r="E634" t="s">
        <v>201</v>
      </c>
      <c r="F634" t="s">
        <v>28</v>
      </c>
      <c r="G634" t="s">
        <v>131</v>
      </c>
      <c r="H634" t="s">
        <v>132</v>
      </c>
      <c r="I634" t="s">
        <v>37</v>
      </c>
      <c r="J634">
        <v>1</v>
      </c>
      <c r="K634">
        <v>4500</v>
      </c>
      <c r="L634">
        <v>4500</v>
      </c>
    </row>
    <row r="635" spans="1:12" x14ac:dyDescent="0.3">
      <c r="A635">
        <v>10634</v>
      </c>
      <c r="B635" s="2">
        <v>45917</v>
      </c>
      <c r="C635" t="s">
        <v>111</v>
      </c>
      <c r="D635" t="s">
        <v>112</v>
      </c>
      <c r="E635" t="s">
        <v>40</v>
      </c>
      <c r="F635" t="s">
        <v>15</v>
      </c>
      <c r="G635" t="s">
        <v>41</v>
      </c>
      <c r="H635" t="s">
        <v>42</v>
      </c>
      <c r="I635" t="s">
        <v>37</v>
      </c>
      <c r="J635">
        <v>3</v>
      </c>
      <c r="K635">
        <v>30000</v>
      </c>
      <c r="L635">
        <v>90000</v>
      </c>
    </row>
    <row r="636" spans="1:12" x14ac:dyDescent="0.3">
      <c r="A636">
        <v>10635</v>
      </c>
      <c r="B636" s="2">
        <v>45932</v>
      </c>
      <c r="C636" t="s">
        <v>238</v>
      </c>
      <c r="D636" t="s">
        <v>239</v>
      </c>
      <c r="E636" t="s">
        <v>137</v>
      </c>
      <c r="F636" t="s">
        <v>46</v>
      </c>
      <c r="G636" t="s">
        <v>41</v>
      </c>
      <c r="H636" t="s">
        <v>42</v>
      </c>
      <c r="I636" t="s">
        <v>37</v>
      </c>
      <c r="J636">
        <v>1</v>
      </c>
      <c r="K636">
        <v>30000</v>
      </c>
      <c r="L636">
        <v>30000</v>
      </c>
    </row>
    <row r="637" spans="1:12" x14ac:dyDescent="0.3">
      <c r="A637">
        <v>10636</v>
      </c>
      <c r="B637" s="2">
        <v>45999</v>
      </c>
      <c r="C637" t="s">
        <v>146</v>
      </c>
      <c r="D637" t="s">
        <v>147</v>
      </c>
      <c r="E637" t="s">
        <v>64</v>
      </c>
      <c r="F637" t="s">
        <v>46</v>
      </c>
      <c r="G637" t="s">
        <v>131</v>
      </c>
      <c r="H637" t="s">
        <v>132</v>
      </c>
      <c r="I637" t="s">
        <v>37</v>
      </c>
      <c r="J637">
        <v>2</v>
      </c>
      <c r="K637">
        <v>4500</v>
      </c>
      <c r="L637">
        <v>9000</v>
      </c>
    </row>
    <row r="638" spans="1:12" x14ac:dyDescent="0.3">
      <c r="A638">
        <v>10637</v>
      </c>
      <c r="B638" s="2">
        <v>45848</v>
      </c>
      <c r="C638" t="s">
        <v>123</v>
      </c>
      <c r="D638" t="s">
        <v>124</v>
      </c>
      <c r="E638" t="s">
        <v>69</v>
      </c>
      <c r="F638" t="s">
        <v>28</v>
      </c>
      <c r="G638" t="s">
        <v>29</v>
      </c>
      <c r="H638" t="s">
        <v>30</v>
      </c>
      <c r="I638" t="s">
        <v>18</v>
      </c>
      <c r="J638">
        <v>1</v>
      </c>
      <c r="K638">
        <v>15000</v>
      </c>
      <c r="L638">
        <v>15000</v>
      </c>
    </row>
    <row r="639" spans="1:12" x14ac:dyDescent="0.3">
      <c r="A639">
        <v>10638</v>
      </c>
      <c r="B639" s="2">
        <v>45904</v>
      </c>
      <c r="C639" t="s">
        <v>58</v>
      </c>
      <c r="D639" t="s">
        <v>59</v>
      </c>
      <c r="E639" t="s">
        <v>21</v>
      </c>
      <c r="F639" t="s">
        <v>15</v>
      </c>
      <c r="G639" t="s">
        <v>47</v>
      </c>
      <c r="H639" t="s">
        <v>48</v>
      </c>
      <c r="I639" t="s">
        <v>49</v>
      </c>
      <c r="J639">
        <v>1</v>
      </c>
      <c r="K639">
        <v>1600</v>
      </c>
      <c r="L639">
        <v>1600</v>
      </c>
    </row>
    <row r="640" spans="1:12" x14ac:dyDescent="0.3">
      <c r="A640">
        <v>10639</v>
      </c>
      <c r="B640" s="2">
        <v>45792</v>
      </c>
      <c r="C640" t="s">
        <v>91</v>
      </c>
      <c r="D640" t="s">
        <v>92</v>
      </c>
      <c r="E640" t="s">
        <v>40</v>
      </c>
      <c r="F640" t="s">
        <v>15</v>
      </c>
      <c r="G640" t="s">
        <v>121</v>
      </c>
      <c r="H640" t="s">
        <v>122</v>
      </c>
      <c r="I640" t="s">
        <v>49</v>
      </c>
      <c r="J640">
        <v>2</v>
      </c>
      <c r="K640">
        <v>4800</v>
      </c>
      <c r="L640">
        <v>9600</v>
      </c>
    </row>
    <row r="641" spans="1:12" x14ac:dyDescent="0.3">
      <c r="A641">
        <v>10640</v>
      </c>
      <c r="B641" s="2">
        <v>45988</v>
      </c>
      <c r="C641" t="s">
        <v>82</v>
      </c>
      <c r="D641" t="s">
        <v>83</v>
      </c>
      <c r="E641" t="s">
        <v>84</v>
      </c>
      <c r="F641" t="s">
        <v>46</v>
      </c>
      <c r="G641" t="s">
        <v>52</v>
      </c>
      <c r="H641" t="s">
        <v>53</v>
      </c>
      <c r="I641" t="s">
        <v>24</v>
      </c>
      <c r="J641">
        <v>2</v>
      </c>
      <c r="K641">
        <v>3500</v>
      </c>
      <c r="L641">
        <v>7000</v>
      </c>
    </row>
    <row r="642" spans="1:12" x14ac:dyDescent="0.3">
      <c r="A642">
        <v>10641</v>
      </c>
      <c r="B642" s="2">
        <v>45903</v>
      </c>
      <c r="C642" t="s">
        <v>175</v>
      </c>
      <c r="D642" t="s">
        <v>176</v>
      </c>
      <c r="E642" t="s">
        <v>84</v>
      </c>
      <c r="F642" t="s">
        <v>46</v>
      </c>
      <c r="G642" t="s">
        <v>109</v>
      </c>
      <c r="H642" t="s">
        <v>110</v>
      </c>
      <c r="I642" t="s">
        <v>18</v>
      </c>
      <c r="J642">
        <v>1</v>
      </c>
      <c r="K642">
        <v>5000</v>
      </c>
      <c r="L642">
        <v>5000</v>
      </c>
    </row>
    <row r="643" spans="1:12" x14ac:dyDescent="0.3">
      <c r="A643">
        <v>10642</v>
      </c>
      <c r="B643" s="2">
        <v>45912</v>
      </c>
      <c r="C643" t="s">
        <v>189</v>
      </c>
      <c r="D643" t="s">
        <v>190</v>
      </c>
      <c r="E643" t="s">
        <v>160</v>
      </c>
      <c r="F643" t="s">
        <v>34</v>
      </c>
      <c r="G643" t="s">
        <v>22</v>
      </c>
      <c r="H643" t="s">
        <v>23</v>
      </c>
      <c r="I643" t="s">
        <v>24</v>
      </c>
      <c r="J643">
        <v>2</v>
      </c>
      <c r="K643">
        <v>2400</v>
      </c>
      <c r="L643">
        <v>4800</v>
      </c>
    </row>
    <row r="644" spans="1:12" x14ac:dyDescent="0.3">
      <c r="A644">
        <v>10643</v>
      </c>
      <c r="B644" s="2">
        <v>46005</v>
      </c>
      <c r="C644" t="s">
        <v>115</v>
      </c>
      <c r="D644" t="s">
        <v>116</v>
      </c>
      <c r="E644" t="s">
        <v>33</v>
      </c>
      <c r="F644" t="s">
        <v>34</v>
      </c>
      <c r="G644" t="s">
        <v>152</v>
      </c>
      <c r="H644" t="s">
        <v>153</v>
      </c>
      <c r="I644" t="s">
        <v>49</v>
      </c>
      <c r="J644">
        <v>1</v>
      </c>
      <c r="K644">
        <v>3200</v>
      </c>
      <c r="L644">
        <v>3200</v>
      </c>
    </row>
    <row r="645" spans="1:12" x14ac:dyDescent="0.3">
      <c r="A645">
        <v>10644</v>
      </c>
      <c r="B645" s="2">
        <v>45913</v>
      </c>
      <c r="C645" t="s">
        <v>12</v>
      </c>
      <c r="D645" t="s">
        <v>13</v>
      </c>
      <c r="E645" t="s">
        <v>14</v>
      </c>
      <c r="F645" t="s">
        <v>15</v>
      </c>
      <c r="G645" t="s">
        <v>131</v>
      </c>
      <c r="H645" t="s">
        <v>132</v>
      </c>
      <c r="I645" t="s">
        <v>37</v>
      </c>
      <c r="J645">
        <v>1</v>
      </c>
      <c r="K645">
        <v>4500</v>
      </c>
      <c r="L645">
        <v>4500</v>
      </c>
    </row>
    <row r="646" spans="1:12" x14ac:dyDescent="0.3">
      <c r="A646">
        <v>10645</v>
      </c>
      <c r="B646" s="2">
        <v>45701</v>
      </c>
      <c r="C646" t="s">
        <v>199</v>
      </c>
      <c r="D646" t="s">
        <v>200</v>
      </c>
      <c r="E646" t="s">
        <v>201</v>
      </c>
      <c r="F646" t="s">
        <v>28</v>
      </c>
      <c r="G646" t="s">
        <v>144</v>
      </c>
      <c r="H646" t="s">
        <v>145</v>
      </c>
      <c r="I646" t="s">
        <v>37</v>
      </c>
      <c r="J646">
        <v>1</v>
      </c>
      <c r="K646">
        <v>65000</v>
      </c>
      <c r="L646">
        <v>65000</v>
      </c>
    </row>
    <row r="647" spans="1:12" x14ac:dyDescent="0.3">
      <c r="A647">
        <v>10646</v>
      </c>
      <c r="B647" s="2">
        <v>45857</v>
      </c>
      <c r="C647" t="s">
        <v>135</v>
      </c>
      <c r="D647" t="s">
        <v>136</v>
      </c>
      <c r="E647" t="s">
        <v>137</v>
      </c>
      <c r="F647" t="s">
        <v>46</v>
      </c>
      <c r="G647" t="s">
        <v>103</v>
      </c>
      <c r="H647" t="s">
        <v>104</v>
      </c>
      <c r="I647" t="s">
        <v>37</v>
      </c>
      <c r="J647">
        <v>4</v>
      </c>
      <c r="K647">
        <v>28000</v>
      </c>
      <c r="L647">
        <v>112000</v>
      </c>
    </row>
    <row r="648" spans="1:12" x14ac:dyDescent="0.3">
      <c r="A648">
        <v>10647</v>
      </c>
      <c r="B648" s="2">
        <v>45872</v>
      </c>
      <c r="C648" t="s">
        <v>214</v>
      </c>
      <c r="D648" t="s">
        <v>215</v>
      </c>
      <c r="E648" t="s">
        <v>137</v>
      </c>
      <c r="F648" t="s">
        <v>46</v>
      </c>
      <c r="G648" t="s">
        <v>89</v>
      </c>
      <c r="H648" t="s">
        <v>90</v>
      </c>
      <c r="I648" t="s">
        <v>18</v>
      </c>
      <c r="J648">
        <v>1</v>
      </c>
      <c r="K648">
        <v>4200</v>
      </c>
      <c r="L648">
        <v>4200</v>
      </c>
    </row>
    <row r="649" spans="1:12" x14ac:dyDescent="0.3">
      <c r="A649">
        <v>10648</v>
      </c>
      <c r="B649" s="2">
        <v>45970</v>
      </c>
      <c r="C649" t="s">
        <v>212</v>
      </c>
      <c r="D649" t="s">
        <v>213</v>
      </c>
      <c r="E649" t="s">
        <v>69</v>
      </c>
      <c r="F649" t="s">
        <v>28</v>
      </c>
      <c r="G649" t="s">
        <v>187</v>
      </c>
      <c r="H649" t="s">
        <v>188</v>
      </c>
      <c r="I649" t="s">
        <v>24</v>
      </c>
      <c r="J649">
        <v>1</v>
      </c>
      <c r="K649">
        <v>5500</v>
      </c>
      <c r="L649">
        <v>5500</v>
      </c>
    </row>
    <row r="650" spans="1:12" x14ac:dyDescent="0.3">
      <c r="A650">
        <v>10649</v>
      </c>
      <c r="B650" s="2">
        <v>45905</v>
      </c>
      <c r="C650" t="s">
        <v>19</v>
      </c>
      <c r="D650" t="s">
        <v>20</v>
      </c>
      <c r="E650" t="s">
        <v>21</v>
      </c>
      <c r="F650" t="s">
        <v>15</v>
      </c>
      <c r="G650" t="s">
        <v>140</v>
      </c>
      <c r="H650" t="s">
        <v>141</v>
      </c>
      <c r="I650" t="s">
        <v>18</v>
      </c>
      <c r="J650">
        <v>2</v>
      </c>
      <c r="K650">
        <v>3000</v>
      </c>
      <c r="L650">
        <v>6000</v>
      </c>
    </row>
    <row r="651" spans="1:12" x14ac:dyDescent="0.3">
      <c r="A651">
        <v>10650</v>
      </c>
      <c r="B651" s="2">
        <v>45948</v>
      </c>
      <c r="C651" t="s">
        <v>171</v>
      </c>
      <c r="D651" t="s">
        <v>172</v>
      </c>
      <c r="E651" t="s">
        <v>45</v>
      </c>
      <c r="F651" t="s">
        <v>46</v>
      </c>
      <c r="G651" t="s">
        <v>96</v>
      </c>
      <c r="H651" t="s">
        <v>97</v>
      </c>
      <c r="I651" t="s">
        <v>37</v>
      </c>
      <c r="J651">
        <v>2</v>
      </c>
      <c r="K651">
        <v>18000</v>
      </c>
      <c r="L651">
        <v>36000</v>
      </c>
    </row>
    <row r="652" spans="1:12" x14ac:dyDescent="0.3">
      <c r="A652">
        <v>10651</v>
      </c>
      <c r="B652" s="2">
        <v>45673</v>
      </c>
      <c r="C652" t="s">
        <v>127</v>
      </c>
      <c r="D652" t="s">
        <v>128</v>
      </c>
      <c r="E652" t="s">
        <v>102</v>
      </c>
      <c r="F652" t="s">
        <v>34</v>
      </c>
      <c r="G652" t="s">
        <v>47</v>
      </c>
      <c r="H652" t="s">
        <v>48</v>
      </c>
      <c r="I652" t="s">
        <v>49</v>
      </c>
      <c r="J652">
        <v>2</v>
      </c>
      <c r="K652">
        <v>1600</v>
      </c>
      <c r="L652">
        <v>3200</v>
      </c>
    </row>
    <row r="653" spans="1:12" x14ac:dyDescent="0.3">
      <c r="A653">
        <v>10652</v>
      </c>
      <c r="B653" s="2">
        <v>45899</v>
      </c>
      <c r="C653" t="s">
        <v>218</v>
      </c>
      <c r="D653" t="s">
        <v>219</v>
      </c>
      <c r="E653" t="s">
        <v>160</v>
      </c>
      <c r="F653" t="s">
        <v>34</v>
      </c>
      <c r="G653" t="s">
        <v>75</v>
      </c>
      <c r="H653" t="s">
        <v>76</v>
      </c>
      <c r="I653" t="s">
        <v>49</v>
      </c>
      <c r="J653">
        <v>2</v>
      </c>
      <c r="K653">
        <v>3000</v>
      </c>
      <c r="L653">
        <v>6000</v>
      </c>
    </row>
    <row r="654" spans="1:12" x14ac:dyDescent="0.3">
      <c r="A654">
        <v>10653</v>
      </c>
      <c r="B654" s="2">
        <v>45806</v>
      </c>
      <c r="C654" t="s">
        <v>117</v>
      </c>
      <c r="D654" t="s">
        <v>118</v>
      </c>
      <c r="E654" t="s">
        <v>95</v>
      </c>
      <c r="F654" t="s">
        <v>15</v>
      </c>
      <c r="G654" t="s">
        <v>75</v>
      </c>
      <c r="H654" t="s">
        <v>76</v>
      </c>
      <c r="I654" t="s">
        <v>49</v>
      </c>
      <c r="J654">
        <v>2</v>
      </c>
      <c r="K654">
        <v>3000</v>
      </c>
      <c r="L654">
        <v>6000</v>
      </c>
    </row>
    <row r="655" spans="1:12" x14ac:dyDescent="0.3">
      <c r="A655">
        <v>10654</v>
      </c>
      <c r="B655" s="2">
        <v>45841</v>
      </c>
      <c r="C655" t="s">
        <v>62</v>
      </c>
      <c r="D655" t="s">
        <v>63</v>
      </c>
      <c r="E655" t="s">
        <v>64</v>
      </c>
      <c r="F655" t="s">
        <v>46</v>
      </c>
      <c r="G655" t="s">
        <v>125</v>
      </c>
      <c r="H655" t="s">
        <v>126</v>
      </c>
      <c r="I655" t="s">
        <v>37</v>
      </c>
      <c r="J655">
        <v>2</v>
      </c>
      <c r="K655">
        <v>22000</v>
      </c>
      <c r="L655">
        <v>44000</v>
      </c>
    </row>
    <row r="656" spans="1:12" x14ac:dyDescent="0.3">
      <c r="A656">
        <v>10655</v>
      </c>
      <c r="B656" s="2">
        <v>45886</v>
      </c>
      <c r="C656" t="s">
        <v>119</v>
      </c>
      <c r="D656" t="s">
        <v>120</v>
      </c>
      <c r="E656" t="s">
        <v>27</v>
      </c>
      <c r="F656" t="s">
        <v>28</v>
      </c>
      <c r="G656" t="s">
        <v>113</v>
      </c>
      <c r="H656" t="s">
        <v>114</v>
      </c>
      <c r="I656" t="s">
        <v>37</v>
      </c>
      <c r="J656">
        <v>1</v>
      </c>
      <c r="K656">
        <v>52000</v>
      </c>
      <c r="L656">
        <v>52000</v>
      </c>
    </row>
    <row r="657" spans="1:12" x14ac:dyDescent="0.3">
      <c r="A657">
        <v>10656</v>
      </c>
      <c r="B657" s="2">
        <v>45938</v>
      </c>
      <c r="C657" t="s">
        <v>220</v>
      </c>
      <c r="D657" t="s">
        <v>221</v>
      </c>
      <c r="E657" t="s">
        <v>102</v>
      </c>
      <c r="F657" t="s">
        <v>34</v>
      </c>
      <c r="G657" t="s">
        <v>131</v>
      </c>
      <c r="H657" t="s">
        <v>132</v>
      </c>
      <c r="I657" t="s">
        <v>37</v>
      </c>
      <c r="J657">
        <v>1</v>
      </c>
      <c r="K657">
        <v>4500</v>
      </c>
      <c r="L657">
        <v>4500</v>
      </c>
    </row>
    <row r="658" spans="1:12" x14ac:dyDescent="0.3">
      <c r="A658">
        <v>10657</v>
      </c>
      <c r="B658" s="2">
        <v>45967</v>
      </c>
      <c r="C658" t="s">
        <v>107</v>
      </c>
      <c r="D658" t="s">
        <v>108</v>
      </c>
      <c r="E658" t="s">
        <v>74</v>
      </c>
      <c r="F658" t="s">
        <v>28</v>
      </c>
      <c r="G658" t="s">
        <v>125</v>
      </c>
      <c r="H658" t="s">
        <v>126</v>
      </c>
      <c r="I658" t="s">
        <v>37</v>
      </c>
      <c r="J658">
        <v>1</v>
      </c>
      <c r="K658">
        <v>22000</v>
      </c>
      <c r="L658">
        <v>22000</v>
      </c>
    </row>
    <row r="659" spans="1:12" x14ac:dyDescent="0.3">
      <c r="A659">
        <v>10658</v>
      </c>
      <c r="B659" s="2">
        <v>45768</v>
      </c>
      <c r="C659" t="s">
        <v>100</v>
      </c>
      <c r="D659" t="s">
        <v>101</v>
      </c>
      <c r="E659" t="s">
        <v>102</v>
      </c>
      <c r="F659" t="s">
        <v>34</v>
      </c>
      <c r="G659" t="s">
        <v>144</v>
      </c>
      <c r="H659" t="s">
        <v>145</v>
      </c>
      <c r="I659" t="s">
        <v>37</v>
      </c>
      <c r="J659">
        <v>2</v>
      </c>
      <c r="K659">
        <v>65000</v>
      </c>
      <c r="L659">
        <v>130000</v>
      </c>
    </row>
    <row r="660" spans="1:12" x14ac:dyDescent="0.3">
      <c r="A660">
        <v>10659</v>
      </c>
      <c r="B660" s="2">
        <v>45787</v>
      </c>
      <c r="C660" t="s">
        <v>105</v>
      </c>
      <c r="D660" t="s">
        <v>106</v>
      </c>
      <c r="E660" t="s">
        <v>45</v>
      </c>
      <c r="F660" t="s">
        <v>46</v>
      </c>
      <c r="G660" t="s">
        <v>52</v>
      </c>
      <c r="H660" t="s">
        <v>53</v>
      </c>
      <c r="I660" t="s">
        <v>24</v>
      </c>
      <c r="J660">
        <v>1</v>
      </c>
      <c r="K660">
        <v>3500</v>
      </c>
      <c r="L660">
        <v>3500</v>
      </c>
    </row>
    <row r="661" spans="1:12" x14ac:dyDescent="0.3">
      <c r="A661">
        <v>10660</v>
      </c>
      <c r="B661" s="2">
        <v>45709</v>
      </c>
      <c r="C661" t="s">
        <v>19</v>
      </c>
      <c r="D661" t="s">
        <v>20</v>
      </c>
      <c r="E661" t="s">
        <v>21</v>
      </c>
      <c r="F661" t="s">
        <v>15</v>
      </c>
      <c r="G661" t="s">
        <v>177</v>
      </c>
      <c r="H661" t="s">
        <v>178</v>
      </c>
      <c r="I661" t="s">
        <v>37</v>
      </c>
      <c r="J661">
        <v>2</v>
      </c>
      <c r="K661">
        <v>2500</v>
      </c>
      <c r="L661">
        <v>5000</v>
      </c>
    </row>
    <row r="662" spans="1:12" x14ac:dyDescent="0.3">
      <c r="A662">
        <v>10661</v>
      </c>
      <c r="B662" s="2">
        <v>45783</v>
      </c>
      <c r="C662" t="s">
        <v>146</v>
      </c>
      <c r="D662" t="s">
        <v>147</v>
      </c>
      <c r="E662" t="s">
        <v>64</v>
      </c>
      <c r="F662" t="s">
        <v>46</v>
      </c>
      <c r="G662" t="s">
        <v>109</v>
      </c>
      <c r="H662" t="s">
        <v>110</v>
      </c>
      <c r="I662" t="s">
        <v>18</v>
      </c>
      <c r="J662">
        <v>2</v>
      </c>
      <c r="K662">
        <v>5000</v>
      </c>
      <c r="L662">
        <v>10000</v>
      </c>
    </row>
    <row r="663" spans="1:12" x14ac:dyDescent="0.3">
      <c r="A663">
        <v>10662</v>
      </c>
      <c r="B663" s="2">
        <v>45714</v>
      </c>
      <c r="C663" t="s">
        <v>25</v>
      </c>
      <c r="D663" t="s">
        <v>26</v>
      </c>
      <c r="E663" t="s">
        <v>27</v>
      </c>
      <c r="F663" t="s">
        <v>28</v>
      </c>
      <c r="G663" t="s">
        <v>35</v>
      </c>
      <c r="H663" t="s">
        <v>36</v>
      </c>
      <c r="I663" t="s">
        <v>37</v>
      </c>
      <c r="J663">
        <v>2</v>
      </c>
      <c r="K663">
        <v>12000</v>
      </c>
      <c r="L663">
        <v>24000</v>
      </c>
    </row>
    <row r="664" spans="1:12" x14ac:dyDescent="0.3">
      <c r="A664">
        <v>10663</v>
      </c>
      <c r="B664" s="2">
        <v>45682</v>
      </c>
      <c r="C664" t="s">
        <v>62</v>
      </c>
      <c r="D664" t="s">
        <v>63</v>
      </c>
      <c r="E664" t="s">
        <v>64</v>
      </c>
      <c r="F664" t="s">
        <v>46</v>
      </c>
      <c r="G664" t="s">
        <v>131</v>
      </c>
      <c r="H664" t="s">
        <v>132</v>
      </c>
      <c r="I664" t="s">
        <v>37</v>
      </c>
      <c r="J664">
        <v>2</v>
      </c>
      <c r="K664">
        <v>4500</v>
      </c>
      <c r="L664">
        <v>9000</v>
      </c>
    </row>
    <row r="665" spans="1:12" x14ac:dyDescent="0.3">
      <c r="A665">
        <v>10664</v>
      </c>
      <c r="B665" s="2">
        <v>45702</v>
      </c>
      <c r="C665" t="s">
        <v>105</v>
      </c>
      <c r="D665" t="s">
        <v>106</v>
      </c>
      <c r="E665" t="s">
        <v>45</v>
      </c>
      <c r="F665" t="s">
        <v>46</v>
      </c>
      <c r="G665" t="s">
        <v>98</v>
      </c>
      <c r="H665" t="s">
        <v>99</v>
      </c>
      <c r="I665" t="s">
        <v>24</v>
      </c>
      <c r="J665">
        <v>2</v>
      </c>
      <c r="K665">
        <v>2000</v>
      </c>
      <c r="L665">
        <v>4000</v>
      </c>
    </row>
    <row r="666" spans="1:12" x14ac:dyDescent="0.3">
      <c r="A666">
        <v>10665</v>
      </c>
      <c r="B666" s="2">
        <v>45964</v>
      </c>
      <c r="C666" t="s">
        <v>85</v>
      </c>
      <c r="D666" t="s">
        <v>86</v>
      </c>
      <c r="E666" t="s">
        <v>45</v>
      </c>
      <c r="F666" t="s">
        <v>46</v>
      </c>
      <c r="G666" t="s">
        <v>113</v>
      </c>
      <c r="H666" t="s">
        <v>114</v>
      </c>
      <c r="I666" t="s">
        <v>37</v>
      </c>
      <c r="J666">
        <v>2</v>
      </c>
      <c r="K666">
        <v>52000</v>
      </c>
      <c r="L666">
        <v>104000</v>
      </c>
    </row>
    <row r="667" spans="1:12" x14ac:dyDescent="0.3">
      <c r="A667">
        <v>10666</v>
      </c>
      <c r="B667" s="2">
        <v>45712</v>
      </c>
      <c r="C667" t="s">
        <v>85</v>
      </c>
      <c r="D667" t="s">
        <v>86</v>
      </c>
      <c r="E667" t="s">
        <v>45</v>
      </c>
      <c r="F667" t="s">
        <v>46</v>
      </c>
      <c r="G667" t="s">
        <v>75</v>
      </c>
      <c r="H667" t="s">
        <v>76</v>
      </c>
      <c r="I667" t="s">
        <v>49</v>
      </c>
      <c r="J667">
        <v>1</v>
      </c>
      <c r="K667">
        <v>3000</v>
      </c>
      <c r="L667">
        <v>3000</v>
      </c>
    </row>
    <row r="668" spans="1:12" x14ac:dyDescent="0.3">
      <c r="A668">
        <v>10667</v>
      </c>
      <c r="B668" s="2">
        <v>45857</v>
      </c>
      <c r="C668" t="s">
        <v>19</v>
      </c>
      <c r="D668" t="s">
        <v>20</v>
      </c>
      <c r="E668" t="s">
        <v>21</v>
      </c>
      <c r="F668" t="s">
        <v>15</v>
      </c>
      <c r="G668" t="s">
        <v>125</v>
      </c>
      <c r="H668" t="s">
        <v>126</v>
      </c>
      <c r="I668" t="s">
        <v>37</v>
      </c>
      <c r="J668">
        <v>2</v>
      </c>
      <c r="K668">
        <v>22000</v>
      </c>
      <c r="L668">
        <v>44000</v>
      </c>
    </row>
    <row r="669" spans="1:12" x14ac:dyDescent="0.3">
      <c r="A669">
        <v>10668</v>
      </c>
      <c r="B669" s="2">
        <v>45996</v>
      </c>
      <c r="C669" t="s">
        <v>38</v>
      </c>
      <c r="D669" t="s">
        <v>39</v>
      </c>
      <c r="E669" t="s">
        <v>40</v>
      </c>
      <c r="F669" t="s">
        <v>15</v>
      </c>
      <c r="G669" t="s">
        <v>103</v>
      </c>
      <c r="H669" t="s">
        <v>104</v>
      </c>
      <c r="I669" t="s">
        <v>37</v>
      </c>
      <c r="J669">
        <v>1</v>
      </c>
      <c r="K669">
        <v>28000</v>
      </c>
      <c r="L669">
        <v>28000</v>
      </c>
    </row>
    <row r="670" spans="1:12" x14ac:dyDescent="0.3">
      <c r="A670">
        <v>10669</v>
      </c>
      <c r="B670" s="2">
        <v>45916</v>
      </c>
      <c r="C670" t="s">
        <v>135</v>
      </c>
      <c r="D670" t="s">
        <v>136</v>
      </c>
      <c r="E670" t="s">
        <v>137</v>
      </c>
      <c r="F670" t="s">
        <v>46</v>
      </c>
      <c r="G670" t="s">
        <v>89</v>
      </c>
      <c r="H670" t="s">
        <v>90</v>
      </c>
      <c r="I670" t="s">
        <v>18</v>
      </c>
      <c r="J670">
        <v>2</v>
      </c>
      <c r="K670">
        <v>4200</v>
      </c>
      <c r="L670">
        <v>8400</v>
      </c>
    </row>
    <row r="671" spans="1:12" x14ac:dyDescent="0.3">
      <c r="A671">
        <v>10670</v>
      </c>
      <c r="B671" s="2">
        <v>45951</v>
      </c>
      <c r="C671" t="s">
        <v>93</v>
      </c>
      <c r="D671" t="s">
        <v>94</v>
      </c>
      <c r="E671" t="s">
        <v>95</v>
      </c>
      <c r="F671" t="s">
        <v>15</v>
      </c>
      <c r="G671" t="s">
        <v>121</v>
      </c>
      <c r="H671" t="s">
        <v>122</v>
      </c>
      <c r="I671" t="s">
        <v>49</v>
      </c>
      <c r="J671">
        <v>2</v>
      </c>
      <c r="K671">
        <v>4800</v>
      </c>
      <c r="L671">
        <v>9600</v>
      </c>
    </row>
    <row r="672" spans="1:12" x14ac:dyDescent="0.3">
      <c r="A672">
        <v>10671</v>
      </c>
      <c r="B672" s="2">
        <v>45979</v>
      </c>
      <c r="C672" t="s">
        <v>195</v>
      </c>
      <c r="D672" t="s">
        <v>196</v>
      </c>
      <c r="E672" t="s">
        <v>102</v>
      </c>
      <c r="F672" t="s">
        <v>34</v>
      </c>
      <c r="G672" t="s">
        <v>47</v>
      </c>
      <c r="H672" t="s">
        <v>48</v>
      </c>
      <c r="I672" t="s">
        <v>49</v>
      </c>
      <c r="J672">
        <v>3</v>
      </c>
      <c r="K672">
        <v>1600</v>
      </c>
      <c r="L672">
        <v>4800</v>
      </c>
    </row>
    <row r="673" spans="1:12" x14ac:dyDescent="0.3">
      <c r="A673">
        <v>10672</v>
      </c>
      <c r="B673" s="2">
        <v>45823</v>
      </c>
      <c r="C673" t="s">
        <v>105</v>
      </c>
      <c r="D673" t="s">
        <v>106</v>
      </c>
      <c r="E673" t="s">
        <v>45</v>
      </c>
      <c r="F673" t="s">
        <v>46</v>
      </c>
      <c r="G673" t="s">
        <v>96</v>
      </c>
      <c r="H673" t="s">
        <v>97</v>
      </c>
      <c r="I673" t="s">
        <v>37</v>
      </c>
      <c r="J673">
        <v>1</v>
      </c>
      <c r="K673">
        <v>18000</v>
      </c>
      <c r="L673">
        <v>18000</v>
      </c>
    </row>
    <row r="674" spans="1:12" x14ac:dyDescent="0.3">
      <c r="A674">
        <v>10673</v>
      </c>
      <c r="B674" s="2">
        <v>45670</v>
      </c>
      <c r="C674" t="s">
        <v>133</v>
      </c>
      <c r="D674" t="s">
        <v>134</v>
      </c>
      <c r="E674" t="s">
        <v>33</v>
      </c>
      <c r="F674" t="s">
        <v>34</v>
      </c>
      <c r="G674" t="s">
        <v>152</v>
      </c>
      <c r="H674" t="s">
        <v>153</v>
      </c>
      <c r="I674" t="s">
        <v>49</v>
      </c>
      <c r="J674">
        <v>2</v>
      </c>
      <c r="K674">
        <v>3200</v>
      </c>
      <c r="L674">
        <v>6400</v>
      </c>
    </row>
    <row r="675" spans="1:12" x14ac:dyDescent="0.3">
      <c r="A675">
        <v>10674</v>
      </c>
      <c r="B675" s="2">
        <v>45701</v>
      </c>
      <c r="C675" t="s">
        <v>77</v>
      </c>
      <c r="D675" t="s">
        <v>78</v>
      </c>
      <c r="E675" t="s">
        <v>79</v>
      </c>
      <c r="F675" t="s">
        <v>34</v>
      </c>
      <c r="G675" t="s">
        <v>121</v>
      </c>
      <c r="H675" t="s">
        <v>122</v>
      </c>
      <c r="I675" t="s">
        <v>49</v>
      </c>
      <c r="J675">
        <v>3</v>
      </c>
      <c r="K675">
        <v>4800</v>
      </c>
      <c r="L675">
        <v>14400</v>
      </c>
    </row>
    <row r="676" spans="1:12" x14ac:dyDescent="0.3">
      <c r="A676">
        <v>10675</v>
      </c>
      <c r="B676" s="2">
        <v>45680</v>
      </c>
      <c r="C676" t="s">
        <v>127</v>
      </c>
      <c r="D676" t="s">
        <v>128</v>
      </c>
      <c r="E676" t="s">
        <v>102</v>
      </c>
      <c r="F676" t="s">
        <v>34</v>
      </c>
      <c r="G676" t="s">
        <v>109</v>
      </c>
      <c r="H676" t="s">
        <v>110</v>
      </c>
      <c r="I676" t="s">
        <v>18</v>
      </c>
      <c r="J676">
        <v>1</v>
      </c>
      <c r="K676">
        <v>5000</v>
      </c>
      <c r="L676">
        <v>5000</v>
      </c>
    </row>
    <row r="677" spans="1:12" x14ac:dyDescent="0.3">
      <c r="A677">
        <v>10676</v>
      </c>
      <c r="B677" s="2">
        <v>45884</v>
      </c>
      <c r="C677" t="s">
        <v>38</v>
      </c>
      <c r="D677" t="s">
        <v>39</v>
      </c>
      <c r="E677" t="s">
        <v>40</v>
      </c>
      <c r="F677" t="s">
        <v>15</v>
      </c>
      <c r="G677" t="s">
        <v>60</v>
      </c>
      <c r="H677" t="s">
        <v>61</v>
      </c>
      <c r="I677" t="s">
        <v>18</v>
      </c>
      <c r="J677">
        <v>1</v>
      </c>
      <c r="K677">
        <v>2200</v>
      </c>
      <c r="L677">
        <v>2200</v>
      </c>
    </row>
    <row r="678" spans="1:12" x14ac:dyDescent="0.3">
      <c r="A678">
        <v>10677</v>
      </c>
      <c r="B678" s="2">
        <v>45756</v>
      </c>
      <c r="C678" t="s">
        <v>156</v>
      </c>
      <c r="D678" t="s">
        <v>157</v>
      </c>
      <c r="E678" t="s">
        <v>95</v>
      </c>
      <c r="F678" t="s">
        <v>15</v>
      </c>
      <c r="G678" t="s">
        <v>187</v>
      </c>
      <c r="H678" t="s">
        <v>188</v>
      </c>
      <c r="I678" t="s">
        <v>24</v>
      </c>
      <c r="J678">
        <v>2</v>
      </c>
      <c r="K678">
        <v>5500</v>
      </c>
      <c r="L678">
        <v>11000</v>
      </c>
    </row>
    <row r="679" spans="1:12" x14ac:dyDescent="0.3">
      <c r="A679">
        <v>10678</v>
      </c>
      <c r="B679" s="2">
        <v>45709</v>
      </c>
      <c r="C679" t="s">
        <v>220</v>
      </c>
      <c r="D679" t="s">
        <v>221</v>
      </c>
      <c r="E679" t="s">
        <v>102</v>
      </c>
      <c r="F679" t="s">
        <v>34</v>
      </c>
      <c r="G679" t="s">
        <v>70</v>
      </c>
      <c r="H679" t="s">
        <v>71</v>
      </c>
      <c r="I679" t="s">
        <v>37</v>
      </c>
      <c r="J679">
        <v>2</v>
      </c>
      <c r="K679">
        <v>2200</v>
      </c>
      <c r="L679">
        <v>4400</v>
      </c>
    </row>
    <row r="680" spans="1:12" x14ac:dyDescent="0.3">
      <c r="A680">
        <v>10679</v>
      </c>
      <c r="B680" s="2">
        <v>45697</v>
      </c>
      <c r="C680" t="s">
        <v>193</v>
      </c>
      <c r="D680" t="s">
        <v>194</v>
      </c>
      <c r="E680" t="s">
        <v>102</v>
      </c>
      <c r="F680" t="s">
        <v>34</v>
      </c>
      <c r="G680" t="s">
        <v>98</v>
      </c>
      <c r="H680" t="s">
        <v>99</v>
      </c>
      <c r="I680" t="s">
        <v>24</v>
      </c>
      <c r="J680">
        <v>3</v>
      </c>
      <c r="K680">
        <v>2000</v>
      </c>
      <c r="L680">
        <v>6000</v>
      </c>
    </row>
    <row r="681" spans="1:12" x14ac:dyDescent="0.3">
      <c r="A681">
        <v>10680</v>
      </c>
      <c r="B681" s="2">
        <v>45778</v>
      </c>
      <c r="C681" t="s">
        <v>169</v>
      </c>
      <c r="D681" t="s">
        <v>170</v>
      </c>
      <c r="E681" t="s">
        <v>64</v>
      </c>
      <c r="F681" t="s">
        <v>46</v>
      </c>
      <c r="G681" t="s">
        <v>41</v>
      </c>
      <c r="H681" t="s">
        <v>42</v>
      </c>
      <c r="I681" t="s">
        <v>37</v>
      </c>
      <c r="J681">
        <v>3</v>
      </c>
      <c r="K681">
        <v>30000</v>
      </c>
      <c r="L681">
        <v>90000</v>
      </c>
    </row>
    <row r="682" spans="1:12" x14ac:dyDescent="0.3">
      <c r="A682">
        <v>10681</v>
      </c>
      <c r="B682" s="2">
        <v>45920</v>
      </c>
      <c r="C682" t="s">
        <v>107</v>
      </c>
      <c r="D682" t="s">
        <v>108</v>
      </c>
      <c r="E682" t="s">
        <v>74</v>
      </c>
      <c r="F682" t="s">
        <v>28</v>
      </c>
      <c r="G682" t="s">
        <v>96</v>
      </c>
      <c r="H682" t="s">
        <v>97</v>
      </c>
      <c r="I682" t="s">
        <v>37</v>
      </c>
      <c r="J682">
        <v>1</v>
      </c>
      <c r="K682">
        <v>18000</v>
      </c>
      <c r="L682">
        <v>18000</v>
      </c>
    </row>
    <row r="683" spans="1:12" x14ac:dyDescent="0.3">
      <c r="A683">
        <v>10682</v>
      </c>
      <c r="B683" s="2">
        <v>45680</v>
      </c>
      <c r="C683" t="s">
        <v>236</v>
      </c>
      <c r="D683" t="s">
        <v>237</v>
      </c>
      <c r="E683" t="s">
        <v>201</v>
      </c>
      <c r="F683" t="s">
        <v>28</v>
      </c>
      <c r="G683" t="s">
        <v>144</v>
      </c>
      <c r="H683" t="s">
        <v>145</v>
      </c>
      <c r="I683" t="s">
        <v>37</v>
      </c>
      <c r="J683">
        <v>1</v>
      </c>
      <c r="K683">
        <v>65000</v>
      </c>
      <c r="L683">
        <v>65000</v>
      </c>
    </row>
    <row r="684" spans="1:12" x14ac:dyDescent="0.3">
      <c r="A684">
        <v>10683</v>
      </c>
      <c r="B684" s="2">
        <v>45979</v>
      </c>
      <c r="C684" t="s">
        <v>43</v>
      </c>
      <c r="D684" t="s">
        <v>44</v>
      </c>
      <c r="E684" t="s">
        <v>45</v>
      </c>
      <c r="F684" t="s">
        <v>46</v>
      </c>
      <c r="G684" t="s">
        <v>16</v>
      </c>
      <c r="H684" t="s">
        <v>17</v>
      </c>
      <c r="I684" t="s">
        <v>18</v>
      </c>
      <c r="J684">
        <v>5</v>
      </c>
      <c r="K684">
        <v>11000</v>
      </c>
      <c r="L684">
        <v>55000</v>
      </c>
    </row>
    <row r="685" spans="1:12" x14ac:dyDescent="0.3">
      <c r="A685">
        <v>10684</v>
      </c>
      <c r="B685" s="2">
        <v>45848</v>
      </c>
      <c r="C685" t="s">
        <v>197</v>
      </c>
      <c r="D685" t="s">
        <v>198</v>
      </c>
      <c r="E685" t="s">
        <v>95</v>
      </c>
      <c r="F685" t="s">
        <v>15</v>
      </c>
      <c r="G685" t="s">
        <v>187</v>
      </c>
      <c r="H685" t="s">
        <v>188</v>
      </c>
      <c r="I685" t="s">
        <v>24</v>
      </c>
      <c r="J685">
        <v>1</v>
      </c>
      <c r="K685">
        <v>5500</v>
      </c>
      <c r="L685">
        <v>5500</v>
      </c>
    </row>
    <row r="686" spans="1:12" x14ac:dyDescent="0.3">
      <c r="A686">
        <v>10685</v>
      </c>
      <c r="B686" s="2">
        <v>45700</v>
      </c>
      <c r="C686" t="s">
        <v>91</v>
      </c>
      <c r="D686" t="s">
        <v>92</v>
      </c>
      <c r="E686" t="s">
        <v>40</v>
      </c>
      <c r="F686" t="s">
        <v>15</v>
      </c>
      <c r="G686" t="s">
        <v>16</v>
      </c>
      <c r="H686" t="s">
        <v>17</v>
      </c>
      <c r="I686" t="s">
        <v>18</v>
      </c>
      <c r="J686">
        <v>1</v>
      </c>
      <c r="K686">
        <v>11000</v>
      </c>
      <c r="L686">
        <v>11000</v>
      </c>
    </row>
    <row r="687" spans="1:12" x14ac:dyDescent="0.3">
      <c r="A687">
        <v>10686</v>
      </c>
      <c r="B687" s="2">
        <v>45680</v>
      </c>
      <c r="C687" t="s">
        <v>242</v>
      </c>
      <c r="D687" t="s">
        <v>243</v>
      </c>
      <c r="E687" t="s">
        <v>40</v>
      </c>
      <c r="F687" t="s">
        <v>15</v>
      </c>
      <c r="G687" t="s">
        <v>56</v>
      </c>
      <c r="H687" t="s">
        <v>57</v>
      </c>
      <c r="I687" t="s">
        <v>18</v>
      </c>
      <c r="J687">
        <v>1</v>
      </c>
      <c r="K687">
        <v>9000</v>
      </c>
      <c r="L687">
        <v>9000</v>
      </c>
    </row>
    <row r="688" spans="1:12" x14ac:dyDescent="0.3">
      <c r="A688">
        <v>10687</v>
      </c>
      <c r="B688" s="2">
        <v>45763</v>
      </c>
      <c r="C688" t="s">
        <v>236</v>
      </c>
      <c r="D688" t="s">
        <v>237</v>
      </c>
      <c r="E688" t="s">
        <v>201</v>
      </c>
      <c r="F688" t="s">
        <v>28</v>
      </c>
      <c r="G688" t="s">
        <v>144</v>
      </c>
      <c r="H688" t="s">
        <v>145</v>
      </c>
      <c r="I688" t="s">
        <v>37</v>
      </c>
      <c r="J688">
        <v>1</v>
      </c>
      <c r="K688">
        <v>65000</v>
      </c>
      <c r="L688">
        <v>65000</v>
      </c>
    </row>
    <row r="689" spans="1:12" x14ac:dyDescent="0.3">
      <c r="A689">
        <v>10688</v>
      </c>
      <c r="B689" s="2">
        <v>45913</v>
      </c>
      <c r="C689" t="s">
        <v>115</v>
      </c>
      <c r="D689" t="s">
        <v>116</v>
      </c>
      <c r="E689" t="s">
        <v>33</v>
      </c>
      <c r="F689" t="s">
        <v>34</v>
      </c>
      <c r="G689" t="s">
        <v>96</v>
      </c>
      <c r="H689" t="s">
        <v>97</v>
      </c>
      <c r="I689" t="s">
        <v>37</v>
      </c>
      <c r="J689">
        <v>3</v>
      </c>
      <c r="K689">
        <v>18000</v>
      </c>
      <c r="L689">
        <v>54000</v>
      </c>
    </row>
    <row r="690" spans="1:12" x14ac:dyDescent="0.3">
      <c r="A690">
        <v>10689</v>
      </c>
      <c r="B690" s="2">
        <v>45778</v>
      </c>
      <c r="C690" t="s">
        <v>91</v>
      </c>
      <c r="D690" t="s">
        <v>92</v>
      </c>
      <c r="E690" t="s">
        <v>40</v>
      </c>
      <c r="F690" t="s">
        <v>15</v>
      </c>
      <c r="G690" t="s">
        <v>41</v>
      </c>
      <c r="H690" t="s">
        <v>42</v>
      </c>
      <c r="I690" t="s">
        <v>37</v>
      </c>
      <c r="J690">
        <v>1</v>
      </c>
      <c r="K690">
        <v>30000</v>
      </c>
      <c r="L690">
        <v>30000</v>
      </c>
    </row>
    <row r="691" spans="1:12" x14ac:dyDescent="0.3">
      <c r="A691">
        <v>10690</v>
      </c>
      <c r="B691" s="2">
        <v>45931</v>
      </c>
      <c r="C691" t="s">
        <v>212</v>
      </c>
      <c r="D691" t="s">
        <v>213</v>
      </c>
      <c r="E691" t="s">
        <v>69</v>
      </c>
      <c r="F691" t="s">
        <v>28</v>
      </c>
      <c r="G691" t="s">
        <v>22</v>
      </c>
      <c r="H691" t="s">
        <v>23</v>
      </c>
      <c r="I691" t="s">
        <v>24</v>
      </c>
      <c r="J691">
        <v>2</v>
      </c>
      <c r="K691">
        <v>2400</v>
      </c>
      <c r="L691">
        <v>4800</v>
      </c>
    </row>
    <row r="692" spans="1:12" x14ac:dyDescent="0.3">
      <c r="A692">
        <v>10691</v>
      </c>
      <c r="B692" s="2">
        <v>45746</v>
      </c>
      <c r="C692" t="s">
        <v>183</v>
      </c>
      <c r="D692" t="s">
        <v>184</v>
      </c>
      <c r="E692" t="s">
        <v>27</v>
      </c>
      <c r="F692" t="s">
        <v>28</v>
      </c>
      <c r="G692" t="s">
        <v>129</v>
      </c>
      <c r="H692" t="s">
        <v>130</v>
      </c>
      <c r="I692" t="s">
        <v>24</v>
      </c>
      <c r="J692">
        <v>1</v>
      </c>
      <c r="K692">
        <v>1400</v>
      </c>
      <c r="L692">
        <v>1400</v>
      </c>
    </row>
    <row r="693" spans="1:12" x14ac:dyDescent="0.3">
      <c r="A693">
        <v>10692</v>
      </c>
      <c r="B693" s="2">
        <v>45785</v>
      </c>
      <c r="C693" t="s">
        <v>244</v>
      </c>
      <c r="D693" t="s">
        <v>245</v>
      </c>
      <c r="E693" t="s">
        <v>45</v>
      </c>
      <c r="F693" t="s">
        <v>46</v>
      </c>
      <c r="G693" t="s">
        <v>167</v>
      </c>
      <c r="H693" t="s">
        <v>168</v>
      </c>
      <c r="I693" t="s">
        <v>49</v>
      </c>
      <c r="J693">
        <v>1</v>
      </c>
      <c r="K693">
        <v>3800</v>
      </c>
      <c r="L693">
        <v>3800</v>
      </c>
    </row>
    <row r="694" spans="1:12" x14ac:dyDescent="0.3">
      <c r="A694">
        <v>10693</v>
      </c>
      <c r="B694" s="2">
        <v>45928</v>
      </c>
      <c r="C694" t="s">
        <v>111</v>
      </c>
      <c r="D694" t="s">
        <v>112</v>
      </c>
      <c r="E694" t="s">
        <v>40</v>
      </c>
      <c r="F694" t="s">
        <v>15</v>
      </c>
      <c r="G694" t="s">
        <v>179</v>
      </c>
      <c r="H694" t="s">
        <v>180</v>
      </c>
      <c r="I694" t="s">
        <v>18</v>
      </c>
      <c r="J694">
        <v>2</v>
      </c>
      <c r="K694">
        <v>6500</v>
      </c>
      <c r="L694">
        <v>13000</v>
      </c>
    </row>
    <row r="695" spans="1:12" x14ac:dyDescent="0.3">
      <c r="A695">
        <v>10694</v>
      </c>
      <c r="B695" s="2">
        <v>45759</v>
      </c>
      <c r="C695" t="s">
        <v>169</v>
      </c>
      <c r="D695" t="s">
        <v>170</v>
      </c>
      <c r="E695" t="s">
        <v>64</v>
      </c>
      <c r="F695" t="s">
        <v>46</v>
      </c>
      <c r="G695" t="s">
        <v>163</v>
      </c>
      <c r="H695" t="s">
        <v>164</v>
      </c>
      <c r="I695" t="s">
        <v>49</v>
      </c>
      <c r="J695">
        <v>1</v>
      </c>
      <c r="K695">
        <v>4200</v>
      </c>
      <c r="L695">
        <v>4200</v>
      </c>
    </row>
    <row r="696" spans="1:12" x14ac:dyDescent="0.3">
      <c r="A696">
        <v>10695</v>
      </c>
      <c r="B696" s="2">
        <v>45674</v>
      </c>
      <c r="C696" t="s">
        <v>72</v>
      </c>
      <c r="D696" t="s">
        <v>73</v>
      </c>
      <c r="E696" t="s">
        <v>74</v>
      </c>
      <c r="F696" t="s">
        <v>28</v>
      </c>
      <c r="G696" t="s">
        <v>167</v>
      </c>
      <c r="H696" t="s">
        <v>168</v>
      </c>
      <c r="I696" t="s">
        <v>49</v>
      </c>
      <c r="J696">
        <v>5</v>
      </c>
      <c r="K696">
        <v>3800</v>
      </c>
      <c r="L696">
        <v>19000</v>
      </c>
    </row>
    <row r="697" spans="1:12" x14ac:dyDescent="0.3">
      <c r="A697">
        <v>10696</v>
      </c>
      <c r="B697" s="2">
        <v>45978</v>
      </c>
      <c r="C697" t="s">
        <v>105</v>
      </c>
      <c r="D697" t="s">
        <v>106</v>
      </c>
      <c r="E697" t="s">
        <v>45</v>
      </c>
      <c r="F697" t="s">
        <v>46</v>
      </c>
      <c r="G697" t="s">
        <v>113</v>
      </c>
      <c r="H697" t="s">
        <v>114</v>
      </c>
      <c r="I697" t="s">
        <v>37</v>
      </c>
      <c r="J697">
        <v>1</v>
      </c>
      <c r="K697">
        <v>52000</v>
      </c>
      <c r="L697">
        <v>52000</v>
      </c>
    </row>
    <row r="698" spans="1:12" x14ac:dyDescent="0.3">
      <c r="A698">
        <v>10697</v>
      </c>
      <c r="B698" s="2">
        <v>45716</v>
      </c>
      <c r="C698" t="s">
        <v>206</v>
      </c>
      <c r="D698" t="s">
        <v>207</v>
      </c>
      <c r="E698" t="s">
        <v>160</v>
      </c>
      <c r="F698" t="s">
        <v>34</v>
      </c>
      <c r="G698" t="s">
        <v>22</v>
      </c>
      <c r="H698" t="s">
        <v>23</v>
      </c>
      <c r="I698" t="s">
        <v>24</v>
      </c>
      <c r="J698">
        <v>1</v>
      </c>
      <c r="K698">
        <v>2400</v>
      </c>
      <c r="L698">
        <v>2400</v>
      </c>
    </row>
    <row r="699" spans="1:12" x14ac:dyDescent="0.3">
      <c r="A699">
        <v>10698</v>
      </c>
      <c r="B699" s="2">
        <v>45829</v>
      </c>
      <c r="C699" t="s">
        <v>173</v>
      </c>
      <c r="D699" t="s">
        <v>174</v>
      </c>
      <c r="E699" t="s">
        <v>137</v>
      </c>
      <c r="F699" t="s">
        <v>46</v>
      </c>
      <c r="G699" t="s">
        <v>177</v>
      </c>
      <c r="H699" t="s">
        <v>178</v>
      </c>
      <c r="I699" t="s">
        <v>37</v>
      </c>
      <c r="J699">
        <v>3</v>
      </c>
      <c r="K699">
        <v>2500</v>
      </c>
      <c r="L699">
        <v>7500</v>
      </c>
    </row>
    <row r="700" spans="1:12" x14ac:dyDescent="0.3">
      <c r="A700">
        <v>10699</v>
      </c>
      <c r="B700" s="2">
        <v>46019</v>
      </c>
      <c r="C700" t="s">
        <v>123</v>
      </c>
      <c r="D700" t="s">
        <v>124</v>
      </c>
      <c r="E700" t="s">
        <v>69</v>
      </c>
      <c r="F700" t="s">
        <v>28</v>
      </c>
      <c r="G700" t="s">
        <v>75</v>
      </c>
      <c r="H700" t="s">
        <v>76</v>
      </c>
      <c r="I700" t="s">
        <v>49</v>
      </c>
      <c r="J700">
        <v>1</v>
      </c>
      <c r="K700">
        <v>3000</v>
      </c>
      <c r="L700">
        <v>3000</v>
      </c>
    </row>
    <row r="701" spans="1:12" x14ac:dyDescent="0.3">
      <c r="A701">
        <v>10700</v>
      </c>
      <c r="B701" s="2">
        <v>45668</v>
      </c>
      <c r="C701" t="s">
        <v>195</v>
      </c>
      <c r="D701" t="s">
        <v>196</v>
      </c>
      <c r="E701" t="s">
        <v>102</v>
      </c>
      <c r="F701" t="s">
        <v>34</v>
      </c>
      <c r="G701" t="s">
        <v>52</v>
      </c>
      <c r="H701" t="s">
        <v>53</v>
      </c>
      <c r="I701" t="s">
        <v>24</v>
      </c>
      <c r="J701">
        <v>1</v>
      </c>
      <c r="K701">
        <v>3500</v>
      </c>
      <c r="L701">
        <v>3500</v>
      </c>
    </row>
    <row r="702" spans="1:12" x14ac:dyDescent="0.3">
      <c r="A702">
        <v>10701</v>
      </c>
      <c r="B702" s="2">
        <v>45786</v>
      </c>
      <c r="C702" t="s">
        <v>148</v>
      </c>
      <c r="D702" t="s">
        <v>149</v>
      </c>
      <c r="E702" t="s">
        <v>14</v>
      </c>
      <c r="F702" t="s">
        <v>15</v>
      </c>
      <c r="G702" t="s">
        <v>113</v>
      </c>
      <c r="H702" t="s">
        <v>114</v>
      </c>
      <c r="I702" t="s">
        <v>37</v>
      </c>
      <c r="J702">
        <v>1</v>
      </c>
      <c r="K702">
        <v>52000</v>
      </c>
      <c r="L702">
        <v>52000</v>
      </c>
    </row>
    <row r="703" spans="1:12" x14ac:dyDescent="0.3">
      <c r="A703">
        <v>10702</v>
      </c>
      <c r="B703" s="2">
        <v>45875</v>
      </c>
      <c r="C703" t="s">
        <v>214</v>
      </c>
      <c r="D703" t="s">
        <v>215</v>
      </c>
      <c r="E703" t="s">
        <v>137</v>
      </c>
      <c r="F703" t="s">
        <v>46</v>
      </c>
      <c r="G703" t="s">
        <v>113</v>
      </c>
      <c r="H703" t="s">
        <v>114</v>
      </c>
      <c r="I703" t="s">
        <v>37</v>
      </c>
      <c r="J703">
        <v>1</v>
      </c>
      <c r="K703">
        <v>52000</v>
      </c>
      <c r="L703">
        <v>52000</v>
      </c>
    </row>
    <row r="704" spans="1:12" x14ac:dyDescent="0.3">
      <c r="A704">
        <v>10703</v>
      </c>
      <c r="B704" s="2">
        <v>45761</v>
      </c>
      <c r="C704" t="s">
        <v>195</v>
      </c>
      <c r="D704" t="s">
        <v>196</v>
      </c>
      <c r="E704" t="s">
        <v>102</v>
      </c>
      <c r="F704" t="s">
        <v>34</v>
      </c>
      <c r="G704" t="s">
        <v>29</v>
      </c>
      <c r="H704" t="s">
        <v>30</v>
      </c>
      <c r="I704" t="s">
        <v>18</v>
      </c>
      <c r="J704">
        <v>2</v>
      </c>
      <c r="K704">
        <v>15000</v>
      </c>
      <c r="L704">
        <v>30000</v>
      </c>
    </row>
    <row r="705" spans="1:12" x14ac:dyDescent="0.3">
      <c r="A705">
        <v>10704</v>
      </c>
      <c r="B705" s="2">
        <v>46018</v>
      </c>
      <c r="C705" t="s">
        <v>226</v>
      </c>
      <c r="D705" t="s">
        <v>227</v>
      </c>
      <c r="E705" t="s">
        <v>79</v>
      </c>
      <c r="F705" t="s">
        <v>34</v>
      </c>
      <c r="G705" t="s">
        <v>41</v>
      </c>
      <c r="H705" t="s">
        <v>42</v>
      </c>
      <c r="I705" t="s">
        <v>37</v>
      </c>
      <c r="J705">
        <v>1</v>
      </c>
      <c r="K705">
        <v>30000</v>
      </c>
      <c r="L705">
        <v>30000</v>
      </c>
    </row>
    <row r="706" spans="1:12" x14ac:dyDescent="0.3">
      <c r="A706">
        <v>10705</v>
      </c>
      <c r="B706" s="2">
        <v>45680</v>
      </c>
      <c r="C706" t="s">
        <v>105</v>
      </c>
      <c r="D706" t="s">
        <v>106</v>
      </c>
      <c r="E706" t="s">
        <v>45</v>
      </c>
      <c r="F706" t="s">
        <v>46</v>
      </c>
      <c r="G706" t="s">
        <v>121</v>
      </c>
      <c r="H706" t="s">
        <v>122</v>
      </c>
      <c r="I706" t="s">
        <v>49</v>
      </c>
      <c r="J706">
        <v>1</v>
      </c>
      <c r="K706">
        <v>4800</v>
      </c>
      <c r="L706">
        <v>4800</v>
      </c>
    </row>
    <row r="707" spans="1:12" x14ac:dyDescent="0.3">
      <c r="A707">
        <v>10706</v>
      </c>
      <c r="B707" s="2">
        <v>45987</v>
      </c>
      <c r="C707" t="s">
        <v>161</v>
      </c>
      <c r="D707" t="s">
        <v>162</v>
      </c>
      <c r="E707" t="s">
        <v>33</v>
      </c>
      <c r="F707" t="s">
        <v>34</v>
      </c>
      <c r="G707" t="s">
        <v>177</v>
      </c>
      <c r="H707" t="s">
        <v>178</v>
      </c>
      <c r="I707" t="s">
        <v>37</v>
      </c>
      <c r="J707">
        <v>4</v>
      </c>
      <c r="K707">
        <v>2500</v>
      </c>
      <c r="L707">
        <v>10000</v>
      </c>
    </row>
    <row r="708" spans="1:12" x14ac:dyDescent="0.3">
      <c r="A708">
        <v>10707</v>
      </c>
      <c r="B708" s="2">
        <v>45727</v>
      </c>
      <c r="C708" t="s">
        <v>148</v>
      </c>
      <c r="D708" t="s">
        <v>149</v>
      </c>
      <c r="E708" t="s">
        <v>14</v>
      </c>
      <c r="F708" t="s">
        <v>15</v>
      </c>
      <c r="G708" t="s">
        <v>96</v>
      </c>
      <c r="H708" t="s">
        <v>97</v>
      </c>
      <c r="I708" t="s">
        <v>37</v>
      </c>
      <c r="J708">
        <v>1</v>
      </c>
      <c r="K708">
        <v>18000</v>
      </c>
      <c r="L708">
        <v>18000</v>
      </c>
    </row>
    <row r="709" spans="1:12" x14ac:dyDescent="0.3">
      <c r="A709">
        <v>10708</v>
      </c>
      <c r="B709" s="2">
        <v>45754</v>
      </c>
      <c r="C709" t="s">
        <v>115</v>
      </c>
      <c r="D709" t="s">
        <v>116</v>
      </c>
      <c r="E709" t="s">
        <v>33</v>
      </c>
      <c r="F709" t="s">
        <v>34</v>
      </c>
      <c r="G709" t="s">
        <v>163</v>
      </c>
      <c r="H709" t="s">
        <v>164</v>
      </c>
      <c r="I709" t="s">
        <v>49</v>
      </c>
      <c r="J709">
        <v>1</v>
      </c>
      <c r="K709">
        <v>4200</v>
      </c>
      <c r="L709">
        <v>4200</v>
      </c>
    </row>
    <row r="710" spans="1:12" x14ac:dyDescent="0.3">
      <c r="A710">
        <v>10709</v>
      </c>
      <c r="B710" s="2">
        <v>45713</v>
      </c>
      <c r="C710" t="s">
        <v>31</v>
      </c>
      <c r="D710" t="s">
        <v>32</v>
      </c>
      <c r="E710" t="s">
        <v>33</v>
      </c>
      <c r="F710" t="s">
        <v>34</v>
      </c>
      <c r="G710" t="s">
        <v>60</v>
      </c>
      <c r="H710" t="s">
        <v>61</v>
      </c>
      <c r="I710" t="s">
        <v>18</v>
      </c>
      <c r="J710">
        <v>1</v>
      </c>
      <c r="K710">
        <v>2200</v>
      </c>
      <c r="L710">
        <v>2200</v>
      </c>
    </row>
    <row r="711" spans="1:12" x14ac:dyDescent="0.3">
      <c r="A711">
        <v>10710</v>
      </c>
      <c r="B711" s="2">
        <v>45970</v>
      </c>
      <c r="C711" t="s">
        <v>146</v>
      </c>
      <c r="D711" t="s">
        <v>147</v>
      </c>
      <c r="E711" t="s">
        <v>64</v>
      </c>
      <c r="F711" t="s">
        <v>46</v>
      </c>
      <c r="G711" t="s">
        <v>29</v>
      </c>
      <c r="H711" t="s">
        <v>30</v>
      </c>
      <c r="I711" t="s">
        <v>18</v>
      </c>
      <c r="J711">
        <v>1</v>
      </c>
      <c r="K711">
        <v>15000</v>
      </c>
      <c r="L711">
        <v>15000</v>
      </c>
    </row>
    <row r="712" spans="1:12" x14ac:dyDescent="0.3">
      <c r="A712">
        <v>10711</v>
      </c>
      <c r="B712" s="2">
        <v>45720</v>
      </c>
      <c r="C712" t="s">
        <v>38</v>
      </c>
      <c r="D712" t="s">
        <v>39</v>
      </c>
      <c r="E712" t="s">
        <v>40</v>
      </c>
      <c r="F712" t="s">
        <v>15</v>
      </c>
      <c r="G712" t="s">
        <v>125</v>
      </c>
      <c r="H712" t="s">
        <v>126</v>
      </c>
      <c r="I712" t="s">
        <v>37</v>
      </c>
      <c r="J712">
        <v>3</v>
      </c>
      <c r="K712">
        <v>22000</v>
      </c>
      <c r="L712">
        <v>66000</v>
      </c>
    </row>
    <row r="713" spans="1:12" x14ac:dyDescent="0.3">
      <c r="A713">
        <v>10712</v>
      </c>
      <c r="B713" s="2">
        <v>45820</v>
      </c>
      <c r="C713" t="s">
        <v>228</v>
      </c>
      <c r="D713" t="s">
        <v>229</v>
      </c>
      <c r="E713" t="s">
        <v>84</v>
      </c>
      <c r="F713" t="s">
        <v>46</v>
      </c>
      <c r="G713" t="s">
        <v>163</v>
      </c>
      <c r="H713" t="s">
        <v>164</v>
      </c>
      <c r="I713" t="s">
        <v>49</v>
      </c>
      <c r="J713">
        <v>4</v>
      </c>
      <c r="K713">
        <v>4200</v>
      </c>
      <c r="L713">
        <v>16800</v>
      </c>
    </row>
    <row r="714" spans="1:12" x14ac:dyDescent="0.3">
      <c r="A714">
        <v>10713</v>
      </c>
      <c r="B714" s="2">
        <v>45665</v>
      </c>
      <c r="C714" t="s">
        <v>197</v>
      </c>
      <c r="D714" t="s">
        <v>198</v>
      </c>
      <c r="E714" t="s">
        <v>95</v>
      </c>
      <c r="F714" t="s">
        <v>15</v>
      </c>
      <c r="G714" t="s">
        <v>125</v>
      </c>
      <c r="H714" t="s">
        <v>126</v>
      </c>
      <c r="I714" t="s">
        <v>37</v>
      </c>
      <c r="J714">
        <v>4</v>
      </c>
      <c r="K714">
        <v>22000</v>
      </c>
      <c r="L714">
        <v>88000</v>
      </c>
    </row>
    <row r="715" spans="1:12" x14ac:dyDescent="0.3">
      <c r="A715">
        <v>10714</v>
      </c>
      <c r="B715" s="2">
        <v>45828</v>
      </c>
      <c r="C715" t="s">
        <v>142</v>
      </c>
      <c r="D715" t="s">
        <v>143</v>
      </c>
      <c r="E715" t="s">
        <v>14</v>
      </c>
      <c r="F715" t="s">
        <v>15</v>
      </c>
      <c r="G715" t="s">
        <v>75</v>
      </c>
      <c r="H715" t="s">
        <v>76</v>
      </c>
      <c r="I715" t="s">
        <v>49</v>
      </c>
      <c r="J715">
        <v>1</v>
      </c>
      <c r="K715">
        <v>3000</v>
      </c>
      <c r="L715">
        <v>3000</v>
      </c>
    </row>
    <row r="716" spans="1:12" x14ac:dyDescent="0.3">
      <c r="A716">
        <v>10715</v>
      </c>
      <c r="B716" s="2">
        <v>45960</v>
      </c>
      <c r="C716" t="s">
        <v>148</v>
      </c>
      <c r="D716" t="s">
        <v>149</v>
      </c>
      <c r="E716" t="s">
        <v>14</v>
      </c>
      <c r="F716" t="s">
        <v>15</v>
      </c>
      <c r="G716" t="s">
        <v>121</v>
      </c>
      <c r="H716" t="s">
        <v>122</v>
      </c>
      <c r="I716" t="s">
        <v>49</v>
      </c>
      <c r="J716">
        <v>3</v>
      </c>
      <c r="K716">
        <v>4800</v>
      </c>
      <c r="L716">
        <v>14400</v>
      </c>
    </row>
    <row r="717" spans="1:12" x14ac:dyDescent="0.3">
      <c r="A717">
        <v>10716</v>
      </c>
      <c r="B717" s="2">
        <v>46016</v>
      </c>
      <c r="C717" t="s">
        <v>72</v>
      </c>
      <c r="D717" t="s">
        <v>73</v>
      </c>
      <c r="E717" t="s">
        <v>74</v>
      </c>
      <c r="F717" t="s">
        <v>28</v>
      </c>
      <c r="G717" t="s">
        <v>98</v>
      </c>
      <c r="H717" t="s">
        <v>99</v>
      </c>
      <c r="I717" t="s">
        <v>24</v>
      </c>
      <c r="J717">
        <v>1</v>
      </c>
      <c r="K717">
        <v>2000</v>
      </c>
      <c r="L717">
        <v>2000</v>
      </c>
    </row>
    <row r="718" spans="1:12" x14ac:dyDescent="0.3">
      <c r="A718">
        <v>10717</v>
      </c>
      <c r="B718" s="2">
        <v>45843</v>
      </c>
      <c r="C718" t="s">
        <v>146</v>
      </c>
      <c r="D718" t="s">
        <v>147</v>
      </c>
      <c r="E718" t="s">
        <v>64</v>
      </c>
      <c r="F718" t="s">
        <v>46</v>
      </c>
      <c r="G718" t="s">
        <v>167</v>
      </c>
      <c r="H718" t="s">
        <v>168</v>
      </c>
      <c r="I718" t="s">
        <v>49</v>
      </c>
      <c r="J718">
        <v>1</v>
      </c>
      <c r="K718">
        <v>3800</v>
      </c>
      <c r="L718">
        <v>3800</v>
      </c>
    </row>
    <row r="719" spans="1:12" x14ac:dyDescent="0.3">
      <c r="A719">
        <v>10718</v>
      </c>
      <c r="B719" s="2">
        <v>45700</v>
      </c>
      <c r="C719" t="s">
        <v>12</v>
      </c>
      <c r="D719" t="s">
        <v>13</v>
      </c>
      <c r="E719" t="s">
        <v>14</v>
      </c>
      <c r="F719" t="s">
        <v>15</v>
      </c>
      <c r="G719" t="s">
        <v>152</v>
      </c>
      <c r="H719" t="s">
        <v>153</v>
      </c>
      <c r="I719" t="s">
        <v>49</v>
      </c>
      <c r="J719">
        <v>2</v>
      </c>
      <c r="K719">
        <v>3200</v>
      </c>
      <c r="L719">
        <v>6400</v>
      </c>
    </row>
    <row r="720" spans="1:12" x14ac:dyDescent="0.3">
      <c r="A720">
        <v>10719</v>
      </c>
      <c r="B720" s="2">
        <v>45729</v>
      </c>
      <c r="C720" t="s">
        <v>199</v>
      </c>
      <c r="D720" t="s">
        <v>200</v>
      </c>
      <c r="E720" t="s">
        <v>201</v>
      </c>
      <c r="F720" t="s">
        <v>28</v>
      </c>
      <c r="G720" t="s">
        <v>16</v>
      </c>
      <c r="H720" t="s">
        <v>17</v>
      </c>
      <c r="I720" t="s">
        <v>18</v>
      </c>
      <c r="J720">
        <v>2</v>
      </c>
      <c r="K720">
        <v>11000</v>
      </c>
      <c r="L720">
        <v>22000</v>
      </c>
    </row>
    <row r="721" spans="1:12" x14ac:dyDescent="0.3">
      <c r="A721">
        <v>10720</v>
      </c>
      <c r="B721" s="2">
        <v>46019</v>
      </c>
      <c r="C721" t="s">
        <v>50</v>
      </c>
      <c r="D721" t="s">
        <v>51</v>
      </c>
      <c r="E721" t="s">
        <v>14</v>
      </c>
      <c r="F721" t="s">
        <v>15</v>
      </c>
      <c r="G721" t="s">
        <v>144</v>
      </c>
      <c r="H721" t="s">
        <v>145</v>
      </c>
      <c r="I721" t="s">
        <v>37</v>
      </c>
      <c r="J721">
        <v>1</v>
      </c>
      <c r="K721">
        <v>65000</v>
      </c>
      <c r="L721">
        <v>65000</v>
      </c>
    </row>
    <row r="722" spans="1:12" x14ac:dyDescent="0.3">
      <c r="A722">
        <v>10721</v>
      </c>
      <c r="B722" s="2">
        <v>45874</v>
      </c>
      <c r="C722" t="s">
        <v>199</v>
      </c>
      <c r="D722" t="s">
        <v>200</v>
      </c>
      <c r="E722" t="s">
        <v>201</v>
      </c>
      <c r="F722" t="s">
        <v>28</v>
      </c>
      <c r="G722" t="s">
        <v>103</v>
      </c>
      <c r="H722" t="s">
        <v>104</v>
      </c>
      <c r="I722" t="s">
        <v>37</v>
      </c>
      <c r="J722">
        <v>3</v>
      </c>
      <c r="K722">
        <v>28000</v>
      </c>
      <c r="L722">
        <v>84000</v>
      </c>
    </row>
    <row r="723" spans="1:12" x14ac:dyDescent="0.3">
      <c r="A723">
        <v>10722</v>
      </c>
      <c r="B723" s="2">
        <v>46005</v>
      </c>
      <c r="C723" t="s">
        <v>12</v>
      </c>
      <c r="D723" t="s">
        <v>13</v>
      </c>
      <c r="E723" t="s">
        <v>14</v>
      </c>
      <c r="F723" t="s">
        <v>15</v>
      </c>
      <c r="G723" t="s">
        <v>167</v>
      </c>
      <c r="H723" t="s">
        <v>168</v>
      </c>
      <c r="I723" t="s">
        <v>49</v>
      </c>
      <c r="J723">
        <v>1</v>
      </c>
      <c r="K723">
        <v>3800</v>
      </c>
      <c r="L723">
        <v>3800</v>
      </c>
    </row>
    <row r="724" spans="1:12" x14ac:dyDescent="0.3">
      <c r="A724">
        <v>10723</v>
      </c>
      <c r="B724" s="2">
        <v>45859</v>
      </c>
      <c r="C724" t="s">
        <v>220</v>
      </c>
      <c r="D724" t="s">
        <v>221</v>
      </c>
      <c r="E724" t="s">
        <v>102</v>
      </c>
      <c r="F724" t="s">
        <v>34</v>
      </c>
      <c r="G724" t="s">
        <v>41</v>
      </c>
      <c r="H724" t="s">
        <v>42</v>
      </c>
      <c r="I724" t="s">
        <v>37</v>
      </c>
      <c r="J724">
        <v>2</v>
      </c>
      <c r="K724">
        <v>30000</v>
      </c>
      <c r="L724">
        <v>60000</v>
      </c>
    </row>
    <row r="725" spans="1:12" x14ac:dyDescent="0.3">
      <c r="A725">
        <v>10724</v>
      </c>
      <c r="B725" s="2">
        <v>45978</v>
      </c>
      <c r="C725" t="s">
        <v>38</v>
      </c>
      <c r="D725" t="s">
        <v>39</v>
      </c>
      <c r="E725" t="s">
        <v>40</v>
      </c>
      <c r="F725" t="s">
        <v>15</v>
      </c>
      <c r="G725" t="s">
        <v>177</v>
      </c>
      <c r="H725" t="s">
        <v>178</v>
      </c>
      <c r="I725" t="s">
        <v>37</v>
      </c>
      <c r="J725">
        <v>4</v>
      </c>
      <c r="K725">
        <v>2500</v>
      </c>
      <c r="L725">
        <v>10000</v>
      </c>
    </row>
    <row r="726" spans="1:12" x14ac:dyDescent="0.3">
      <c r="A726">
        <v>10725</v>
      </c>
      <c r="B726" s="2">
        <v>45977</v>
      </c>
      <c r="C726" t="s">
        <v>62</v>
      </c>
      <c r="D726" t="s">
        <v>63</v>
      </c>
      <c r="E726" t="s">
        <v>64</v>
      </c>
      <c r="F726" t="s">
        <v>46</v>
      </c>
      <c r="G726" t="s">
        <v>152</v>
      </c>
      <c r="H726" t="s">
        <v>153</v>
      </c>
      <c r="I726" t="s">
        <v>49</v>
      </c>
      <c r="J726">
        <v>1</v>
      </c>
      <c r="K726">
        <v>3200</v>
      </c>
      <c r="L726">
        <v>3200</v>
      </c>
    </row>
    <row r="727" spans="1:12" x14ac:dyDescent="0.3">
      <c r="A727">
        <v>10726</v>
      </c>
      <c r="B727" s="2">
        <v>45798</v>
      </c>
      <c r="C727" t="s">
        <v>146</v>
      </c>
      <c r="D727" t="s">
        <v>147</v>
      </c>
      <c r="E727" t="s">
        <v>64</v>
      </c>
      <c r="F727" t="s">
        <v>46</v>
      </c>
      <c r="G727" t="s">
        <v>163</v>
      </c>
      <c r="H727" t="s">
        <v>164</v>
      </c>
      <c r="I727" t="s">
        <v>49</v>
      </c>
      <c r="J727">
        <v>3</v>
      </c>
      <c r="K727">
        <v>4200</v>
      </c>
      <c r="L727">
        <v>12600</v>
      </c>
    </row>
    <row r="728" spans="1:12" x14ac:dyDescent="0.3">
      <c r="A728">
        <v>10727</v>
      </c>
      <c r="B728" s="2">
        <v>45960</v>
      </c>
      <c r="C728" t="s">
        <v>204</v>
      </c>
      <c r="D728" t="s">
        <v>205</v>
      </c>
      <c r="E728" t="s">
        <v>201</v>
      </c>
      <c r="F728" t="s">
        <v>28</v>
      </c>
      <c r="G728" t="s">
        <v>35</v>
      </c>
      <c r="H728" t="s">
        <v>36</v>
      </c>
      <c r="I728" t="s">
        <v>37</v>
      </c>
      <c r="J728">
        <v>3</v>
      </c>
      <c r="K728">
        <v>12000</v>
      </c>
      <c r="L728">
        <v>36000</v>
      </c>
    </row>
    <row r="729" spans="1:12" x14ac:dyDescent="0.3">
      <c r="A729">
        <v>10728</v>
      </c>
      <c r="B729" s="2">
        <v>45960</v>
      </c>
      <c r="C729" t="s">
        <v>77</v>
      </c>
      <c r="D729" t="s">
        <v>78</v>
      </c>
      <c r="E729" t="s">
        <v>79</v>
      </c>
      <c r="F729" t="s">
        <v>34</v>
      </c>
      <c r="G729" t="s">
        <v>35</v>
      </c>
      <c r="H729" t="s">
        <v>36</v>
      </c>
      <c r="I729" t="s">
        <v>37</v>
      </c>
      <c r="J729">
        <v>1</v>
      </c>
      <c r="K729">
        <v>12000</v>
      </c>
      <c r="L729">
        <v>12000</v>
      </c>
    </row>
    <row r="730" spans="1:12" x14ac:dyDescent="0.3">
      <c r="A730">
        <v>10729</v>
      </c>
      <c r="B730" s="2">
        <v>45710</v>
      </c>
      <c r="C730" t="s">
        <v>119</v>
      </c>
      <c r="D730" t="s">
        <v>120</v>
      </c>
      <c r="E730" t="s">
        <v>27</v>
      </c>
      <c r="F730" t="s">
        <v>28</v>
      </c>
      <c r="G730" t="s">
        <v>167</v>
      </c>
      <c r="H730" t="s">
        <v>168</v>
      </c>
      <c r="I730" t="s">
        <v>49</v>
      </c>
      <c r="J730">
        <v>2</v>
      </c>
      <c r="K730">
        <v>3800</v>
      </c>
      <c r="L730">
        <v>7600</v>
      </c>
    </row>
    <row r="731" spans="1:12" x14ac:dyDescent="0.3">
      <c r="A731">
        <v>10730</v>
      </c>
      <c r="B731" s="2">
        <v>45792</v>
      </c>
      <c r="C731" t="s">
        <v>85</v>
      </c>
      <c r="D731" t="s">
        <v>86</v>
      </c>
      <c r="E731" t="s">
        <v>45</v>
      </c>
      <c r="F731" t="s">
        <v>46</v>
      </c>
      <c r="G731" t="s">
        <v>113</v>
      </c>
      <c r="H731" t="s">
        <v>114</v>
      </c>
      <c r="I731" t="s">
        <v>37</v>
      </c>
      <c r="J731">
        <v>1</v>
      </c>
      <c r="K731">
        <v>52000</v>
      </c>
      <c r="L731">
        <v>52000</v>
      </c>
    </row>
    <row r="732" spans="1:12" x14ac:dyDescent="0.3">
      <c r="A732">
        <v>10731</v>
      </c>
      <c r="B732" s="2">
        <v>45993</v>
      </c>
      <c r="C732" t="s">
        <v>169</v>
      </c>
      <c r="D732" t="s">
        <v>170</v>
      </c>
      <c r="E732" t="s">
        <v>64</v>
      </c>
      <c r="F732" t="s">
        <v>46</v>
      </c>
      <c r="G732" t="s">
        <v>75</v>
      </c>
      <c r="H732" t="s">
        <v>76</v>
      </c>
      <c r="I732" t="s">
        <v>49</v>
      </c>
      <c r="J732">
        <v>1</v>
      </c>
      <c r="K732">
        <v>3000</v>
      </c>
      <c r="L732">
        <v>3000</v>
      </c>
    </row>
    <row r="733" spans="1:12" x14ac:dyDescent="0.3">
      <c r="A733">
        <v>10732</v>
      </c>
      <c r="B733" s="2">
        <v>45673</v>
      </c>
      <c r="C733" t="s">
        <v>117</v>
      </c>
      <c r="D733" t="s">
        <v>118</v>
      </c>
      <c r="E733" t="s">
        <v>95</v>
      </c>
      <c r="F733" t="s">
        <v>15</v>
      </c>
      <c r="G733" t="s">
        <v>131</v>
      </c>
      <c r="H733" t="s">
        <v>132</v>
      </c>
      <c r="I733" t="s">
        <v>37</v>
      </c>
      <c r="J733">
        <v>2</v>
      </c>
      <c r="K733">
        <v>4500</v>
      </c>
      <c r="L733">
        <v>9000</v>
      </c>
    </row>
    <row r="734" spans="1:12" x14ac:dyDescent="0.3">
      <c r="A734">
        <v>10733</v>
      </c>
      <c r="B734" s="2">
        <v>45690</v>
      </c>
      <c r="C734" t="s">
        <v>38</v>
      </c>
      <c r="D734" t="s">
        <v>39</v>
      </c>
      <c r="E734" t="s">
        <v>40</v>
      </c>
      <c r="F734" t="s">
        <v>15</v>
      </c>
      <c r="G734" t="s">
        <v>65</v>
      </c>
      <c r="H734" t="s">
        <v>66</v>
      </c>
      <c r="I734" t="s">
        <v>49</v>
      </c>
      <c r="J734">
        <v>4</v>
      </c>
      <c r="K734">
        <v>2400</v>
      </c>
      <c r="L734">
        <v>9600</v>
      </c>
    </row>
    <row r="735" spans="1:12" x14ac:dyDescent="0.3">
      <c r="A735">
        <v>10734</v>
      </c>
      <c r="B735" s="2">
        <v>45777</v>
      </c>
      <c r="C735" t="s">
        <v>150</v>
      </c>
      <c r="D735" t="s">
        <v>151</v>
      </c>
      <c r="E735" t="s">
        <v>84</v>
      </c>
      <c r="F735" t="s">
        <v>46</v>
      </c>
      <c r="G735" t="s">
        <v>47</v>
      </c>
      <c r="H735" t="s">
        <v>48</v>
      </c>
      <c r="I735" t="s">
        <v>49</v>
      </c>
      <c r="J735">
        <v>1</v>
      </c>
      <c r="K735">
        <v>1600</v>
      </c>
      <c r="L735">
        <v>1600</v>
      </c>
    </row>
    <row r="736" spans="1:12" x14ac:dyDescent="0.3">
      <c r="A736">
        <v>10735</v>
      </c>
      <c r="B736" s="2">
        <v>45711</v>
      </c>
      <c r="C736" t="s">
        <v>148</v>
      </c>
      <c r="D736" t="s">
        <v>149</v>
      </c>
      <c r="E736" t="s">
        <v>14</v>
      </c>
      <c r="F736" t="s">
        <v>15</v>
      </c>
      <c r="G736" t="s">
        <v>113</v>
      </c>
      <c r="H736" t="s">
        <v>114</v>
      </c>
      <c r="I736" t="s">
        <v>37</v>
      </c>
      <c r="J736">
        <v>3</v>
      </c>
      <c r="K736">
        <v>52000</v>
      </c>
      <c r="L736">
        <v>156000</v>
      </c>
    </row>
    <row r="737" spans="1:12" x14ac:dyDescent="0.3">
      <c r="A737">
        <v>10736</v>
      </c>
      <c r="B737" s="2">
        <v>45688</v>
      </c>
      <c r="C737" t="s">
        <v>220</v>
      </c>
      <c r="D737" t="s">
        <v>221</v>
      </c>
      <c r="E737" t="s">
        <v>102</v>
      </c>
      <c r="F737" t="s">
        <v>34</v>
      </c>
      <c r="G737" t="s">
        <v>131</v>
      </c>
      <c r="H737" t="s">
        <v>132</v>
      </c>
      <c r="I737" t="s">
        <v>37</v>
      </c>
      <c r="J737">
        <v>1</v>
      </c>
      <c r="K737">
        <v>4500</v>
      </c>
      <c r="L737">
        <v>4500</v>
      </c>
    </row>
    <row r="738" spans="1:12" x14ac:dyDescent="0.3">
      <c r="A738">
        <v>10737</v>
      </c>
      <c r="B738" s="2">
        <v>45798</v>
      </c>
      <c r="C738" t="s">
        <v>135</v>
      </c>
      <c r="D738" t="s">
        <v>136</v>
      </c>
      <c r="E738" t="s">
        <v>137</v>
      </c>
      <c r="F738" t="s">
        <v>46</v>
      </c>
      <c r="G738" t="s">
        <v>179</v>
      </c>
      <c r="H738" t="s">
        <v>180</v>
      </c>
      <c r="I738" t="s">
        <v>18</v>
      </c>
      <c r="J738">
        <v>1</v>
      </c>
      <c r="K738">
        <v>6500</v>
      </c>
      <c r="L738">
        <v>6500</v>
      </c>
    </row>
    <row r="739" spans="1:12" x14ac:dyDescent="0.3">
      <c r="A739">
        <v>10738</v>
      </c>
      <c r="B739" s="2">
        <v>45893</v>
      </c>
      <c r="C739" t="s">
        <v>105</v>
      </c>
      <c r="D739" t="s">
        <v>106</v>
      </c>
      <c r="E739" t="s">
        <v>45</v>
      </c>
      <c r="F739" t="s">
        <v>46</v>
      </c>
      <c r="G739" t="s">
        <v>131</v>
      </c>
      <c r="H739" t="s">
        <v>132</v>
      </c>
      <c r="I739" t="s">
        <v>37</v>
      </c>
      <c r="J739">
        <v>1</v>
      </c>
      <c r="K739">
        <v>4500</v>
      </c>
      <c r="L739">
        <v>4500</v>
      </c>
    </row>
    <row r="740" spans="1:12" x14ac:dyDescent="0.3">
      <c r="A740">
        <v>10739</v>
      </c>
      <c r="B740" s="2">
        <v>45954</v>
      </c>
      <c r="C740" t="s">
        <v>58</v>
      </c>
      <c r="D740" t="s">
        <v>59</v>
      </c>
      <c r="E740" t="s">
        <v>21</v>
      </c>
      <c r="F740" t="s">
        <v>15</v>
      </c>
      <c r="G740" t="s">
        <v>41</v>
      </c>
      <c r="H740" t="s">
        <v>42</v>
      </c>
      <c r="I740" t="s">
        <v>37</v>
      </c>
      <c r="J740">
        <v>1</v>
      </c>
      <c r="K740">
        <v>30000</v>
      </c>
      <c r="L740">
        <v>30000</v>
      </c>
    </row>
    <row r="741" spans="1:12" x14ac:dyDescent="0.3">
      <c r="A741">
        <v>10740</v>
      </c>
      <c r="B741" s="2">
        <v>45776</v>
      </c>
      <c r="C741" t="s">
        <v>175</v>
      </c>
      <c r="D741" t="s">
        <v>176</v>
      </c>
      <c r="E741" t="s">
        <v>84</v>
      </c>
      <c r="F741" t="s">
        <v>46</v>
      </c>
      <c r="G741" t="s">
        <v>177</v>
      </c>
      <c r="H741" t="s">
        <v>178</v>
      </c>
      <c r="I741" t="s">
        <v>37</v>
      </c>
      <c r="J741">
        <v>1</v>
      </c>
      <c r="K741">
        <v>2500</v>
      </c>
      <c r="L741">
        <v>2500</v>
      </c>
    </row>
    <row r="742" spans="1:12" x14ac:dyDescent="0.3">
      <c r="A742">
        <v>10741</v>
      </c>
      <c r="B742" s="2">
        <v>46020</v>
      </c>
      <c r="C742" t="s">
        <v>206</v>
      </c>
      <c r="D742" t="s">
        <v>207</v>
      </c>
      <c r="E742" t="s">
        <v>160</v>
      </c>
      <c r="F742" t="s">
        <v>34</v>
      </c>
      <c r="G742" t="s">
        <v>98</v>
      </c>
      <c r="H742" t="s">
        <v>99</v>
      </c>
      <c r="I742" t="s">
        <v>24</v>
      </c>
      <c r="J742">
        <v>1</v>
      </c>
      <c r="K742">
        <v>2000</v>
      </c>
      <c r="L742">
        <v>2000</v>
      </c>
    </row>
    <row r="743" spans="1:12" x14ac:dyDescent="0.3">
      <c r="A743">
        <v>10742</v>
      </c>
      <c r="B743" s="2">
        <v>45941</v>
      </c>
      <c r="C743" t="s">
        <v>12</v>
      </c>
      <c r="D743" t="s">
        <v>13</v>
      </c>
      <c r="E743" t="s">
        <v>14</v>
      </c>
      <c r="F743" t="s">
        <v>15</v>
      </c>
      <c r="G743" t="s">
        <v>41</v>
      </c>
      <c r="H743" t="s">
        <v>42</v>
      </c>
      <c r="I743" t="s">
        <v>37</v>
      </c>
      <c r="J743">
        <v>3</v>
      </c>
      <c r="K743">
        <v>30000</v>
      </c>
      <c r="L743">
        <v>90000</v>
      </c>
    </row>
    <row r="744" spans="1:12" x14ac:dyDescent="0.3">
      <c r="A744">
        <v>10743</v>
      </c>
      <c r="B744" s="2">
        <v>45913</v>
      </c>
      <c r="C744" t="s">
        <v>50</v>
      </c>
      <c r="D744" t="s">
        <v>51</v>
      </c>
      <c r="E744" t="s">
        <v>14</v>
      </c>
      <c r="F744" t="s">
        <v>15</v>
      </c>
      <c r="G744" t="s">
        <v>35</v>
      </c>
      <c r="H744" t="s">
        <v>36</v>
      </c>
      <c r="I744" t="s">
        <v>37</v>
      </c>
      <c r="J744">
        <v>4</v>
      </c>
      <c r="K744">
        <v>12000</v>
      </c>
      <c r="L744">
        <v>48000</v>
      </c>
    </row>
    <row r="745" spans="1:12" x14ac:dyDescent="0.3">
      <c r="A745">
        <v>10744</v>
      </c>
      <c r="B745" s="2">
        <v>45988</v>
      </c>
      <c r="C745" t="s">
        <v>148</v>
      </c>
      <c r="D745" t="s">
        <v>149</v>
      </c>
      <c r="E745" t="s">
        <v>14</v>
      </c>
      <c r="F745" t="s">
        <v>15</v>
      </c>
      <c r="G745" t="s">
        <v>163</v>
      </c>
      <c r="H745" t="s">
        <v>164</v>
      </c>
      <c r="I745" t="s">
        <v>49</v>
      </c>
      <c r="J745">
        <v>1</v>
      </c>
      <c r="K745">
        <v>4200</v>
      </c>
      <c r="L745">
        <v>4200</v>
      </c>
    </row>
    <row r="746" spans="1:12" x14ac:dyDescent="0.3">
      <c r="A746">
        <v>10745</v>
      </c>
      <c r="B746" s="2">
        <v>45708</v>
      </c>
      <c r="C746" t="s">
        <v>43</v>
      </c>
      <c r="D746" t="s">
        <v>44</v>
      </c>
      <c r="E746" t="s">
        <v>45</v>
      </c>
      <c r="F746" t="s">
        <v>46</v>
      </c>
      <c r="G746" t="s">
        <v>16</v>
      </c>
      <c r="H746" t="s">
        <v>17</v>
      </c>
      <c r="I746" t="s">
        <v>18</v>
      </c>
      <c r="J746">
        <v>1</v>
      </c>
      <c r="K746">
        <v>11000</v>
      </c>
      <c r="L746">
        <v>11000</v>
      </c>
    </row>
    <row r="747" spans="1:12" x14ac:dyDescent="0.3">
      <c r="A747">
        <v>10746</v>
      </c>
      <c r="B747" s="2">
        <v>45721</v>
      </c>
      <c r="C747" t="s">
        <v>175</v>
      </c>
      <c r="D747" t="s">
        <v>176</v>
      </c>
      <c r="E747" t="s">
        <v>84</v>
      </c>
      <c r="F747" t="s">
        <v>46</v>
      </c>
      <c r="G747" t="s">
        <v>187</v>
      </c>
      <c r="H747" t="s">
        <v>188</v>
      </c>
      <c r="I747" t="s">
        <v>24</v>
      </c>
      <c r="J747">
        <v>2</v>
      </c>
      <c r="K747">
        <v>5500</v>
      </c>
      <c r="L747">
        <v>11000</v>
      </c>
    </row>
    <row r="748" spans="1:12" x14ac:dyDescent="0.3">
      <c r="A748">
        <v>10747</v>
      </c>
      <c r="B748" s="2">
        <v>45821</v>
      </c>
      <c r="C748" t="s">
        <v>133</v>
      </c>
      <c r="D748" t="s">
        <v>134</v>
      </c>
      <c r="E748" t="s">
        <v>33</v>
      </c>
      <c r="F748" t="s">
        <v>34</v>
      </c>
      <c r="G748" t="s">
        <v>131</v>
      </c>
      <c r="H748" t="s">
        <v>132</v>
      </c>
      <c r="I748" t="s">
        <v>37</v>
      </c>
      <c r="J748">
        <v>3</v>
      </c>
      <c r="K748">
        <v>4500</v>
      </c>
      <c r="L748">
        <v>13500</v>
      </c>
    </row>
    <row r="749" spans="1:12" x14ac:dyDescent="0.3">
      <c r="A749">
        <v>10748</v>
      </c>
      <c r="B749" s="2">
        <v>45686</v>
      </c>
      <c r="C749" t="s">
        <v>107</v>
      </c>
      <c r="D749" t="s">
        <v>108</v>
      </c>
      <c r="E749" t="s">
        <v>74</v>
      </c>
      <c r="F749" t="s">
        <v>28</v>
      </c>
      <c r="G749" t="s">
        <v>96</v>
      </c>
      <c r="H749" t="s">
        <v>97</v>
      </c>
      <c r="I749" t="s">
        <v>37</v>
      </c>
      <c r="J749">
        <v>1</v>
      </c>
      <c r="K749">
        <v>18000</v>
      </c>
      <c r="L749">
        <v>18000</v>
      </c>
    </row>
    <row r="750" spans="1:12" x14ac:dyDescent="0.3">
      <c r="A750">
        <v>10749</v>
      </c>
      <c r="B750" s="2">
        <v>45992</v>
      </c>
      <c r="C750" t="s">
        <v>133</v>
      </c>
      <c r="D750" t="s">
        <v>134</v>
      </c>
      <c r="E750" t="s">
        <v>33</v>
      </c>
      <c r="F750" t="s">
        <v>34</v>
      </c>
      <c r="G750" t="s">
        <v>65</v>
      </c>
      <c r="H750" t="s">
        <v>66</v>
      </c>
      <c r="I750" t="s">
        <v>49</v>
      </c>
      <c r="J750">
        <v>1</v>
      </c>
      <c r="K750">
        <v>2400</v>
      </c>
      <c r="L750">
        <v>2400</v>
      </c>
    </row>
    <row r="751" spans="1:12" x14ac:dyDescent="0.3">
      <c r="A751">
        <v>10750</v>
      </c>
      <c r="B751" s="2">
        <v>45673</v>
      </c>
      <c r="C751" t="s">
        <v>154</v>
      </c>
      <c r="D751" t="s">
        <v>155</v>
      </c>
      <c r="E751" t="s">
        <v>74</v>
      </c>
      <c r="F751" t="s">
        <v>28</v>
      </c>
      <c r="G751" t="s">
        <v>103</v>
      </c>
      <c r="H751" t="s">
        <v>104</v>
      </c>
      <c r="I751" t="s">
        <v>37</v>
      </c>
      <c r="J751">
        <v>1</v>
      </c>
      <c r="K751">
        <v>28000</v>
      </c>
      <c r="L751">
        <v>28000</v>
      </c>
    </row>
    <row r="752" spans="1:12" x14ac:dyDescent="0.3">
      <c r="A752">
        <v>10751</v>
      </c>
      <c r="B752" s="2">
        <v>45795</v>
      </c>
      <c r="C752" t="s">
        <v>135</v>
      </c>
      <c r="D752" t="s">
        <v>136</v>
      </c>
      <c r="E752" t="s">
        <v>137</v>
      </c>
      <c r="F752" t="s">
        <v>46</v>
      </c>
      <c r="G752" t="s">
        <v>125</v>
      </c>
      <c r="H752" t="s">
        <v>126</v>
      </c>
      <c r="I752" t="s">
        <v>37</v>
      </c>
      <c r="J752">
        <v>2</v>
      </c>
      <c r="K752">
        <v>22000</v>
      </c>
      <c r="L752">
        <v>44000</v>
      </c>
    </row>
    <row r="753" spans="1:12" x14ac:dyDescent="0.3">
      <c r="A753">
        <v>10752</v>
      </c>
      <c r="B753" s="2">
        <v>45925</v>
      </c>
      <c r="C753" t="s">
        <v>146</v>
      </c>
      <c r="D753" t="s">
        <v>147</v>
      </c>
      <c r="E753" t="s">
        <v>64</v>
      </c>
      <c r="F753" t="s">
        <v>46</v>
      </c>
      <c r="G753" t="s">
        <v>29</v>
      </c>
      <c r="H753" t="s">
        <v>30</v>
      </c>
      <c r="I753" t="s">
        <v>18</v>
      </c>
      <c r="J753">
        <v>1</v>
      </c>
      <c r="K753">
        <v>15000</v>
      </c>
      <c r="L753">
        <v>15000</v>
      </c>
    </row>
    <row r="754" spans="1:12" x14ac:dyDescent="0.3">
      <c r="A754">
        <v>10753</v>
      </c>
      <c r="B754" s="2">
        <v>45676</v>
      </c>
      <c r="C754" t="s">
        <v>50</v>
      </c>
      <c r="D754" t="s">
        <v>51</v>
      </c>
      <c r="E754" t="s">
        <v>14</v>
      </c>
      <c r="F754" t="s">
        <v>15</v>
      </c>
      <c r="G754" t="s">
        <v>103</v>
      </c>
      <c r="H754" t="s">
        <v>104</v>
      </c>
      <c r="I754" t="s">
        <v>37</v>
      </c>
      <c r="J754">
        <v>3</v>
      </c>
      <c r="K754">
        <v>28000</v>
      </c>
      <c r="L754">
        <v>84000</v>
      </c>
    </row>
    <row r="755" spans="1:12" x14ac:dyDescent="0.3">
      <c r="A755">
        <v>10754</v>
      </c>
      <c r="B755" s="2">
        <v>45718</v>
      </c>
      <c r="C755" t="s">
        <v>67</v>
      </c>
      <c r="D755" t="s">
        <v>68</v>
      </c>
      <c r="E755" t="s">
        <v>69</v>
      </c>
      <c r="F755" t="s">
        <v>28</v>
      </c>
      <c r="G755" t="s">
        <v>163</v>
      </c>
      <c r="H755" t="s">
        <v>164</v>
      </c>
      <c r="I755" t="s">
        <v>49</v>
      </c>
      <c r="J755">
        <v>1</v>
      </c>
      <c r="K755">
        <v>4200</v>
      </c>
      <c r="L755">
        <v>4200</v>
      </c>
    </row>
    <row r="756" spans="1:12" x14ac:dyDescent="0.3">
      <c r="A756">
        <v>10755</v>
      </c>
      <c r="B756" s="2">
        <v>45852</v>
      </c>
      <c r="C756" t="s">
        <v>183</v>
      </c>
      <c r="D756" t="s">
        <v>184</v>
      </c>
      <c r="E756" t="s">
        <v>27</v>
      </c>
      <c r="F756" t="s">
        <v>28</v>
      </c>
      <c r="G756" t="s">
        <v>140</v>
      </c>
      <c r="H756" t="s">
        <v>141</v>
      </c>
      <c r="I756" t="s">
        <v>18</v>
      </c>
      <c r="J756">
        <v>2</v>
      </c>
      <c r="K756">
        <v>3000</v>
      </c>
      <c r="L756">
        <v>6000</v>
      </c>
    </row>
    <row r="757" spans="1:12" x14ac:dyDescent="0.3">
      <c r="A757">
        <v>10756</v>
      </c>
      <c r="B757" s="2">
        <v>45998</v>
      </c>
      <c r="C757" t="s">
        <v>105</v>
      </c>
      <c r="D757" t="s">
        <v>106</v>
      </c>
      <c r="E757" t="s">
        <v>45</v>
      </c>
      <c r="F757" t="s">
        <v>46</v>
      </c>
      <c r="G757" t="s">
        <v>75</v>
      </c>
      <c r="H757" t="s">
        <v>76</v>
      </c>
      <c r="I757" t="s">
        <v>49</v>
      </c>
      <c r="J757">
        <v>2</v>
      </c>
      <c r="K757">
        <v>3000</v>
      </c>
      <c r="L757">
        <v>6000</v>
      </c>
    </row>
    <row r="758" spans="1:12" x14ac:dyDescent="0.3">
      <c r="A758">
        <v>10757</v>
      </c>
      <c r="B758" s="2">
        <v>45978</v>
      </c>
      <c r="C758" t="s">
        <v>85</v>
      </c>
      <c r="D758" t="s">
        <v>86</v>
      </c>
      <c r="E758" t="s">
        <v>45</v>
      </c>
      <c r="F758" t="s">
        <v>46</v>
      </c>
      <c r="G758" t="s">
        <v>29</v>
      </c>
      <c r="H758" t="s">
        <v>30</v>
      </c>
      <c r="I758" t="s">
        <v>18</v>
      </c>
      <c r="J758">
        <v>1</v>
      </c>
      <c r="K758">
        <v>15000</v>
      </c>
      <c r="L758">
        <v>15000</v>
      </c>
    </row>
    <row r="759" spans="1:12" x14ac:dyDescent="0.3">
      <c r="A759">
        <v>10758</v>
      </c>
      <c r="B759" s="2">
        <v>45782</v>
      </c>
      <c r="C759" t="s">
        <v>127</v>
      </c>
      <c r="D759" t="s">
        <v>128</v>
      </c>
      <c r="E759" t="s">
        <v>102</v>
      </c>
      <c r="F759" t="s">
        <v>34</v>
      </c>
      <c r="G759" t="s">
        <v>109</v>
      </c>
      <c r="H759" t="s">
        <v>110</v>
      </c>
      <c r="I759" t="s">
        <v>18</v>
      </c>
      <c r="J759">
        <v>4</v>
      </c>
      <c r="K759">
        <v>5000</v>
      </c>
      <c r="L759">
        <v>20000</v>
      </c>
    </row>
    <row r="760" spans="1:12" x14ac:dyDescent="0.3">
      <c r="A760">
        <v>10759</v>
      </c>
      <c r="B760" s="2">
        <v>45897</v>
      </c>
      <c r="C760" t="s">
        <v>12</v>
      </c>
      <c r="D760" t="s">
        <v>13</v>
      </c>
      <c r="E760" t="s">
        <v>14</v>
      </c>
      <c r="F760" t="s">
        <v>15</v>
      </c>
      <c r="G760" t="s">
        <v>144</v>
      </c>
      <c r="H760" t="s">
        <v>145</v>
      </c>
      <c r="I760" t="s">
        <v>37</v>
      </c>
      <c r="J760">
        <v>4</v>
      </c>
      <c r="K760">
        <v>65000</v>
      </c>
      <c r="L760">
        <v>260000</v>
      </c>
    </row>
    <row r="761" spans="1:12" x14ac:dyDescent="0.3">
      <c r="A761">
        <v>10760</v>
      </c>
      <c r="B761" s="2">
        <v>45906</v>
      </c>
      <c r="C761" t="s">
        <v>138</v>
      </c>
      <c r="D761" t="s">
        <v>139</v>
      </c>
      <c r="E761" t="s">
        <v>79</v>
      </c>
      <c r="F761" t="s">
        <v>34</v>
      </c>
      <c r="G761" t="s">
        <v>75</v>
      </c>
      <c r="H761" t="s">
        <v>76</v>
      </c>
      <c r="I761" t="s">
        <v>49</v>
      </c>
      <c r="J761">
        <v>1</v>
      </c>
      <c r="K761">
        <v>3000</v>
      </c>
      <c r="L761">
        <v>3000</v>
      </c>
    </row>
    <row r="762" spans="1:12" x14ac:dyDescent="0.3">
      <c r="A762">
        <v>10761</v>
      </c>
      <c r="B762" s="2">
        <v>45964</v>
      </c>
      <c r="C762" t="s">
        <v>100</v>
      </c>
      <c r="D762" t="s">
        <v>101</v>
      </c>
      <c r="E762" t="s">
        <v>102</v>
      </c>
      <c r="F762" t="s">
        <v>34</v>
      </c>
      <c r="G762" t="s">
        <v>47</v>
      </c>
      <c r="H762" t="s">
        <v>48</v>
      </c>
      <c r="I762" t="s">
        <v>49</v>
      </c>
      <c r="J762">
        <v>1</v>
      </c>
      <c r="K762">
        <v>1600</v>
      </c>
      <c r="L762">
        <v>1600</v>
      </c>
    </row>
    <row r="763" spans="1:12" x14ac:dyDescent="0.3">
      <c r="A763">
        <v>10762</v>
      </c>
      <c r="B763" s="2">
        <v>45677</v>
      </c>
      <c r="C763" t="s">
        <v>224</v>
      </c>
      <c r="D763" t="s">
        <v>225</v>
      </c>
      <c r="E763" t="s">
        <v>201</v>
      </c>
      <c r="F763" t="s">
        <v>28</v>
      </c>
      <c r="G763" t="s">
        <v>60</v>
      </c>
      <c r="H763" t="s">
        <v>61</v>
      </c>
      <c r="I763" t="s">
        <v>18</v>
      </c>
      <c r="J763">
        <v>4</v>
      </c>
      <c r="K763">
        <v>2200</v>
      </c>
      <c r="L763">
        <v>8800</v>
      </c>
    </row>
    <row r="764" spans="1:12" x14ac:dyDescent="0.3">
      <c r="A764">
        <v>10763</v>
      </c>
      <c r="B764" s="2">
        <v>45770</v>
      </c>
      <c r="C764" t="s">
        <v>93</v>
      </c>
      <c r="D764" t="s">
        <v>94</v>
      </c>
      <c r="E764" t="s">
        <v>95</v>
      </c>
      <c r="F764" t="s">
        <v>15</v>
      </c>
      <c r="G764" t="s">
        <v>96</v>
      </c>
      <c r="H764" t="s">
        <v>97</v>
      </c>
      <c r="I764" t="s">
        <v>37</v>
      </c>
      <c r="J764">
        <v>1</v>
      </c>
      <c r="K764">
        <v>18000</v>
      </c>
      <c r="L764">
        <v>18000</v>
      </c>
    </row>
    <row r="765" spans="1:12" x14ac:dyDescent="0.3">
      <c r="A765">
        <v>10764</v>
      </c>
      <c r="B765" s="2">
        <v>45833</v>
      </c>
      <c r="C765" t="s">
        <v>204</v>
      </c>
      <c r="D765" t="s">
        <v>205</v>
      </c>
      <c r="E765" t="s">
        <v>201</v>
      </c>
      <c r="F765" t="s">
        <v>28</v>
      </c>
      <c r="G765" t="s">
        <v>98</v>
      </c>
      <c r="H765" t="s">
        <v>99</v>
      </c>
      <c r="I765" t="s">
        <v>24</v>
      </c>
      <c r="J765">
        <v>1</v>
      </c>
      <c r="K765">
        <v>2000</v>
      </c>
      <c r="L765">
        <v>2000</v>
      </c>
    </row>
    <row r="766" spans="1:12" x14ac:dyDescent="0.3">
      <c r="A766">
        <v>10765</v>
      </c>
      <c r="B766" s="2">
        <v>45961</v>
      </c>
      <c r="C766" t="s">
        <v>87</v>
      </c>
      <c r="D766" t="s">
        <v>88</v>
      </c>
      <c r="E766" t="s">
        <v>64</v>
      </c>
      <c r="F766" t="s">
        <v>46</v>
      </c>
      <c r="G766" t="s">
        <v>103</v>
      </c>
      <c r="H766" t="s">
        <v>104</v>
      </c>
      <c r="I766" t="s">
        <v>37</v>
      </c>
      <c r="J766">
        <v>1</v>
      </c>
      <c r="K766">
        <v>28000</v>
      </c>
      <c r="L766">
        <v>28000</v>
      </c>
    </row>
    <row r="767" spans="1:12" x14ac:dyDescent="0.3">
      <c r="A767">
        <v>10766</v>
      </c>
      <c r="B767" s="2">
        <v>45810</v>
      </c>
      <c r="C767" t="s">
        <v>161</v>
      </c>
      <c r="D767" t="s">
        <v>162</v>
      </c>
      <c r="E767" t="s">
        <v>33</v>
      </c>
      <c r="F767" t="s">
        <v>34</v>
      </c>
      <c r="G767" t="s">
        <v>70</v>
      </c>
      <c r="H767" t="s">
        <v>71</v>
      </c>
      <c r="I767" t="s">
        <v>37</v>
      </c>
      <c r="J767">
        <v>2</v>
      </c>
      <c r="K767">
        <v>2200</v>
      </c>
      <c r="L767">
        <v>4400</v>
      </c>
    </row>
    <row r="768" spans="1:12" x14ac:dyDescent="0.3">
      <c r="A768">
        <v>10767</v>
      </c>
      <c r="B768" s="2">
        <v>45864</v>
      </c>
      <c r="C768" t="s">
        <v>91</v>
      </c>
      <c r="D768" t="s">
        <v>92</v>
      </c>
      <c r="E768" t="s">
        <v>40</v>
      </c>
      <c r="F768" t="s">
        <v>15</v>
      </c>
      <c r="G768" t="s">
        <v>177</v>
      </c>
      <c r="H768" t="s">
        <v>178</v>
      </c>
      <c r="I768" t="s">
        <v>37</v>
      </c>
      <c r="J768">
        <v>1</v>
      </c>
      <c r="K768">
        <v>2500</v>
      </c>
      <c r="L768">
        <v>2500</v>
      </c>
    </row>
    <row r="769" spans="1:12" x14ac:dyDescent="0.3">
      <c r="A769">
        <v>10768</v>
      </c>
      <c r="B769" s="2">
        <v>45754</v>
      </c>
      <c r="C769" t="s">
        <v>43</v>
      </c>
      <c r="D769" t="s">
        <v>44</v>
      </c>
      <c r="E769" t="s">
        <v>45</v>
      </c>
      <c r="F769" t="s">
        <v>46</v>
      </c>
      <c r="G769" t="s">
        <v>113</v>
      </c>
      <c r="H769" t="s">
        <v>114</v>
      </c>
      <c r="I769" t="s">
        <v>37</v>
      </c>
      <c r="J769">
        <v>2</v>
      </c>
      <c r="K769">
        <v>52000</v>
      </c>
      <c r="L769">
        <v>104000</v>
      </c>
    </row>
    <row r="770" spans="1:12" x14ac:dyDescent="0.3">
      <c r="A770">
        <v>10769</v>
      </c>
      <c r="B770" s="2">
        <v>45829</v>
      </c>
      <c r="C770" t="s">
        <v>77</v>
      </c>
      <c r="D770" t="s">
        <v>78</v>
      </c>
      <c r="E770" t="s">
        <v>79</v>
      </c>
      <c r="F770" t="s">
        <v>34</v>
      </c>
      <c r="G770" t="s">
        <v>144</v>
      </c>
      <c r="H770" t="s">
        <v>145</v>
      </c>
      <c r="I770" t="s">
        <v>37</v>
      </c>
      <c r="J770">
        <v>1</v>
      </c>
      <c r="K770">
        <v>65000</v>
      </c>
      <c r="L770">
        <v>65000</v>
      </c>
    </row>
    <row r="771" spans="1:12" x14ac:dyDescent="0.3">
      <c r="A771">
        <v>10770</v>
      </c>
      <c r="B771" s="2">
        <v>45989</v>
      </c>
      <c r="C771" t="s">
        <v>133</v>
      </c>
      <c r="D771" t="s">
        <v>134</v>
      </c>
      <c r="E771" t="s">
        <v>33</v>
      </c>
      <c r="F771" t="s">
        <v>34</v>
      </c>
      <c r="G771" t="s">
        <v>22</v>
      </c>
      <c r="H771" t="s">
        <v>23</v>
      </c>
      <c r="I771" t="s">
        <v>24</v>
      </c>
      <c r="J771">
        <v>1</v>
      </c>
      <c r="K771">
        <v>2400</v>
      </c>
      <c r="L771">
        <v>2400</v>
      </c>
    </row>
    <row r="772" spans="1:12" x14ac:dyDescent="0.3">
      <c r="A772">
        <v>10771</v>
      </c>
      <c r="B772" s="2">
        <v>45878</v>
      </c>
      <c r="C772" t="s">
        <v>210</v>
      </c>
      <c r="D772" t="s">
        <v>211</v>
      </c>
      <c r="E772" t="s">
        <v>40</v>
      </c>
      <c r="F772" t="s">
        <v>15</v>
      </c>
      <c r="G772" t="s">
        <v>98</v>
      </c>
      <c r="H772" t="s">
        <v>99</v>
      </c>
      <c r="I772" t="s">
        <v>24</v>
      </c>
      <c r="J772">
        <v>2</v>
      </c>
      <c r="K772">
        <v>2000</v>
      </c>
      <c r="L772">
        <v>4000</v>
      </c>
    </row>
    <row r="773" spans="1:12" x14ac:dyDescent="0.3">
      <c r="A773">
        <v>10772</v>
      </c>
      <c r="B773" s="2">
        <v>45851</v>
      </c>
      <c r="C773" t="s">
        <v>119</v>
      </c>
      <c r="D773" t="s">
        <v>120</v>
      </c>
      <c r="E773" t="s">
        <v>27</v>
      </c>
      <c r="F773" t="s">
        <v>28</v>
      </c>
      <c r="G773" t="s">
        <v>113</v>
      </c>
      <c r="H773" t="s">
        <v>114</v>
      </c>
      <c r="I773" t="s">
        <v>37</v>
      </c>
      <c r="J773">
        <v>3</v>
      </c>
      <c r="K773">
        <v>52000</v>
      </c>
      <c r="L773">
        <v>156000</v>
      </c>
    </row>
    <row r="774" spans="1:12" x14ac:dyDescent="0.3">
      <c r="A774">
        <v>10773</v>
      </c>
      <c r="B774" s="2">
        <v>45878</v>
      </c>
      <c r="C774" t="s">
        <v>38</v>
      </c>
      <c r="D774" t="s">
        <v>39</v>
      </c>
      <c r="E774" t="s">
        <v>40</v>
      </c>
      <c r="F774" t="s">
        <v>15</v>
      </c>
      <c r="G774" t="s">
        <v>70</v>
      </c>
      <c r="H774" t="s">
        <v>71</v>
      </c>
      <c r="I774" t="s">
        <v>37</v>
      </c>
      <c r="J774">
        <v>3</v>
      </c>
      <c r="K774">
        <v>2200</v>
      </c>
      <c r="L774">
        <v>6600</v>
      </c>
    </row>
    <row r="775" spans="1:12" x14ac:dyDescent="0.3">
      <c r="A775">
        <v>10774</v>
      </c>
      <c r="B775" s="2">
        <v>45830</v>
      </c>
      <c r="C775" t="s">
        <v>82</v>
      </c>
      <c r="D775" t="s">
        <v>83</v>
      </c>
      <c r="E775" t="s">
        <v>84</v>
      </c>
      <c r="F775" t="s">
        <v>46</v>
      </c>
      <c r="G775" t="s">
        <v>16</v>
      </c>
      <c r="H775" t="s">
        <v>17</v>
      </c>
      <c r="I775" t="s">
        <v>18</v>
      </c>
      <c r="J775">
        <v>2</v>
      </c>
      <c r="K775">
        <v>11000</v>
      </c>
      <c r="L775">
        <v>22000</v>
      </c>
    </row>
    <row r="776" spans="1:12" x14ac:dyDescent="0.3">
      <c r="A776">
        <v>10775</v>
      </c>
      <c r="B776" s="2">
        <v>45714</v>
      </c>
      <c r="C776" t="s">
        <v>135</v>
      </c>
      <c r="D776" t="s">
        <v>136</v>
      </c>
      <c r="E776" t="s">
        <v>137</v>
      </c>
      <c r="F776" t="s">
        <v>46</v>
      </c>
      <c r="G776" t="s">
        <v>89</v>
      </c>
      <c r="H776" t="s">
        <v>90</v>
      </c>
      <c r="I776" t="s">
        <v>18</v>
      </c>
      <c r="J776">
        <v>1</v>
      </c>
      <c r="K776">
        <v>4200</v>
      </c>
      <c r="L776">
        <v>4200</v>
      </c>
    </row>
    <row r="777" spans="1:12" x14ac:dyDescent="0.3">
      <c r="A777">
        <v>10776</v>
      </c>
      <c r="B777" s="2">
        <v>45989</v>
      </c>
      <c r="C777" t="s">
        <v>115</v>
      </c>
      <c r="D777" t="s">
        <v>116</v>
      </c>
      <c r="E777" t="s">
        <v>33</v>
      </c>
      <c r="F777" t="s">
        <v>34</v>
      </c>
      <c r="G777" t="s">
        <v>109</v>
      </c>
      <c r="H777" t="s">
        <v>110</v>
      </c>
      <c r="I777" t="s">
        <v>18</v>
      </c>
      <c r="J777">
        <v>2</v>
      </c>
      <c r="K777">
        <v>5000</v>
      </c>
      <c r="L777">
        <v>10000</v>
      </c>
    </row>
    <row r="778" spans="1:12" x14ac:dyDescent="0.3">
      <c r="A778">
        <v>10777</v>
      </c>
      <c r="B778" s="2">
        <v>45831</v>
      </c>
      <c r="C778" t="s">
        <v>72</v>
      </c>
      <c r="D778" t="s">
        <v>73</v>
      </c>
      <c r="E778" t="s">
        <v>74</v>
      </c>
      <c r="F778" t="s">
        <v>28</v>
      </c>
      <c r="G778" t="s">
        <v>70</v>
      </c>
      <c r="H778" t="s">
        <v>71</v>
      </c>
      <c r="I778" t="s">
        <v>37</v>
      </c>
      <c r="J778">
        <v>1</v>
      </c>
      <c r="K778">
        <v>2200</v>
      </c>
      <c r="L778">
        <v>2200</v>
      </c>
    </row>
    <row r="779" spans="1:12" x14ac:dyDescent="0.3">
      <c r="A779">
        <v>10778</v>
      </c>
      <c r="B779" s="2">
        <v>45703</v>
      </c>
      <c r="C779" t="s">
        <v>43</v>
      </c>
      <c r="D779" t="s">
        <v>44</v>
      </c>
      <c r="E779" t="s">
        <v>45</v>
      </c>
      <c r="F779" t="s">
        <v>46</v>
      </c>
      <c r="G779" t="s">
        <v>179</v>
      </c>
      <c r="H779" t="s">
        <v>180</v>
      </c>
      <c r="I779" t="s">
        <v>18</v>
      </c>
      <c r="J779">
        <v>2</v>
      </c>
      <c r="K779">
        <v>6500</v>
      </c>
      <c r="L779">
        <v>13000</v>
      </c>
    </row>
    <row r="780" spans="1:12" x14ac:dyDescent="0.3">
      <c r="A780">
        <v>10779</v>
      </c>
      <c r="B780" s="2">
        <v>45982</v>
      </c>
      <c r="C780" t="s">
        <v>146</v>
      </c>
      <c r="D780" t="s">
        <v>147</v>
      </c>
      <c r="E780" t="s">
        <v>64</v>
      </c>
      <c r="F780" t="s">
        <v>46</v>
      </c>
      <c r="G780" t="s">
        <v>35</v>
      </c>
      <c r="H780" t="s">
        <v>36</v>
      </c>
      <c r="I780" t="s">
        <v>37</v>
      </c>
      <c r="J780">
        <v>1</v>
      </c>
      <c r="K780">
        <v>12000</v>
      </c>
      <c r="L780">
        <v>12000</v>
      </c>
    </row>
    <row r="781" spans="1:12" x14ac:dyDescent="0.3">
      <c r="A781">
        <v>10780</v>
      </c>
      <c r="B781" s="2">
        <v>45840</v>
      </c>
      <c r="C781" t="s">
        <v>82</v>
      </c>
      <c r="D781" t="s">
        <v>83</v>
      </c>
      <c r="E781" t="s">
        <v>84</v>
      </c>
      <c r="F781" t="s">
        <v>46</v>
      </c>
      <c r="G781" t="s">
        <v>152</v>
      </c>
      <c r="H781" t="s">
        <v>153</v>
      </c>
      <c r="I781" t="s">
        <v>49</v>
      </c>
      <c r="J781">
        <v>1</v>
      </c>
      <c r="K781">
        <v>3200</v>
      </c>
      <c r="L781">
        <v>3200</v>
      </c>
    </row>
    <row r="782" spans="1:12" x14ac:dyDescent="0.3">
      <c r="A782">
        <v>10781</v>
      </c>
      <c r="B782" s="2">
        <v>45755</v>
      </c>
      <c r="C782" t="s">
        <v>72</v>
      </c>
      <c r="D782" t="s">
        <v>73</v>
      </c>
      <c r="E782" t="s">
        <v>74</v>
      </c>
      <c r="F782" t="s">
        <v>28</v>
      </c>
      <c r="G782" t="s">
        <v>60</v>
      </c>
      <c r="H782" t="s">
        <v>61</v>
      </c>
      <c r="I782" t="s">
        <v>18</v>
      </c>
      <c r="J782">
        <v>1</v>
      </c>
      <c r="K782">
        <v>2200</v>
      </c>
      <c r="L782">
        <v>2200</v>
      </c>
    </row>
    <row r="783" spans="1:12" x14ac:dyDescent="0.3">
      <c r="A783">
        <v>10782</v>
      </c>
      <c r="B783" s="2">
        <v>45936</v>
      </c>
      <c r="C783" t="s">
        <v>25</v>
      </c>
      <c r="D783" t="s">
        <v>26</v>
      </c>
      <c r="E783" t="s">
        <v>27</v>
      </c>
      <c r="F783" t="s">
        <v>28</v>
      </c>
      <c r="G783" t="s">
        <v>177</v>
      </c>
      <c r="H783" t="s">
        <v>178</v>
      </c>
      <c r="I783" t="s">
        <v>37</v>
      </c>
      <c r="J783">
        <v>2</v>
      </c>
      <c r="K783">
        <v>2500</v>
      </c>
      <c r="L783">
        <v>5000</v>
      </c>
    </row>
    <row r="784" spans="1:12" x14ac:dyDescent="0.3">
      <c r="A784">
        <v>10783</v>
      </c>
      <c r="B784" s="2">
        <v>45912</v>
      </c>
      <c r="C784" t="s">
        <v>191</v>
      </c>
      <c r="D784" t="s">
        <v>192</v>
      </c>
      <c r="E784" t="s">
        <v>27</v>
      </c>
      <c r="F784" t="s">
        <v>28</v>
      </c>
      <c r="G784" t="s">
        <v>167</v>
      </c>
      <c r="H784" t="s">
        <v>168</v>
      </c>
      <c r="I784" t="s">
        <v>49</v>
      </c>
      <c r="J784">
        <v>1</v>
      </c>
      <c r="K784">
        <v>3800</v>
      </c>
      <c r="L784">
        <v>3800</v>
      </c>
    </row>
    <row r="785" spans="1:12" x14ac:dyDescent="0.3">
      <c r="A785">
        <v>10784</v>
      </c>
      <c r="B785" s="2">
        <v>46009</v>
      </c>
      <c r="C785" t="s">
        <v>183</v>
      </c>
      <c r="D785" t="s">
        <v>184</v>
      </c>
      <c r="E785" t="s">
        <v>27</v>
      </c>
      <c r="F785" t="s">
        <v>28</v>
      </c>
      <c r="G785" t="s">
        <v>179</v>
      </c>
      <c r="H785" t="s">
        <v>180</v>
      </c>
      <c r="I785" t="s">
        <v>18</v>
      </c>
      <c r="J785">
        <v>1</v>
      </c>
      <c r="K785">
        <v>6500</v>
      </c>
      <c r="L785">
        <v>6500</v>
      </c>
    </row>
    <row r="786" spans="1:12" x14ac:dyDescent="0.3">
      <c r="A786">
        <v>10785</v>
      </c>
      <c r="B786" s="2">
        <v>46017</v>
      </c>
      <c r="C786" t="s">
        <v>67</v>
      </c>
      <c r="D786" t="s">
        <v>68</v>
      </c>
      <c r="E786" t="s">
        <v>69</v>
      </c>
      <c r="F786" t="s">
        <v>28</v>
      </c>
      <c r="G786" t="s">
        <v>29</v>
      </c>
      <c r="H786" t="s">
        <v>30</v>
      </c>
      <c r="I786" t="s">
        <v>18</v>
      </c>
      <c r="J786">
        <v>1</v>
      </c>
      <c r="K786">
        <v>15000</v>
      </c>
      <c r="L786">
        <v>15000</v>
      </c>
    </row>
    <row r="787" spans="1:12" x14ac:dyDescent="0.3">
      <c r="A787">
        <v>10786</v>
      </c>
      <c r="B787" s="2">
        <v>45735</v>
      </c>
      <c r="C787" t="s">
        <v>117</v>
      </c>
      <c r="D787" t="s">
        <v>118</v>
      </c>
      <c r="E787" t="s">
        <v>95</v>
      </c>
      <c r="F787" t="s">
        <v>15</v>
      </c>
      <c r="G787" t="s">
        <v>35</v>
      </c>
      <c r="H787" t="s">
        <v>36</v>
      </c>
      <c r="I787" t="s">
        <v>37</v>
      </c>
      <c r="J787">
        <v>2</v>
      </c>
      <c r="K787">
        <v>12000</v>
      </c>
      <c r="L787">
        <v>24000</v>
      </c>
    </row>
    <row r="788" spans="1:12" x14ac:dyDescent="0.3">
      <c r="A788">
        <v>10787</v>
      </c>
      <c r="B788" s="2">
        <v>46005</v>
      </c>
      <c r="C788" t="s">
        <v>43</v>
      </c>
      <c r="D788" t="s">
        <v>44</v>
      </c>
      <c r="E788" t="s">
        <v>45</v>
      </c>
      <c r="F788" t="s">
        <v>46</v>
      </c>
      <c r="G788" t="s">
        <v>70</v>
      </c>
      <c r="H788" t="s">
        <v>71</v>
      </c>
      <c r="I788" t="s">
        <v>37</v>
      </c>
      <c r="J788">
        <v>1</v>
      </c>
      <c r="K788">
        <v>2200</v>
      </c>
      <c r="L788">
        <v>2200</v>
      </c>
    </row>
    <row r="789" spans="1:12" x14ac:dyDescent="0.3">
      <c r="A789">
        <v>10788</v>
      </c>
      <c r="B789" s="2">
        <v>45982</v>
      </c>
      <c r="C789" t="s">
        <v>58</v>
      </c>
      <c r="D789" t="s">
        <v>59</v>
      </c>
      <c r="E789" t="s">
        <v>21</v>
      </c>
      <c r="F789" t="s">
        <v>15</v>
      </c>
      <c r="G789" t="s">
        <v>60</v>
      </c>
      <c r="H789" t="s">
        <v>61</v>
      </c>
      <c r="I789" t="s">
        <v>18</v>
      </c>
      <c r="J789">
        <v>1</v>
      </c>
      <c r="K789">
        <v>2200</v>
      </c>
      <c r="L789">
        <v>2200</v>
      </c>
    </row>
    <row r="790" spans="1:12" x14ac:dyDescent="0.3">
      <c r="A790">
        <v>10789</v>
      </c>
      <c r="B790" s="2">
        <v>45744</v>
      </c>
      <c r="C790" t="s">
        <v>105</v>
      </c>
      <c r="D790" t="s">
        <v>106</v>
      </c>
      <c r="E790" t="s">
        <v>45</v>
      </c>
      <c r="F790" t="s">
        <v>46</v>
      </c>
      <c r="G790" t="s">
        <v>22</v>
      </c>
      <c r="H790" t="s">
        <v>23</v>
      </c>
      <c r="I790" t="s">
        <v>24</v>
      </c>
      <c r="J790">
        <v>1</v>
      </c>
      <c r="K790">
        <v>2400</v>
      </c>
      <c r="L790">
        <v>2400</v>
      </c>
    </row>
    <row r="791" spans="1:12" x14ac:dyDescent="0.3">
      <c r="A791">
        <v>10790</v>
      </c>
      <c r="B791" s="2">
        <v>45908</v>
      </c>
      <c r="C791" t="s">
        <v>12</v>
      </c>
      <c r="D791" t="s">
        <v>13</v>
      </c>
      <c r="E791" t="s">
        <v>14</v>
      </c>
      <c r="F791" t="s">
        <v>15</v>
      </c>
      <c r="G791" t="s">
        <v>56</v>
      </c>
      <c r="H791" t="s">
        <v>57</v>
      </c>
      <c r="I791" t="s">
        <v>18</v>
      </c>
      <c r="J791">
        <v>2</v>
      </c>
      <c r="K791">
        <v>9000</v>
      </c>
      <c r="L791">
        <v>18000</v>
      </c>
    </row>
    <row r="792" spans="1:12" x14ac:dyDescent="0.3">
      <c r="A792">
        <v>10791</v>
      </c>
      <c r="B792" s="2">
        <v>46003</v>
      </c>
      <c r="C792" t="s">
        <v>50</v>
      </c>
      <c r="D792" t="s">
        <v>51</v>
      </c>
      <c r="E792" t="s">
        <v>14</v>
      </c>
      <c r="F792" t="s">
        <v>15</v>
      </c>
      <c r="G792" t="s">
        <v>125</v>
      </c>
      <c r="H792" t="s">
        <v>126</v>
      </c>
      <c r="I792" t="s">
        <v>37</v>
      </c>
      <c r="J792">
        <v>2</v>
      </c>
      <c r="K792">
        <v>22000</v>
      </c>
      <c r="L792">
        <v>44000</v>
      </c>
    </row>
    <row r="793" spans="1:12" x14ac:dyDescent="0.3">
      <c r="A793">
        <v>10792</v>
      </c>
      <c r="B793" s="2">
        <v>45754</v>
      </c>
      <c r="C793" t="s">
        <v>80</v>
      </c>
      <c r="D793" t="s">
        <v>81</v>
      </c>
      <c r="E793" t="s">
        <v>79</v>
      </c>
      <c r="F793" t="s">
        <v>34</v>
      </c>
      <c r="G793" t="s">
        <v>177</v>
      </c>
      <c r="H793" t="s">
        <v>178</v>
      </c>
      <c r="I793" t="s">
        <v>37</v>
      </c>
      <c r="J793">
        <v>2</v>
      </c>
      <c r="K793">
        <v>2500</v>
      </c>
      <c r="L793">
        <v>5000</v>
      </c>
    </row>
    <row r="794" spans="1:12" x14ac:dyDescent="0.3">
      <c r="A794">
        <v>10793</v>
      </c>
      <c r="B794" s="2">
        <v>45974</v>
      </c>
      <c r="C794" t="s">
        <v>31</v>
      </c>
      <c r="D794" t="s">
        <v>32</v>
      </c>
      <c r="E794" t="s">
        <v>33</v>
      </c>
      <c r="F794" t="s">
        <v>34</v>
      </c>
      <c r="G794" t="s">
        <v>56</v>
      </c>
      <c r="H794" t="s">
        <v>57</v>
      </c>
      <c r="I794" t="s">
        <v>18</v>
      </c>
      <c r="J794">
        <v>1</v>
      </c>
      <c r="K794">
        <v>9000</v>
      </c>
      <c r="L794">
        <v>9000</v>
      </c>
    </row>
    <row r="795" spans="1:12" x14ac:dyDescent="0.3">
      <c r="A795">
        <v>10794</v>
      </c>
      <c r="B795" s="2">
        <v>45851</v>
      </c>
      <c r="C795" t="s">
        <v>210</v>
      </c>
      <c r="D795" t="s">
        <v>211</v>
      </c>
      <c r="E795" t="s">
        <v>40</v>
      </c>
      <c r="F795" t="s">
        <v>15</v>
      </c>
      <c r="G795" t="s">
        <v>125</v>
      </c>
      <c r="H795" t="s">
        <v>126</v>
      </c>
      <c r="I795" t="s">
        <v>37</v>
      </c>
      <c r="J795">
        <v>2</v>
      </c>
      <c r="K795">
        <v>22000</v>
      </c>
      <c r="L795">
        <v>44000</v>
      </c>
    </row>
    <row r="796" spans="1:12" x14ac:dyDescent="0.3">
      <c r="A796">
        <v>10795</v>
      </c>
      <c r="B796" s="2">
        <v>45832</v>
      </c>
      <c r="C796" t="s">
        <v>191</v>
      </c>
      <c r="D796" t="s">
        <v>192</v>
      </c>
      <c r="E796" t="s">
        <v>27</v>
      </c>
      <c r="F796" t="s">
        <v>28</v>
      </c>
      <c r="G796" t="s">
        <v>113</v>
      </c>
      <c r="H796" t="s">
        <v>114</v>
      </c>
      <c r="I796" t="s">
        <v>37</v>
      </c>
      <c r="J796">
        <v>1</v>
      </c>
      <c r="K796">
        <v>52000</v>
      </c>
      <c r="L796">
        <v>52000</v>
      </c>
    </row>
    <row r="797" spans="1:12" x14ac:dyDescent="0.3">
      <c r="A797">
        <v>10796</v>
      </c>
      <c r="B797" s="2">
        <v>45663</v>
      </c>
      <c r="C797" t="s">
        <v>171</v>
      </c>
      <c r="D797" t="s">
        <v>172</v>
      </c>
      <c r="E797" t="s">
        <v>45</v>
      </c>
      <c r="F797" t="s">
        <v>46</v>
      </c>
      <c r="G797" t="s">
        <v>29</v>
      </c>
      <c r="H797" t="s">
        <v>30</v>
      </c>
      <c r="I797" t="s">
        <v>18</v>
      </c>
      <c r="J797">
        <v>2</v>
      </c>
      <c r="K797">
        <v>15000</v>
      </c>
      <c r="L797">
        <v>30000</v>
      </c>
    </row>
    <row r="798" spans="1:12" x14ac:dyDescent="0.3">
      <c r="A798">
        <v>10797</v>
      </c>
      <c r="B798" s="2">
        <v>45730</v>
      </c>
      <c r="C798" t="s">
        <v>175</v>
      </c>
      <c r="D798" t="s">
        <v>176</v>
      </c>
      <c r="E798" t="s">
        <v>84</v>
      </c>
      <c r="F798" t="s">
        <v>46</v>
      </c>
      <c r="G798" t="s">
        <v>167</v>
      </c>
      <c r="H798" t="s">
        <v>168</v>
      </c>
      <c r="I798" t="s">
        <v>49</v>
      </c>
      <c r="J798">
        <v>1</v>
      </c>
      <c r="K798">
        <v>3800</v>
      </c>
      <c r="L798">
        <v>3800</v>
      </c>
    </row>
    <row r="799" spans="1:12" x14ac:dyDescent="0.3">
      <c r="A799">
        <v>10798</v>
      </c>
      <c r="B799" s="2">
        <v>45796</v>
      </c>
      <c r="C799" t="s">
        <v>199</v>
      </c>
      <c r="D799" t="s">
        <v>200</v>
      </c>
      <c r="E799" t="s">
        <v>201</v>
      </c>
      <c r="F799" t="s">
        <v>28</v>
      </c>
      <c r="G799" t="s">
        <v>125</v>
      </c>
      <c r="H799" t="s">
        <v>126</v>
      </c>
      <c r="I799" t="s">
        <v>37</v>
      </c>
      <c r="J799">
        <v>3</v>
      </c>
      <c r="K799">
        <v>22000</v>
      </c>
      <c r="L799">
        <v>66000</v>
      </c>
    </row>
    <row r="800" spans="1:12" x14ac:dyDescent="0.3">
      <c r="A800">
        <v>10799</v>
      </c>
      <c r="B800" s="2">
        <v>45801</v>
      </c>
      <c r="C800" t="s">
        <v>210</v>
      </c>
      <c r="D800" t="s">
        <v>211</v>
      </c>
      <c r="E800" t="s">
        <v>40</v>
      </c>
      <c r="F800" t="s">
        <v>15</v>
      </c>
      <c r="G800" t="s">
        <v>41</v>
      </c>
      <c r="H800" t="s">
        <v>42</v>
      </c>
      <c r="I800" t="s">
        <v>37</v>
      </c>
      <c r="J800">
        <v>3</v>
      </c>
      <c r="K800">
        <v>30000</v>
      </c>
      <c r="L800">
        <v>90000</v>
      </c>
    </row>
    <row r="801" spans="1:12" x14ac:dyDescent="0.3">
      <c r="A801">
        <v>10800</v>
      </c>
      <c r="B801" s="2">
        <v>46008</v>
      </c>
      <c r="C801" t="s">
        <v>191</v>
      </c>
      <c r="D801" t="s">
        <v>192</v>
      </c>
      <c r="E801" t="s">
        <v>27</v>
      </c>
      <c r="F801" t="s">
        <v>28</v>
      </c>
      <c r="G801" t="s">
        <v>75</v>
      </c>
      <c r="H801" t="s">
        <v>76</v>
      </c>
      <c r="I801" t="s">
        <v>49</v>
      </c>
      <c r="J801">
        <v>3</v>
      </c>
      <c r="K801">
        <v>3000</v>
      </c>
      <c r="L801">
        <v>9000</v>
      </c>
    </row>
    <row r="802" spans="1:12" x14ac:dyDescent="0.3">
      <c r="A802">
        <v>10801</v>
      </c>
      <c r="B802" s="2">
        <v>46003</v>
      </c>
      <c r="C802" t="s">
        <v>204</v>
      </c>
      <c r="D802" t="s">
        <v>205</v>
      </c>
      <c r="E802" t="s">
        <v>201</v>
      </c>
      <c r="F802" t="s">
        <v>28</v>
      </c>
      <c r="G802" t="s">
        <v>29</v>
      </c>
      <c r="H802" t="s">
        <v>30</v>
      </c>
      <c r="I802" t="s">
        <v>18</v>
      </c>
      <c r="J802">
        <v>3</v>
      </c>
      <c r="K802">
        <v>15000</v>
      </c>
      <c r="L802">
        <v>45000</v>
      </c>
    </row>
    <row r="803" spans="1:12" x14ac:dyDescent="0.3">
      <c r="A803">
        <v>10802</v>
      </c>
      <c r="B803" s="2">
        <v>45831</v>
      </c>
      <c r="C803" t="s">
        <v>50</v>
      </c>
      <c r="D803" t="s">
        <v>51</v>
      </c>
      <c r="E803" t="s">
        <v>14</v>
      </c>
      <c r="F803" t="s">
        <v>15</v>
      </c>
      <c r="G803" t="s">
        <v>29</v>
      </c>
      <c r="H803" t="s">
        <v>30</v>
      </c>
      <c r="I803" t="s">
        <v>18</v>
      </c>
      <c r="J803">
        <v>4</v>
      </c>
      <c r="K803">
        <v>15000</v>
      </c>
      <c r="L803">
        <v>60000</v>
      </c>
    </row>
    <row r="804" spans="1:12" x14ac:dyDescent="0.3">
      <c r="A804">
        <v>10803</v>
      </c>
      <c r="B804" s="2">
        <v>45674</v>
      </c>
      <c r="C804" t="s">
        <v>80</v>
      </c>
      <c r="D804" t="s">
        <v>81</v>
      </c>
      <c r="E804" t="s">
        <v>79</v>
      </c>
      <c r="F804" t="s">
        <v>34</v>
      </c>
      <c r="G804" t="s">
        <v>109</v>
      </c>
      <c r="H804" t="s">
        <v>110</v>
      </c>
      <c r="I804" t="s">
        <v>18</v>
      </c>
      <c r="J804">
        <v>1</v>
      </c>
      <c r="K804">
        <v>5000</v>
      </c>
      <c r="L804">
        <v>5000</v>
      </c>
    </row>
    <row r="805" spans="1:12" x14ac:dyDescent="0.3">
      <c r="A805">
        <v>10804</v>
      </c>
      <c r="B805" s="2">
        <v>45823</v>
      </c>
      <c r="C805" t="s">
        <v>105</v>
      </c>
      <c r="D805" t="s">
        <v>106</v>
      </c>
      <c r="E805" t="s">
        <v>45</v>
      </c>
      <c r="F805" t="s">
        <v>46</v>
      </c>
      <c r="G805" t="s">
        <v>60</v>
      </c>
      <c r="H805" t="s">
        <v>61</v>
      </c>
      <c r="I805" t="s">
        <v>18</v>
      </c>
      <c r="J805">
        <v>3</v>
      </c>
      <c r="K805">
        <v>2200</v>
      </c>
      <c r="L805">
        <v>6600</v>
      </c>
    </row>
    <row r="806" spans="1:12" x14ac:dyDescent="0.3">
      <c r="A806">
        <v>10805</v>
      </c>
      <c r="B806" s="2">
        <v>45731</v>
      </c>
      <c r="C806" t="s">
        <v>91</v>
      </c>
      <c r="D806" t="s">
        <v>92</v>
      </c>
      <c r="E806" t="s">
        <v>40</v>
      </c>
      <c r="F806" t="s">
        <v>15</v>
      </c>
      <c r="G806" t="s">
        <v>96</v>
      </c>
      <c r="H806" t="s">
        <v>97</v>
      </c>
      <c r="I806" t="s">
        <v>37</v>
      </c>
      <c r="J806">
        <v>1</v>
      </c>
      <c r="K806">
        <v>18000</v>
      </c>
      <c r="L806">
        <v>18000</v>
      </c>
    </row>
    <row r="807" spans="1:12" x14ac:dyDescent="0.3">
      <c r="A807">
        <v>10806</v>
      </c>
      <c r="B807" s="2">
        <v>45709</v>
      </c>
      <c r="C807" t="s">
        <v>123</v>
      </c>
      <c r="D807" t="s">
        <v>124</v>
      </c>
      <c r="E807" t="s">
        <v>69</v>
      </c>
      <c r="F807" t="s">
        <v>28</v>
      </c>
      <c r="G807" t="s">
        <v>60</v>
      </c>
      <c r="H807" t="s">
        <v>61</v>
      </c>
      <c r="I807" t="s">
        <v>18</v>
      </c>
      <c r="J807">
        <v>1</v>
      </c>
      <c r="K807">
        <v>2200</v>
      </c>
      <c r="L807">
        <v>2200</v>
      </c>
    </row>
    <row r="808" spans="1:12" x14ac:dyDescent="0.3">
      <c r="A808">
        <v>10807</v>
      </c>
      <c r="B808" s="2">
        <v>45951</v>
      </c>
      <c r="C808" t="s">
        <v>107</v>
      </c>
      <c r="D808" t="s">
        <v>108</v>
      </c>
      <c r="E808" t="s">
        <v>74</v>
      </c>
      <c r="F808" t="s">
        <v>28</v>
      </c>
      <c r="G808" t="s">
        <v>177</v>
      </c>
      <c r="H808" t="s">
        <v>178</v>
      </c>
      <c r="I808" t="s">
        <v>37</v>
      </c>
      <c r="J808">
        <v>1</v>
      </c>
      <c r="K808">
        <v>2500</v>
      </c>
      <c r="L808">
        <v>2500</v>
      </c>
    </row>
    <row r="809" spans="1:12" x14ac:dyDescent="0.3">
      <c r="A809">
        <v>10808</v>
      </c>
      <c r="B809" s="2">
        <v>45961</v>
      </c>
      <c r="C809" t="s">
        <v>206</v>
      </c>
      <c r="D809" t="s">
        <v>207</v>
      </c>
      <c r="E809" t="s">
        <v>160</v>
      </c>
      <c r="F809" t="s">
        <v>34</v>
      </c>
      <c r="G809" t="s">
        <v>131</v>
      </c>
      <c r="H809" t="s">
        <v>132</v>
      </c>
      <c r="I809" t="s">
        <v>37</v>
      </c>
      <c r="J809">
        <v>2</v>
      </c>
      <c r="K809">
        <v>4500</v>
      </c>
      <c r="L809">
        <v>9000</v>
      </c>
    </row>
    <row r="810" spans="1:12" x14ac:dyDescent="0.3">
      <c r="A810">
        <v>10809</v>
      </c>
      <c r="B810" s="2">
        <v>45697</v>
      </c>
      <c r="C810" t="s">
        <v>80</v>
      </c>
      <c r="D810" t="s">
        <v>81</v>
      </c>
      <c r="E810" t="s">
        <v>79</v>
      </c>
      <c r="F810" t="s">
        <v>34</v>
      </c>
      <c r="G810" t="s">
        <v>129</v>
      </c>
      <c r="H810" t="s">
        <v>130</v>
      </c>
      <c r="I810" t="s">
        <v>24</v>
      </c>
      <c r="J810">
        <v>1</v>
      </c>
      <c r="K810">
        <v>1400</v>
      </c>
      <c r="L810">
        <v>1400</v>
      </c>
    </row>
    <row r="811" spans="1:12" x14ac:dyDescent="0.3">
      <c r="A811">
        <v>10810</v>
      </c>
      <c r="B811" s="2">
        <v>45946</v>
      </c>
      <c r="C811" t="s">
        <v>238</v>
      </c>
      <c r="D811" t="s">
        <v>239</v>
      </c>
      <c r="E811" t="s">
        <v>137</v>
      </c>
      <c r="F811" t="s">
        <v>46</v>
      </c>
      <c r="G811" t="s">
        <v>52</v>
      </c>
      <c r="H811" t="s">
        <v>53</v>
      </c>
      <c r="I811" t="s">
        <v>24</v>
      </c>
      <c r="J811">
        <v>2</v>
      </c>
      <c r="K811">
        <v>3500</v>
      </c>
      <c r="L811">
        <v>7000</v>
      </c>
    </row>
    <row r="812" spans="1:12" x14ac:dyDescent="0.3">
      <c r="A812">
        <v>10811</v>
      </c>
      <c r="B812" s="2">
        <v>45777</v>
      </c>
      <c r="C812" t="s">
        <v>206</v>
      </c>
      <c r="D812" t="s">
        <v>207</v>
      </c>
      <c r="E812" t="s">
        <v>160</v>
      </c>
      <c r="F812" t="s">
        <v>34</v>
      </c>
      <c r="G812" t="s">
        <v>60</v>
      </c>
      <c r="H812" t="s">
        <v>61</v>
      </c>
      <c r="I812" t="s">
        <v>18</v>
      </c>
      <c r="J812">
        <v>1</v>
      </c>
      <c r="K812">
        <v>2200</v>
      </c>
      <c r="L812">
        <v>2200</v>
      </c>
    </row>
    <row r="813" spans="1:12" x14ac:dyDescent="0.3">
      <c r="A813">
        <v>10812</v>
      </c>
      <c r="B813" s="2">
        <v>45936</v>
      </c>
      <c r="C813" t="s">
        <v>222</v>
      </c>
      <c r="D813" t="s">
        <v>223</v>
      </c>
      <c r="E813" t="s">
        <v>21</v>
      </c>
      <c r="F813" t="s">
        <v>15</v>
      </c>
      <c r="G813" t="s">
        <v>65</v>
      </c>
      <c r="H813" t="s">
        <v>66</v>
      </c>
      <c r="I813" t="s">
        <v>49</v>
      </c>
      <c r="J813">
        <v>3</v>
      </c>
      <c r="K813">
        <v>2400</v>
      </c>
      <c r="L813">
        <v>7200</v>
      </c>
    </row>
    <row r="814" spans="1:12" x14ac:dyDescent="0.3">
      <c r="A814">
        <v>10813</v>
      </c>
      <c r="B814" s="2">
        <v>45895</v>
      </c>
      <c r="C814" t="s">
        <v>146</v>
      </c>
      <c r="D814" t="s">
        <v>147</v>
      </c>
      <c r="E814" t="s">
        <v>64</v>
      </c>
      <c r="F814" t="s">
        <v>46</v>
      </c>
      <c r="G814" t="s">
        <v>131</v>
      </c>
      <c r="H814" t="s">
        <v>132</v>
      </c>
      <c r="I814" t="s">
        <v>37</v>
      </c>
      <c r="J814">
        <v>1</v>
      </c>
      <c r="K814">
        <v>4500</v>
      </c>
      <c r="L814">
        <v>4500</v>
      </c>
    </row>
    <row r="815" spans="1:12" x14ac:dyDescent="0.3">
      <c r="A815">
        <v>10814</v>
      </c>
      <c r="B815" s="2">
        <v>45817</v>
      </c>
      <c r="C815" t="s">
        <v>117</v>
      </c>
      <c r="D815" t="s">
        <v>118</v>
      </c>
      <c r="E815" t="s">
        <v>95</v>
      </c>
      <c r="F815" t="s">
        <v>15</v>
      </c>
      <c r="G815" t="s">
        <v>29</v>
      </c>
      <c r="H815" t="s">
        <v>30</v>
      </c>
      <c r="I815" t="s">
        <v>18</v>
      </c>
      <c r="J815">
        <v>1</v>
      </c>
      <c r="K815">
        <v>15000</v>
      </c>
      <c r="L815">
        <v>15000</v>
      </c>
    </row>
    <row r="816" spans="1:12" x14ac:dyDescent="0.3">
      <c r="A816">
        <v>10815</v>
      </c>
      <c r="B816" s="2">
        <v>45928</v>
      </c>
      <c r="C816" t="s">
        <v>133</v>
      </c>
      <c r="D816" t="s">
        <v>134</v>
      </c>
      <c r="E816" t="s">
        <v>33</v>
      </c>
      <c r="F816" t="s">
        <v>34</v>
      </c>
      <c r="G816" t="s">
        <v>167</v>
      </c>
      <c r="H816" t="s">
        <v>168</v>
      </c>
      <c r="I816" t="s">
        <v>49</v>
      </c>
      <c r="J816">
        <v>1</v>
      </c>
      <c r="K816">
        <v>3800</v>
      </c>
      <c r="L816">
        <v>3800</v>
      </c>
    </row>
    <row r="817" spans="1:12" x14ac:dyDescent="0.3">
      <c r="A817">
        <v>10816</v>
      </c>
      <c r="B817" s="2">
        <v>45728</v>
      </c>
      <c r="C817" t="s">
        <v>91</v>
      </c>
      <c r="D817" t="s">
        <v>92</v>
      </c>
      <c r="E817" t="s">
        <v>40</v>
      </c>
      <c r="F817" t="s">
        <v>15</v>
      </c>
      <c r="G817" t="s">
        <v>121</v>
      </c>
      <c r="H817" t="s">
        <v>122</v>
      </c>
      <c r="I817" t="s">
        <v>49</v>
      </c>
      <c r="J817">
        <v>1</v>
      </c>
      <c r="K817">
        <v>4800</v>
      </c>
      <c r="L817">
        <v>4800</v>
      </c>
    </row>
    <row r="818" spans="1:12" x14ac:dyDescent="0.3">
      <c r="A818">
        <v>10817</v>
      </c>
      <c r="B818" s="2">
        <v>45973</v>
      </c>
      <c r="C818" t="s">
        <v>212</v>
      </c>
      <c r="D818" t="s">
        <v>213</v>
      </c>
      <c r="E818" t="s">
        <v>69</v>
      </c>
      <c r="F818" t="s">
        <v>28</v>
      </c>
      <c r="G818" t="s">
        <v>96</v>
      </c>
      <c r="H818" t="s">
        <v>97</v>
      </c>
      <c r="I818" t="s">
        <v>37</v>
      </c>
      <c r="J818">
        <v>1</v>
      </c>
      <c r="K818">
        <v>18000</v>
      </c>
      <c r="L818">
        <v>18000</v>
      </c>
    </row>
    <row r="819" spans="1:12" x14ac:dyDescent="0.3">
      <c r="A819">
        <v>10818</v>
      </c>
      <c r="B819" s="2">
        <v>45664</v>
      </c>
      <c r="C819" t="s">
        <v>80</v>
      </c>
      <c r="D819" t="s">
        <v>81</v>
      </c>
      <c r="E819" t="s">
        <v>79</v>
      </c>
      <c r="F819" t="s">
        <v>34</v>
      </c>
      <c r="G819" t="s">
        <v>41</v>
      </c>
      <c r="H819" t="s">
        <v>42</v>
      </c>
      <c r="I819" t="s">
        <v>37</v>
      </c>
      <c r="J819">
        <v>1</v>
      </c>
      <c r="K819">
        <v>30000</v>
      </c>
      <c r="L819">
        <v>30000</v>
      </c>
    </row>
    <row r="820" spans="1:12" x14ac:dyDescent="0.3">
      <c r="A820">
        <v>10819</v>
      </c>
      <c r="B820" s="2">
        <v>45949</v>
      </c>
      <c r="C820" t="s">
        <v>133</v>
      </c>
      <c r="D820" t="s">
        <v>134</v>
      </c>
      <c r="E820" t="s">
        <v>33</v>
      </c>
      <c r="F820" t="s">
        <v>34</v>
      </c>
      <c r="G820" t="s">
        <v>75</v>
      </c>
      <c r="H820" t="s">
        <v>76</v>
      </c>
      <c r="I820" t="s">
        <v>49</v>
      </c>
      <c r="J820">
        <v>1</v>
      </c>
      <c r="K820">
        <v>3000</v>
      </c>
      <c r="L820">
        <v>3000</v>
      </c>
    </row>
    <row r="821" spans="1:12" x14ac:dyDescent="0.3">
      <c r="A821">
        <v>10820</v>
      </c>
      <c r="B821" s="2">
        <v>45791</v>
      </c>
      <c r="C821" t="s">
        <v>87</v>
      </c>
      <c r="D821" t="s">
        <v>88</v>
      </c>
      <c r="E821" t="s">
        <v>64</v>
      </c>
      <c r="F821" t="s">
        <v>46</v>
      </c>
      <c r="G821" t="s">
        <v>163</v>
      </c>
      <c r="H821" t="s">
        <v>164</v>
      </c>
      <c r="I821" t="s">
        <v>49</v>
      </c>
      <c r="J821">
        <v>2</v>
      </c>
      <c r="K821">
        <v>4200</v>
      </c>
      <c r="L821">
        <v>8400</v>
      </c>
    </row>
    <row r="822" spans="1:12" x14ac:dyDescent="0.3">
      <c r="A822">
        <v>10821</v>
      </c>
      <c r="B822" s="2">
        <v>45992</v>
      </c>
      <c r="C822" t="s">
        <v>133</v>
      </c>
      <c r="D822" t="s">
        <v>134</v>
      </c>
      <c r="E822" t="s">
        <v>33</v>
      </c>
      <c r="F822" t="s">
        <v>34</v>
      </c>
      <c r="G822" t="s">
        <v>96</v>
      </c>
      <c r="H822" t="s">
        <v>97</v>
      </c>
      <c r="I822" t="s">
        <v>37</v>
      </c>
      <c r="J822">
        <v>2</v>
      </c>
      <c r="K822">
        <v>18000</v>
      </c>
      <c r="L822">
        <v>36000</v>
      </c>
    </row>
    <row r="823" spans="1:12" x14ac:dyDescent="0.3">
      <c r="A823">
        <v>10822</v>
      </c>
      <c r="B823" s="2">
        <v>45945</v>
      </c>
      <c r="C823" t="s">
        <v>105</v>
      </c>
      <c r="D823" t="s">
        <v>106</v>
      </c>
      <c r="E823" t="s">
        <v>45</v>
      </c>
      <c r="F823" t="s">
        <v>46</v>
      </c>
      <c r="G823" t="s">
        <v>41</v>
      </c>
      <c r="H823" t="s">
        <v>42</v>
      </c>
      <c r="I823" t="s">
        <v>37</v>
      </c>
      <c r="J823">
        <v>1</v>
      </c>
      <c r="K823">
        <v>30000</v>
      </c>
      <c r="L823">
        <v>30000</v>
      </c>
    </row>
    <row r="824" spans="1:12" x14ac:dyDescent="0.3">
      <c r="A824">
        <v>10823</v>
      </c>
      <c r="B824" s="2">
        <v>45802</v>
      </c>
      <c r="C824" t="s">
        <v>146</v>
      </c>
      <c r="D824" t="s">
        <v>147</v>
      </c>
      <c r="E824" t="s">
        <v>64</v>
      </c>
      <c r="F824" t="s">
        <v>46</v>
      </c>
      <c r="G824" t="s">
        <v>16</v>
      </c>
      <c r="H824" t="s">
        <v>17</v>
      </c>
      <c r="I824" t="s">
        <v>18</v>
      </c>
      <c r="J824">
        <v>1</v>
      </c>
      <c r="K824">
        <v>11000</v>
      </c>
      <c r="L824">
        <v>11000</v>
      </c>
    </row>
    <row r="825" spans="1:12" x14ac:dyDescent="0.3">
      <c r="A825">
        <v>10824</v>
      </c>
      <c r="B825" s="2">
        <v>45855</v>
      </c>
      <c r="C825" t="s">
        <v>117</v>
      </c>
      <c r="D825" t="s">
        <v>118</v>
      </c>
      <c r="E825" t="s">
        <v>95</v>
      </c>
      <c r="F825" t="s">
        <v>15</v>
      </c>
      <c r="G825" t="s">
        <v>52</v>
      </c>
      <c r="H825" t="s">
        <v>53</v>
      </c>
      <c r="I825" t="s">
        <v>24</v>
      </c>
      <c r="J825">
        <v>1</v>
      </c>
      <c r="K825">
        <v>3500</v>
      </c>
      <c r="L825">
        <v>3500</v>
      </c>
    </row>
    <row r="826" spans="1:12" x14ac:dyDescent="0.3">
      <c r="A826">
        <v>10825</v>
      </c>
      <c r="B826" s="2">
        <v>45957</v>
      </c>
      <c r="C826" t="s">
        <v>117</v>
      </c>
      <c r="D826" t="s">
        <v>118</v>
      </c>
      <c r="E826" t="s">
        <v>95</v>
      </c>
      <c r="F826" t="s">
        <v>15</v>
      </c>
      <c r="G826" t="s">
        <v>113</v>
      </c>
      <c r="H826" t="s">
        <v>114</v>
      </c>
      <c r="I826" t="s">
        <v>37</v>
      </c>
      <c r="J826">
        <v>1</v>
      </c>
      <c r="K826">
        <v>52000</v>
      </c>
      <c r="L826">
        <v>52000</v>
      </c>
    </row>
    <row r="827" spans="1:12" x14ac:dyDescent="0.3">
      <c r="A827">
        <v>10826</v>
      </c>
      <c r="B827" s="2">
        <v>45918</v>
      </c>
      <c r="C827" t="s">
        <v>72</v>
      </c>
      <c r="D827" t="s">
        <v>73</v>
      </c>
      <c r="E827" t="s">
        <v>74</v>
      </c>
      <c r="F827" t="s">
        <v>28</v>
      </c>
      <c r="G827" t="s">
        <v>75</v>
      </c>
      <c r="H827" t="s">
        <v>76</v>
      </c>
      <c r="I827" t="s">
        <v>49</v>
      </c>
      <c r="J827">
        <v>2</v>
      </c>
      <c r="K827">
        <v>3000</v>
      </c>
      <c r="L827">
        <v>6000</v>
      </c>
    </row>
    <row r="828" spans="1:12" x14ac:dyDescent="0.3">
      <c r="A828">
        <v>10827</v>
      </c>
      <c r="B828" s="2">
        <v>45842</v>
      </c>
      <c r="C828" t="s">
        <v>12</v>
      </c>
      <c r="D828" t="s">
        <v>13</v>
      </c>
      <c r="E828" t="s">
        <v>14</v>
      </c>
      <c r="F828" t="s">
        <v>15</v>
      </c>
      <c r="G828" t="s">
        <v>22</v>
      </c>
      <c r="H828" t="s">
        <v>23</v>
      </c>
      <c r="I828" t="s">
        <v>24</v>
      </c>
      <c r="J828">
        <v>1</v>
      </c>
      <c r="K828">
        <v>2400</v>
      </c>
      <c r="L828">
        <v>2400</v>
      </c>
    </row>
    <row r="829" spans="1:12" x14ac:dyDescent="0.3">
      <c r="A829">
        <v>10828</v>
      </c>
      <c r="B829" s="2">
        <v>45796</v>
      </c>
      <c r="C829" t="s">
        <v>43</v>
      </c>
      <c r="D829" t="s">
        <v>44</v>
      </c>
      <c r="E829" t="s">
        <v>45</v>
      </c>
      <c r="F829" t="s">
        <v>46</v>
      </c>
      <c r="G829" t="s">
        <v>65</v>
      </c>
      <c r="H829" t="s">
        <v>66</v>
      </c>
      <c r="I829" t="s">
        <v>49</v>
      </c>
      <c r="J829">
        <v>1</v>
      </c>
      <c r="K829">
        <v>2400</v>
      </c>
      <c r="L829">
        <v>2400</v>
      </c>
    </row>
    <row r="830" spans="1:12" x14ac:dyDescent="0.3">
      <c r="A830">
        <v>10829</v>
      </c>
      <c r="B830" s="2">
        <v>45813</v>
      </c>
      <c r="C830" t="s">
        <v>117</v>
      </c>
      <c r="D830" t="s">
        <v>118</v>
      </c>
      <c r="E830" t="s">
        <v>95</v>
      </c>
      <c r="F830" t="s">
        <v>15</v>
      </c>
      <c r="G830" t="s">
        <v>125</v>
      </c>
      <c r="H830" t="s">
        <v>126</v>
      </c>
      <c r="I830" t="s">
        <v>37</v>
      </c>
      <c r="J830">
        <v>1</v>
      </c>
      <c r="K830">
        <v>22000</v>
      </c>
      <c r="L830">
        <v>22000</v>
      </c>
    </row>
    <row r="831" spans="1:12" x14ac:dyDescent="0.3">
      <c r="A831">
        <v>10830</v>
      </c>
      <c r="B831" s="2">
        <v>45707</v>
      </c>
      <c r="C831" t="s">
        <v>119</v>
      </c>
      <c r="D831" t="s">
        <v>120</v>
      </c>
      <c r="E831" t="s">
        <v>27</v>
      </c>
      <c r="F831" t="s">
        <v>28</v>
      </c>
      <c r="G831" t="s">
        <v>113</v>
      </c>
      <c r="H831" t="s">
        <v>114</v>
      </c>
      <c r="I831" t="s">
        <v>37</v>
      </c>
      <c r="J831">
        <v>1</v>
      </c>
      <c r="K831">
        <v>52000</v>
      </c>
      <c r="L831">
        <v>52000</v>
      </c>
    </row>
    <row r="832" spans="1:12" x14ac:dyDescent="0.3">
      <c r="A832">
        <v>10831</v>
      </c>
      <c r="B832" s="2">
        <v>45821</v>
      </c>
      <c r="C832" t="s">
        <v>148</v>
      </c>
      <c r="D832" t="s">
        <v>149</v>
      </c>
      <c r="E832" t="s">
        <v>14</v>
      </c>
      <c r="F832" t="s">
        <v>15</v>
      </c>
      <c r="G832" t="s">
        <v>144</v>
      </c>
      <c r="H832" t="s">
        <v>145</v>
      </c>
      <c r="I832" t="s">
        <v>37</v>
      </c>
      <c r="J832">
        <v>1</v>
      </c>
      <c r="K832">
        <v>65000</v>
      </c>
      <c r="L832">
        <v>65000</v>
      </c>
    </row>
    <row r="833" spans="1:12" x14ac:dyDescent="0.3">
      <c r="A833">
        <v>10832</v>
      </c>
      <c r="B833" s="2">
        <v>45662</v>
      </c>
      <c r="C833" t="s">
        <v>208</v>
      </c>
      <c r="D833" t="s">
        <v>209</v>
      </c>
      <c r="E833" t="s">
        <v>95</v>
      </c>
      <c r="F833" t="s">
        <v>15</v>
      </c>
      <c r="G833" t="s">
        <v>125</v>
      </c>
      <c r="H833" t="s">
        <v>126</v>
      </c>
      <c r="I833" t="s">
        <v>37</v>
      </c>
      <c r="J833">
        <v>1</v>
      </c>
      <c r="K833">
        <v>22000</v>
      </c>
      <c r="L833">
        <v>22000</v>
      </c>
    </row>
    <row r="834" spans="1:12" x14ac:dyDescent="0.3">
      <c r="A834">
        <v>10833</v>
      </c>
      <c r="B834" s="2">
        <v>45931</v>
      </c>
      <c r="C834" t="s">
        <v>202</v>
      </c>
      <c r="D834" t="s">
        <v>203</v>
      </c>
      <c r="E834" t="s">
        <v>64</v>
      </c>
      <c r="F834" t="s">
        <v>46</v>
      </c>
      <c r="G834" t="s">
        <v>96</v>
      </c>
      <c r="H834" t="s">
        <v>97</v>
      </c>
      <c r="I834" t="s">
        <v>37</v>
      </c>
      <c r="J834">
        <v>1</v>
      </c>
      <c r="K834">
        <v>18000</v>
      </c>
      <c r="L834">
        <v>18000</v>
      </c>
    </row>
    <row r="835" spans="1:12" x14ac:dyDescent="0.3">
      <c r="A835">
        <v>10834</v>
      </c>
      <c r="B835" s="2">
        <v>45720</v>
      </c>
      <c r="C835" t="s">
        <v>218</v>
      </c>
      <c r="D835" t="s">
        <v>219</v>
      </c>
      <c r="E835" t="s">
        <v>160</v>
      </c>
      <c r="F835" t="s">
        <v>34</v>
      </c>
      <c r="G835" t="s">
        <v>144</v>
      </c>
      <c r="H835" t="s">
        <v>145</v>
      </c>
      <c r="I835" t="s">
        <v>37</v>
      </c>
      <c r="J835">
        <v>1</v>
      </c>
      <c r="K835">
        <v>65000</v>
      </c>
      <c r="L835">
        <v>65000</v>
      </c>
    </row>
    <row r="836" spans="1:12" x14ac:dyDescent="0.3">
      <c r="A836">
        <v>10835</v>
      </c>
      <c r="B836" s="2">
        <v>45902</v>
      </c>
      <c r="C836" t="s">
        <v>12</v>
      </c>
      <c r="D836" t="s">
        <v>13</v>
      </c>
      <c r="E836" t="s">
        <v>14</v>
      </c>
      <c r="F836" t="s">
        <v>15</v>
      </c>
      <c r="G836" t="s">
        <v>75</v>
      </c>
      <c r="H836" t="s">
        <v>76</v>
      </c>
      <c r="I836" t="s">
        <v>49</v>
      </c>
      <c r="J836">
        <v>4</v>
      </c>
      <c r="K836">
        <v>3000</v>
      </c>
      <c r="L836">
        <v>12000</v>
      </c>
    </row>
    <row r="837" spans="1:12" x14ac:dyDescent="0.3">
      <c r="A837">
        <v>10836</v>
      </c>
      <c r="B837" s="2">
        <v>46006</v>
      </c>
      <c r="C837" t="s">
        <v>208</v>
      </c>
      <c r="D837" t="s">
        <v>209</v>
      </c>
      <c r="E837" t="s">
        <v>95</v>
      </c>
      <c r="F837" t="s">
        <v>15</v>
      </c>
      <c r="G837" t="s">
        <v>89</v>
      </c>
      <c r="H837" t="s">
        <v>90</v>
      </c>
      <c r="I837" t="s">
        <v>18</v>
      </c>
      <c r="J837">
        <v>3</v>
      </c>
      <c r="K837">
        <v>4200</v>
      </c>
      <c r="L837">
        <v>12600</v>
      </c>
    </row>
    <row r="838" spans="1:12" x14ac:dyDescent="0.3">
      <c r="A838">
        <v>10837</v>
      </c>
      <c r="B838" s="2">
        <v>45790</v>
      </c>
      <c r="C838" t="s">
        <v>202</v>
      </c>
      <c r="D838" t="s">
        <v>203</v>
      </c>
      <c r="E838" t="s">
        <v>64</v>
      </c>
      <c r="F838" t="s">
        <v>46</v>
      </c>
      <c r="G838" t="s">
        <v>16</v>
      </c>
      <c r="H838" t="s">
        <v>17</v>
      </c>
      <c r="I838" t="s">
        <v>18</v>
      </c>
      <c r="J838">
        <v>1</v>
      </c>
      <c r="K838">
        <v>11000</v>
      </c>
      <c r="L838">
        <v>11000</v>
      </c>
    </row>
    <row r="839" spans="1:12" x14ac:dyDescent="0.3">
      <c r="A839">
        <v>10838</v>
      </c>
      <c r="B839" s="2">
        <v>45942</v>
      </c>
      <c r="C839" t="s">
        <v>189</v>
      </c>
      <c r="D839" t="s">
        <v>190</v>
      </c>
      <c r="E839" t="s">
        <v>160</v>
      </c>
      <c r="F839" t="s">
        <v>34</v>
      </c>
      <c r="G839" t="s">
        <v>89</v>
      </c>
      <c r="H839" t="s">
        <v>90</v>
      </c>
      <c r="I839" t="s">
        <v>18</v>
      </c>
      <c r="J839">
        <v>2</v>
      </c>
      <c r="K839">
        <v>4200</v>
      </c>
      <c r="L839">
        <v>8400</v>
      </c>
    </row>
    <row r="840" spans="1:12" x14ac:dyDescent="0.3">
      <c r="A840">
        <v>10839</v>
      </c>
      <c r="B840" s="2">
        <v>45790</v>
      </c>
      <c r="C840" t="s">
        <v>105</v>
      </c>
      <c r="D840" t="s">
        <v>106</v>
      </c>
      <c r="E840" t="s">
        <v>45</v>
      </c>
      <c r="F840" t="s">
        <v>46</v>
      </c>
      <c r="G840" t="s">
        <v>52</v>
      </c>
      <c r="H840" t="s">
        <v>53</v>
      </c>
      <c r="I840" t="s">
        <v>24</v>
      </c>
      <c r="J840">
        <v>4</v>
      </c>
      <c r="K840">
        <v>3500</v>
      </c>
      <c r="L840">
        <v>14000</v>
      </c>
    </row>
    <row r="841" spans="1:12" x14ac:dyDescent="0.3">
      <c r="A841">
        <v>10840</v>
      </c>
      <c r="B841" s="2">
        <v>45849</v>
      </c>
      <c r="C841" t="s">
        <v>123</v>
      </c>
      <c r="D841" t="s">
        <v>124</v>
      </c>
      <c r="E841" t="s">
        <v>69</v>
      </c>
      <c r="F841" t="s">
        <v>28</v>
      </c>
      <c r="G841" t="s">
        <v>22</v>
      </c>
      <c r="H841" t="s">
        <v>23</v>
      </c>
      <c r="I841" t="s">
        <v>24</v>
      </c>
      <c r="J841">
        <v>2</v>
      </c>
      <c r="K841">
        <v>2400</v>
      </c>
      <c r="L841">
        <v>4800</v>
      </c>
    </row>
    <row r="842" spans="1:12" x14ac:dyDescent="0.3">
      <c r="A842">
        <v>10841</v>
      </c>
      <c r="B842" s="2">
        <v>45774</v>
      </c>
      <c r="C842" t="s">
        <v>31</v>
      </c>
      <c r="D842" t="s">
        <v>32</v>
      </c>
      <c r="E842" t="s">
        <v>33</v>
      </c>
      <c r="F842" t="s">
        <v>34</v>
      </c>
      <c r="G842" t="s">
        <v>65</v>
      </c>
      <c r="H842" t="s">
        <v>66</v>
      </c>
      <c r="I842" t="s">
        <v>49</v>
      </c>
      <c r="J842">
        <v>1</v>
      </c>
      <c r="K842">
        <v>2400</v>
      </c>
      <c r="L842">
        <v>2400</v>
      </c>
    </row>
    <row r="843" spans="1:12" x14ac:dyDescent="0.3">
      <c r="A843">
        <v>10842</v>
      </c>
      <c r="B843" s="2">
        <v>45973</v>
      </c>
      <c r="C843" t="s">
        <v>87</v>
      </c>
      <c r="D843" t="s">
        <v>88</v>
      </c>
      <c r="E843" t="s">
        <v>64</v>
      </c>
      <c r="F843" t="s">
        <v>46</v>
      </c>
      <c r="G843" t="s">
        <v>56</v>
      </c>
      <c r="H843" t="s">
        <v>57</v>
      </c>
      <c r="I843" t="s">
        <v>18</v>
      </c>
      <c r="J843">
        <v>1</v>
      </c>
      <c r="K843">
        <v>9000</v>
      </c>
      <c r="L843">
        <v>9000</v>
      </c>
    </row>
    <row r="844" spans="1:12" x14ac:dyDescent="0.3">
      <c r="A844">
        <v>10843</v>
      </c>
      <c r="B844" s="2">
        <v>45678</v>
      </c>
      <c r="C844" t="s">
        <v>85</v>
      </c>
      <c r="D844" t="s">
        <v>86</v>
      </c>
      <c r="E844" t="s">
        <v>45</v>
      </c>
      <c r="F844" t="s">
        <v>46</v>
      </c>
      <c r="G844" t="s">
        <v>177</v>
      </c>
      <c r="H844" t="s">
        <v>178</v>
      </c>
      <c r="I844" t="s">
        <v>37</v>
      </c>
      <c r="J844">
        <v>1</v>
      </c>
      <c r="K844">
        <v>2500</v>
      </c>
      <c r="L844">
        <v>2500</v>
      </c>
    </row>
    <row r="845" spans="1:12" x14ac:dyDescent="0.3">
      <c r="A845">
        <v>10844</v>
      </c>
      <c r="B845" s="2">
        <v>45965</v>
      </c>
      <c r="C845" t="s">
        <v>100</v>
      </c>
      <c r="D845" t="s">
        <v>101</v>
      </c>
      <c r="E845" t="s">
        <v>102</v>
      </c>
      <c r="F845" t="s">
        <v>34</v>
      </c>
      <c r="G845" t="s">
        <v>179</v>
      </c>
      <c r="H845" t="s">
        <v>180</v>
      </c>
      <c r="I845" t="s">
        <v>18</v>
      </c>
      <c r="J845">
        <v>3</v>
      </c>
      <c r="K845">
        <v>6500</v>
      </c>
      <c r="L845">
        <v>19500</v>
      </c>
    </row>
    <row r="846" spans="1:12" x14ac:dyDescent="0.3">
      <c r="A846">
        <v>10845</v>
      </c>
      <c r="B846" s="2">
        <v>45937</v>
      </c>
      <c r="C846" t="s">
        <v>107</v>
      </c>
      <c r="D846" t="s">
        <v>108</v>
      </c>
      <c r="E846" t="s">
        <v>74</v>
      </c>
      <c r="F846" t="s">
        <v>28</v>
      </c>
      <c r="G846" t="s">
        <v>129</v>
      </c>
      <c r="H846" t="s">
        <v>130</v>
      </c>
      <c r="I846" t="s">
        <v>24</v>
      </c>
      <c r="J846">
        <v>1</v>
      </c>
      <c r="K846">
        <v>1400</v>
      </c>
      <c r="L846">
        <v>1400</v>
      </c>
    </row>
    <row r="847" spans="1:12" x14ac:dyDescent="0.3">
      <c r="A847">
        <v>10846</v>
      </c>
      <c r="B847" s="2">
        <v>45946</v>
      </c>
      <c r="C847" t="s">
        <v>82</v>
      </c>
      <c r="D847" t="s">
        <v>83</v>
      </c>
      <c r="E847" t="s">
        <v>84</v>
      </c>
      <c r="F847" t="s">
        <v>46</v>
      </c>
      <c r="G847" t="s">
        <v>179</v>
      </c>
      <c r="H847" t="s">
        <v>180</v>
      </c>
      <c r="I847" t="s">
        <v>18</v>
      </c>
      <c r="J847">
        <v>1</v>
      </c>
      <c r="K847">
        <v>6500</v>
      </c>
      <c r="L847">
        <v>6500</v>
      </c>
    </row>
    <row r="848" spans="1:12" x14ac:dyDescent="0.3">
      <c r="A848">
        <v>10847</v>
      </c>
      <c r="B848" s="2">
        <v>45712</v>
      </c>
      <c r="C848" t="s">
        <v>236</v>
      </c>
      <c r="D848" t="s">
        <v>237</v>
      </c>
      <c r="E848" t="s">
        <v>201</v>
      </c>
      <c r="F848" t="s">
        <v>28</v>
      </c>
      <c r="G848" t="s">
        <v>96</v>
      </c>
      <c r="H848" t="s">
        <v>97</v>
      </c>
      <c r="I848" t="s">
        <v>37</v>
      </c>
      <c r="J848">
        <v>1</v>
      </c>
      <c r="K848">
        <v>18000</v>
      </c>
      <c r="L848">
        <v>18000</v>
      </c>
    </row>
    <row r="849" spans="1:12" x14ac:dyDescent="0.3">
      <c r="A849">
        <v>10848</v>
      </c>
      <c r="B849" s="2">
        <v>45760</v>
      </c>
      <c r="C849" t="s">
        <v>87</v>
      </c>
      <c r="D849" t="s">
        <v>88</v>
      </c>
      <c r="E849" t="s">
        <v>64</v>
      </c>
      <c r="F849" t="s">
        <v>46</v>
      </c>
      <c r="G849" t="s">
        <v>52</v>
      </c>
      <c r="H849" t="s">
        <v>53</v>
      </c>
      <c r="I849" t="s">
        <v>24</v>
      </c>
      <c r="J849">
        <v>2</v>
      </c>
      <c r="K849">
        <v>3500</v>
      </c>
      <c r="L849">
        <v>7000</v>
      </c>
    </row>
    <row r="850" spans="1:12" x14ac:dyDescent="0.3">
      <c r="A850">
        <v>10849</v>
      </c>
      <c r="B850" s="2">
        <v>45781</v>
      </c>
      <c r="C850" t="s">
        <v>183</v>
      </c>
      <c r="D850" t="s">
        <v>184</v>
      </c>
      <c r="E850" t="s">
        <v>27</v>
      </c>
      <c r="F850" t="s">
        <v>28</v>
      </c>
      <c r="G850" t="s">
        <v>140</v>
      </c>
      <c r="H850" t="s">
        <v>141</v>
      </c>
      <c r="I850" t="s">
        <v>18</v>
      </c>
      <c r="J850">
        <v>1</v>
      </c>
      <c r="K850">
        <v>3000</v>
      </c>
      <c r="L850">
        <v>3000</v>
      </c>
    </row>
    <row r="851" spans="1:12" x14ac:dyDescent="0.3">
      <c r="A851">
        <v>10850</v>
      </c>
      <c r="B851" s="2">
        <v>45855</v>
      </c>
      <c r="C851" t="s">
        <v>72</v>
      </c>
      <c r="D851" t="s">
        <v>73</v>
      </c>
      <c r="E851" t="s">
        <v>74</v>
      </c>
      <c r="F851" t="s">
        <v>28</v>
      </c>
      <c r="G851" t="s">
        <v>152</v>
      </c>
      <c r="H851" t="s">
        <v>153</v>
      </c>
      <c r="I851" t="s">
        <v>49</v>
      </c>
      <c r="J851">
        <v>1</v>
      </c>
      <c r="K851">
        <v>3200</v>
      </c>
      <c r="L851">
        <v>3200</v>
      </c>
    </row>
    <row r="852" spans="1:12" x14ac:dyDescent="0.3">
      <c r="A852">
        <v>10851</v>
      </c>
      <c r="B852" s="2">
        <v>45717</v>
      </c>
      <c r="C852" t="s">
        <v>146</v>
      </c>
      <c r="D852" t="s">
        <v>147</v>
      </c>
      <c r="E852" t="s">
        <v>64</v>
      </c>
      <c r="F852" t="s">
        <v>46</v>
      </c>
      <c r="G852" t="s">
        <v>47</v>
      </c>
      <c r="H852" t="s">
        <v>48</v>
      </c>
      <c r="I852" t="s">
        <v>49</v>
      </c>
      <c r="J852">
        <v>3</v>
      </c>
      <c r="K852">
        <v>1600</v>
      </c>
      <c r="L852">
        <v>4800</v>
      </c>
    </row>
    <row r="853" spans="1:12" x14ac:dyDescent="0.3">
      <c r="A853">
        <v>10852</v>
      </c>
      <c r="B853" s="2">
        <v>45920</v>
      </c>
      <c r="C853" t="s">
        <v>107</v>
      </c>
      <c r="D853" t="s">
        <v>108</v>
      </c>
      <c r="E853" t="s">
        <v>74</v>
      </c>
      <c r="F853" t="s">
        <v>28</v>
      </c>
      <c r="G853" t="s">
        <v>187</v>
      </c>
      <c r="H853" t="s">
        <v>188</v>
      </c>
      <c r="I853" t="s">
        <v>24</v>
      </c>
      <c r="J853">
        <v>1</v>
      </c>
      <c r="K853">
        <v>5500</v>
      </c>
      <c r="L853">
        <v>5500</v>
      </c>
    </row>
    <row r="854" spans="1:12" x14ac:dyDescent="0.3">
      <c r="A854">
        <v>10853</v>
      </c>
      <c r="B854" s="2">
        <v>45797</v>
      </c>
      <c r="C854" t="s">
        <v>156</v>
      </c>
      <c r="D854" t="s">
        <v>157</v>
      </c>
      <c r="E854" t="s">
        <v>95</v>
      </c>
      <c r="F854" t="s">
        <v>15</v>
      </c>
      <c r="G854" t="s">
        <v>47</v>
      </c>
      <c r="H854" t="s">
        <v>48</v>
      </c>
      <c r="I854" t="s">
        <v>49</v>
      </c>
      <c r="J854">
        <v>2</v>
      </c>
      <c r="K854">
        <v>1600</v>
      </c>
      <c r="L854">
        <v>3200</v>
      </c>
    </row>
    <row r="855" spans="1:12" x14ac:dyDescent="0.3">
      <c r="A855">
        <v>10854</v>
      </c>
      <c r="B855" s="2">
        <v>45896</v>
      </c>
      <c r="C855" t="s">
        <v>148</v>
      </c>
      <c r="D855" t="s">
        <v>149</v>
      </c>
      <c r="E855" t="s">
        <v>14</v>
      </c>
      <c r="F855" t="s">
        <v>15</v>
      </c>
      <c r="G855" t="s">
        <v>70</v>
      </c>
      <c r="H855" t="s">
        <v>71</v>
      </c>
      <c r="I855" t="s">
        <v>37</v>
      </c>
      <c r="J855">
        <v>1</v>
      </c>
      <c r="K855">
        <v>2200</v>
      </c>
      <c r="L855">
        <v>2200</v>
      </c>
    </row>
    <row r="856" spans="1:12" x14ac:dyDescent="0.3">
      <c r="A856">
        <v>10855</v>
      </c>
      <c r="B856" s="2">
        <v>46020</v>
      </c>
      <c r="C856" t="s">
        <v>107</v>
      </c>
      <c r="D856" t="s">
        <v>108</v>
      </c>
      <c r="E856" t="s">
        <v>74</v>
      </c>
      <c r="F856" t="s">
        <v>28</v>
      </c>
      <c r="G856" t="s">
        <v>98</v>
      </c>
      <c r="H856" t="s">
        <v>99</v>
      </c>
      <c r="I856" t="s">
        <v>24</v>
      </c>
      <c r="J856">
        <v>2</v>
      </c>
      <c r="K856">
        <v>2000</v>
      </c>
      <c r="L856">
        <v>4000</v>
      </c>
    </row>
    <row r="857" spans="1:12" x14ac:dyDescent="0.3">
      <c r="A857">
        <v>10856</v>
      </c>
      <c r="B857" s="2">
        <v>45911</v>
      </c>
      <c r="C857" t="s">
        <v>146</v>
      </c>
      <c r="D857" t="s">
        <v>147</v>
      </c>
      <c r="E857" t="s">
        <v>64</v>
      </c>
      <c r="F857" t="s">
        <v>46</v>
      </c>
      <c r="G857" t="s">
        <v>103</v>
      </c>
      <c r="H857" t="s">
        <v>104</v>
      </c>
      <c r="I857" t="s">
        <v>37</v>
      </c>
      <c r="J857">
        <v>1</v>
      </c>
      <c r="K857">
        <v>28000</v>
      </c>
      <c r="L857">
        <v>28000</v>
      </c>
    </row>
    <row r="858" spans="1:12" x14ac:dyDescent="0.3">
      <c r="A858">
        <v>10857</v>
      </c>
      <c r="B858" s="2">
        <v>45716</v>
      </c>
      <c r="C858" t="s">
        <v>204</v>
      </c>
      <c r="D858" t="s">
        <v>205</v>
      </c>
      <c r="E858" t="s">
        <v>201</v>
      </c>
      <c r="F858" t="s">
        <v>28</v>
      </c>
      <c r="G858" t="s">
        <v>35</v>
      </c>
      <c r="H858" t="s">
        <v>36</v>
      </c>
      <c r="I858" t="s">
        <v>37</v>
      </c>
      <c r="J858">
        <v>2</v>
      </c>
      <c r="K858">
        <v>12000</v>
      </c>
      <c r="L858">
        <v>24000</v>
      </c>
    </row>
    <row r="859" spans="1:12" x14ac:dyDescent="0.3">
      <c r="A859">
        <v>10858</v>
      </c>
      <c r="B859" s="2">
        <v>45746</v>
      </c>
      <c r="C859" t="s">
        <v>238</v>
      </c>
      <c r="D859" t="s">
        <v>239</v>
      </c>
      <c r="E859" t="s">
        <v>137</v>
      </c>
      <c r="F859" t="s">
        <v>46</v>
      </c>
      <c r="G859" t="s">
        <v>22</v>
      </c>
      <c r="H859" t="s">
        <v>23</v>
      </c>
      <c r="I859" t="s">
        <v>24</v>
      </c>
      <c r="J859">
        <v>1</v>
      </c>
      <c r="K859">
        <v>2400</v>
      </c>
      <c r="L859">
        <v>2400</v>
      </c>
    </row>
    <row r="860" spans="1:12" x14ac:dyDescent="0.3">
      <c r="A860">
        <v>10859</v>
      </c>
      <c r="B860" s="2">
        <v>45741</v>
      </c>
      <c r="C860" t="s">
        <v>156</v>
      </c>
      <c r="D860" t="s">
        <v>157</v>
      </c>
      <c r="E860" t="s">
        <v>95</v>
      </c>
      <c r="F860" t="s">
        <v>15</v>
      </c>
      <c r="G860" t="s">
        <v>125</v>
      </c>
      <c r="H860" t="s">
        <v>126</v>
      </c>
      <c r="I860" t="s">
        <v>37</v>
      </c>
      <c r="J860">
        <v>3</v>
      </c>
      <c r="K860">
        <v>22000</v>
      </c>
      <c r="L860">
        <v>66000</v>
      </c>
    </row>
    <row r="861" spans="1:12" x14ac:dyDescent="0.3">
      <c r="A861">
        <v>10860</v>
      </c>
      <c r="B861" s="2">
        <v>45995</v>
      </c>
      <c r="C861" t="s">
        <v>169</v>
      </c>
      <c r="D861" t="s">
        <v>170</v>
      </c>
      <c r="E861" t="s">
        <v>64</v>
      </c>
      <c r="F861" t="s">
        <v>46</v>
      </c>
      <c r="G861" t="s">
        <v>35</v>
      </c>
      <c r="H861" t="s">
        <v>36</v>
      </c>
      <c r="I861" t="s">
        <v>37</v>
      </c>
      <c r="J861">
        <v>1</v>
      </c>
      <c r="K861">
        <v>12000</v>
      </c>
      <c r="L861">
        <v>12000</v>
      </c>
    </row>
    <row r="862" spans="1:12" x14ac:dyDescent="0.3">
      <c r="A862">
        <v>10861</v>
      </c>
      <c r="B862" s="2">
        <v>45923</v>
      </c>
      <c r="C862" t="s">
        <v>193</v>
      </c>
      <c r="D862" t="s">
        <v>194</v>
      </c>
      <c r="E862" t="s">
        <v>102</v>
      </c>
      <c r="F862" t="s">
        <v>34</v>
      </c>
      <c r="G862" t="s">
        <v>140</v>
      </c>
      <c r="H862" t="s">
        <v>141</v>
      </c>
      <c r="I862" t="s">
        <v>18</v>
      </c>
      <c r="J862">
        <v>2</v>
      </c>
      <c r="K862">
        <v>3000</v>
      </c>
      <c r="L862">
        <v>6000</v>
      </c>
    </row>
    <row r="863" spans="1:12" x14ac:dyDescent="0.3">
      <c r="A863">
        <v>10862</v>
      </c>
      <c r="B863" s="2">
        <v>45979</v>
      </c>
      <c r="C863" t="s">
        <v>72</v>
      </c>
      <c r="D863" t="s">
        <v>73</v>
      </c>
      <c r="E863" t="s">
        <v>74</v>
      </c>
      <c r="F863" t="s">
        <v>28</v>
      </c>
      <c r="G863" t="s">
        <v>52</v>
      </c>
      <c r="H863" t="s">
        <v>53</v>
      </c>
      <c r="I863" t="s">
        <v>24</v>
      </c>
      <c r="J863">
        <v>2</v>
      </c>
      <c r="K863">
        <v>3500</v>
      </c>
      <c r="L863">
        <v>7000</v>
      </c>
    </row>
    <row r="864" spans="1:12" x14ac:dyDescent="0.3">
      <c r="A864">
        <v>10863</v>
      </c>
      <c r="B864" s="2">
        <v>45856</v>
      </c>
      <c r="C864" t="s">
        <v>87</v>
      </c>
      <c r="D864" t="s">
        <v>88</v>
      </c>
      <c r="E864" t="s">
        <v>64</v>
      </c>
      <c r="F864" t="s">
        <v>46</v>
      </c>
      <c r="G864" t="s">
        <v>35</v>
      </c>
      <c r="H864" t="s">
        <v>36</v>
      </c>
      <c r="I864" t="s">
        <v>37</v>
      </c>
      <c r="J864">
        <v>1</v>
      </c>
      <c r="K864">
        <v>12000</v>
      </c>
      <c r="L864">
        <v>12000</v>
      </c>
    </row>
    <row r="865" spans="1:12" x14ac:dyDescent="0.3">
      <c r="A865">
        <v>10864</v>
      </c>
      <c r="B865" s="2">
        <v>45908</v>
      </c>
      <c r="C865" t="s">
        <v>210</v>
      </c>
      <c r="D865" t="s">
        <v>211</v>
      </c>
      <c r="E865" t="s">
        <v>40</v>
      </c>
      <c r="F865" t="s">
        <v>15</v>
      </c>
      <c r="G865" t="s">
        <v>144</v>
      </c>
      <c r="H865" t="s">
        <v>145</v>
      </c>
      <c r="I865" t="s">
        <v>37</v>
      </c>
      <c r="J865">
        <v>3</v>
      </c>
      <c r="K865">
        <v>65000</v>
      </c>
      <c r="L865">
        <v>195000</v>
      </c>
    </row>
    <row r="866" spans="1:12" x14ac:dyDescent="0.3">
      <c r="A866">
        <v>10865</v>
      </c>
      <c r="B866" s="2">
        <v>45702</v>
      </c>
      <c r="C866" t="s">
        <v>50</v>
      </c>
      <c r="D866" t="s">
        <v>51</v>
      </c>
      <c r="E866" t="s">
        <v>14</v>
      </c>
      <c r="F866" t="s">
        <v>15</v>
      </c>
      <c r="G866" t="s">
        <v>144</v>
      </c>
      <c r="H866" t="s">
        <v>145</v>
      </c>
      <c r="I866" t="s">
        <v>37</v>
      </c>
      <c r="J866">
        <v>4</v>
      </c>
      <c r="K866">
        <v>65000</v>
      </c>
      <c r="L866">
        <v>260000</v>
      </c>
    </row>
    <row r="867" spans="1:12" x14ac:dyDescent="0.3">
      <c r="A867">
        <v>10866</v>
      </c>
      <c r="B867" s="2">
        <v>45659</v>
      </c>
      <c r="C867" t="s">
        <v>204</v>
      </c>
      <c r="D867" t="s">
        <v>205</v>
      </c>
      <c r="E867" t="s">
        <v>201</v>
      </c>
      <c r="F867" t="s">
        <v>28</v>
      </c>
      <c r="G867" t="s">
        <v>98</v>
      </c>
      <c r="H867" t="s">
        <v>99</v>
      </c>
      <c r="I867" t="s">
        <v>24</v>
      </c>
      <c r="J867">
        <v>1</v>
      </c>
      <c r="K867">
        <v>2000</v>
      </c>
      <c r="L867">
        <v>2000</v>
      </c>
    </row>
    <row r="868" spans="1:12" x14ac:dyDescent="0.3">
      <c r="A868">
        <v>10867</v>
      </c>
      <c r="B868" s="2">
        <v>45731</v>
      </c>
      <c r="C868" t="s">
        <v>204</v>
      </c>
      <c r="D868" t="s">
        <v>205</v>
      </c>
      <c r="E868" t="s">
        <v>201</v>
      </c>
      <c r="F868" t="s">
        <v>28</v>
      </c>
      <c r="G868" t="s">
        <v>103</v>
      </c>
      <c r="H868" t="s">
        <v>104</v>
      </c>
      <c r="I868" t="s">
        <v>37</v>
      </c>
      <c r="J868">
        <v>1</v>
      </c>
      <c r="K868">
        <v>28000</v>
      </c>
      <c r="L868">
        <v>28000</v>
      </c>
    </row>
    <row r="869" spans="1:12" x14ac:dyDescent="0.3">
      <c r="A869">
        <v>10868</v>
      </c>
      <c r="B869" s="2">
        <v>45694</v>
      </c>
      <c r="C869" t="s">
        <v>138</v>
      </c>
      <c r="D869" t="s">
        <v>139</v>
      </c>
      <c r="E869" t="s">
        <v>79</v>
      </c>
      <c r="F869" t="s">
        <v>34</v>
      </c>
      <c r="G869" t="s">
        <v>103</v>
      </c>
      <c r="H869" t="s">
        <v>104</v>
      </c>
      <c r="I869" t="s">
        <v>37</v>
      </c>
      <c r="J869">
        <v>1</v>
      </c>
      <c r="K869">
        <v>28000</v>
      </c>
      <c r="L869">
        <v>28000</v>
      </c>
    </row>
    <row r="870" spans="1:12" x14ac:dyDescent="0.3">
      <c r="A870">
        <v>10869</v>
      </c>
      <c r="B870" s="2">
        <v>45682</v>
      </c>
      <c r="C870" t="s">
        <v>146</v>
      </c>
      <c r="D870" t="s">
        <v>147</v>
      </c>
      <c r="E870" t="s">
        <v>64</v>
      </c>
      <c r="F870" t="s">
        <v>46</v>
      </c>
      <c r="G870" t="s">
        <v>187</v>
      </c>
      <c r="H870" t="s">
        <v>188</v>
      </c>
      <c r="I870" t="s">
        <v>24</v>
      </c>
      <c r="J870">
        <v>3</v>
      </c>
      <c r="K870">
        <v>5500</v>
      </c>
      <c r="L870">
        <v>16500</v>
      </c>
    </row>
    <row r="871" spans="1:12" x14ac:dyDescent="0.3">
      <c r="A871">
        <v>10870</v>
      </c>
      <c r="B871" s="2">
        <v>45792</v>
      </c>
      <c r="C871" t="s">
        <v>100</v>
      </c>
      <c r="D871" t="s">
        <v>101</v>
      </c>
      <c r="E871" t="s">
        <v>102</v>
      </c>
      <c r="F871" t="s">
        <v>34</v>
      </c>
      <c r="G871" t="s">
        <v>167</v>
      </c>
      <c r="H871" t="s">
        <v>168</v>
      </c>
      <c r="I871" t="s">
        <v>49</v>
      </c>
      <c r="J871">
        <v>3</v>
      </c>
      <c r="K871">
        <v>3800</v>
      </c>
      <c r="L871">
        <v>11400</v>
      </c>
    </row>
    <row r="872" spans="1:12" x14ac:dyDescent="0.3">
      <c r="A872">
        <v>10871</v>
      </c>
      <c r="B872" s="2">
        <v>45873</v>
      </c>
      <c r="C872" t="s">
        <v>85</v>
      </c>
      <c r="D872" t="s">
        <v>86</v>
      </c>
      <c r="E872" t="s">
        <v>45</v>
      </c>
      <c r="F872" t="s">
        <v>46</v>
      </c>
      <c r="G872" t="s">
        <v>41</v>
      </c>
      <c r="H872" t="s">
        <v>42</v>
      </c>
      <c r="I872" t="s">
        <v>37</v>
      </c>
      <c r="J872">
        <v>2</v>
      </c>
      <c r="K872">
        <v>30000</v>
      </c>
      <c r="L872">
        <v>60000</v>
      </c>
    </row>
    <row r="873" spans="1:12" x14ac:dyDescent="0.3">
      <c r="A873">
        <v>10872</v>
      </c>
      <c r="B873" s="2">
        <v>45960</v>
      </c>
      <c r="C873" t="s">
        <v>142</v>
      </c>
      <c r="D873" t="s">
        <v>143</v>
      </c>
      <c r="E873" t="s">
        <v>14</v>
      </c>
      <c r="F873" t="s">
        <v>15</v>
      </c>
      <c r="G873" t="s">
        <v>41</v>
      </c>
      <c r="H873" t="s">
        <v>42</v>
      </c>
      <c r="I873" t="s">
        <v>37</v>
      </c>
      <c r="J873">
        <v>2</v>
      </c>
      <c r="K873">
        <v>30000</v>
      </c>
      <c r="L873">
        <v>60000</v>
      </c>
    </row>
    <row r="874" spans="1:12" x14ac:dyDescent="0.3">
      <c r="A874">
        <v>10873</v>
      </c>
      <c r="B874" s="2">
        <v>45765</v>
      </c>
      <c r="C874" t="s">
        <v>142</v>
      </c>
      <c r="D874" t="s">
        <v>143</v>
      </c>
      <c r="E874" t="s">
        <v>14</v>
      </c>
      <c r="F874" t="s">
        <v>15</v>
      </c>
      <c r="G874" t="s">
        <v>144</v>
      </c>
      <c r="H874" t="s">
        <v>145</v>
      </c>
      <c r="I874" t="s">
        <v>37</v>
      </c>
      <c r="J874">
        <v>1</v>
      </c>
      <c r="K874">
        <v>65000</v>
      </c>
      <c r="L874">
        <v>65000</v>
      </c>
    </row>
    <row r="875" spans="1:12" x14ac:dyDescent="0.3">
      <c r="A875">
        <v>10874</v>
      </c>
      <c r="B875" s="2">
        <v>45803</v>
      </c>
      <c r="C875" t="s">
        <v>158</v>
      </c>
      <c r="D875" t="s">
        <v>159</v>
      </c>
      <c r="E875" t="s">
        <v>160</v>
      </c>
      <c r="F875" t="s">
        <v>34</v>
      </c>
      <c r="G875" t="s">
        <v>35</v>
      </c>
      <c r="H875" t="s">
        <v>36</v>
      </c>
      <c r="I875" t="s">
        <v>37</v>
      </c>
      <c r="J875">
        <v>1</v>
      </c>
      <c r="K875">
        <v>12000</v>
      </c>
      <c r="L875">
        <v>12000</v>
      </c>
    </row>
    <row r="876" spans="1:12" x14ac:dyDescent="0.3">
      <c r="A876">
        <v>10875</v>
      </c>
      <c r="B876" s="2">
        <v>45889</v>
      </c>
      <c r="C876" t="s">
        <v>50</v>
      </c>
      <c r="D876" t="s">
        <v>51</v>
      </c>
      <c r="E876" t="s">
        <v>14</v>
      </c>
      <c r="F876" t="s">
        <v>15</v>
      </c>
      <c r="G876" t="s">
        <v>113</v>
      </c>
      <c r="H876" t="s">
        <v>114</v>
      </c>
      <c r="I876" t="s">
        <v>37</v>
      </c>
      <c r="J876">
        <v>2</v>
      </c>
      <c r="K876">
        <v>52000</v>
      </c>
      <c r="L876">
        <v>104000</v>
      </c>
    </row>
    <row r="877" spans="1:12" x14ac:dyDescent="0.3">
      <c r="A877">
        <v>10876</v>
      </c>
      <c r="B877" s="2">
        <v>45933</v>
      </c>
      <c r="C877" t="s">
        <v>165</v>
      </c>
      <c r="D877" t="s">
        <v>166</v>
      </c>
      <c r="E877" t="s">
        <v>69</v>
      </c>
      <c r="F877" t="s">
        <v>28</v>
      </c>
      <c r="G877" t="s">
        <v>152</v>
      </c>
      <c r="H877" t="s">
        <v>153</v>
      </c>
      <c r="I877" t="s">
        <v>49</v>
      </c>
      <c r="J877">
        <v>4</v>
      </c>
      <c r="K877">
        <v>3200</v>
      </c>
      <c r="L877">
        <v>12800</v>
      </c>
    </row>
    <row r="878" spans="1:12" x14ac:dyDescent="0.3">
      <c r="A878">
        <v>10877</v>
      </c>
      <c r="B878" s="2">
        <v>45744</v>
      </c>
      <c r="C878" t="s">
        <v>93</v>
      </c>
      <c r="D878" t="s">
        <v>94</v>
      </c>
      <c r="E878" t="s">
        <v>95</v>
      </c>
      <c r="F878" t="s">
        <v>15</v>
      </c>
      <c r="G878" t="s">
        <v>35</v>
      </c>
      <c r="H878" t="s">
        <v>36</v>
      </c>
      <c r="I878" t="s">
        <v>37</v>
      </c>
      <c r="J878">
        <v>1</v>
      </c>
      <c r="K878">
        <v>12000</v>
      </c>
      <c r="L878">
        <v>12000</v>
      </c>
    </row>
    <row r="879" spans="1:12" x14ac:dyDescent="0.3">
      <c r="A879">
        <v>10878</v>
      </c>
      <c r="B879" s="2">
        <v>45904</v>
      </c>
      <c r="C879" t="s">
        <v>133</v>
      </c>
      <c r="D879" t="s">
        <v>134</v>
      </c>
      <c r="E879" t="s">
        <v>33</v>
      </c>
      <c r="F879" t="s">
        <v>34</v>
      </c>
      <c r="G879" t="s">
        <v>47</v>
      </c>
      <c r="H879" t="s">
        <v>48</v>
      </c>
      <c r="I879" t="s">
        <v>49</v>
      </c>
      <c r="J879">
        <v>2</v>
      </c>
      <c r="K879">
        <v>1600</v>
      </c>
      <c r="L879">
        <v>3200</v>
      </c>
    </row>
    <row r="880" spans="1:12" x14ac:dyDescent="0.3">
      <c r="A880">
        <v>10879</v>
      </c>
      <c r="B880" s="2">
        <v>45705</v>
      </c>
      <c r="C880" t="s">
        <v>25</v>
      </c>
      <c r="D880" t="s">
        <v>26</v>
      </c>
      <c r="E880" t="s">
        <v>27</v>
      </c>
      <c r="F880" t="s">
        <v>28</v>
      </c>
      <c r="G880" t="s">
        <v>16</v>
      </c>
      <c r="H880" t="s">
        <v>17</v>
      </c>
      <c r="I880" t="s">
        <v>18</v>
      </c>
      <c r="J880">
        <v>1</v>
      </c>
      <c r="K880">
        <v>11000</v>
      </c>
      <c r="L880">
        <v>11000</v>
      </c>
    </row>
    <row r="881" spans="1:12" x14ac:dyDescent="0.3">
      <c r="A881">
        <v>10880</v>
      </c>
      <c r="B881" s="2">
        <v>45799</v>
      </c>
      <c r="C881" t="s">
        <v>85</v>
      </c>
      <c r="D881" t="s">
        <v>86</v>
      </c>
      <c r="E881" t="s">
        <v>45</v>
      </c>
      <c r="F881" t="s">
        <v>46</v>
      </c>
      <c r="G881" t="s">
        <v>47</v>
      </c>
      <c r="H881" t="s">
        <v>48</v>
      </c>
      <c r="I881" t="s">
        <v>49</v>
      </c>
      <c r="J881">
        <v>1</v>
      </c>
      <c r="K881">
        <v>1600</v>
      </c>
      <c r="L881">
        <v>1600</v>
      </c>
    </row>
    <row r="882" spans="1:12" x14ac:dyDescent="0.3">
      <c r="A882">
        <v>10881</v>
      </c>
      <c r="B882" s="2">
        <v>46016</v>
      </c>
      <c r="C882" t="s">
        <v>80</v>
      </c>
      <c r="D882" t="s">
        <v>81</v>
      </c>
      <c r="E882" t="s">
        <v>79</v>
      </c>
      <c r="F882" t="s">
        <v>34</v>
      </c>
      <c r="G882" t="s">
        <v>41</v>
      </c>
      <c r="H882" t="s">
        <v>42</v>
      </c>
      <c r="I882" t="s">
        <v>37</v>
      </c>
      <c r="J882">
        <v>1</v>
      </c>
      <c r="K882">
        <v>30000</v>
      </c>
      <c r="L882">
        <v>30000</v>
      </c>
    </row>
    <row r="883" spans="1:12" x14ac:dyDescent="0.3">
      <c r="A883">
        <v>10882</v>
      </c>
      <c r="B883" s="2">
        <v>45977</v>
      </c>
      <c r="C883" t="s">
        <v>133</v>
      </c>
      <c r="D883" t="s">
        <v>134</v>
      </c>
      <c r="E883" t="s">
        <v>33</v>
      </c>
      <c r="F883" t="s">
        <v>34</v>
      </c>
      <c r="G883" t="s">
        <v>65</v>
      </c>
      <c r="H883" t="s">
        <v>66</v>
      </c>
      <c r="I883" t="s">
        <v>49</v>
      </c>
      <c r="J883">
        <v>1</v>
      </c>
      <c r="K883">
        <v>2400</v>
      </c>
      <c r="L883">
        <v>2400</v>
      </c>
    </row>
    <row r="884" spans="1:12" x14ac:dyDescent="0.3">
      <c r="A884">
        <v>10883</v>
      </c>
      <c r="B884" s="2">
        <v>45856</v>
      </c>
      <c r="C884" t="s">
        <v>156</v>
      </c>
      <c r="D884" t="s">
        <v>157</v>
      </c>
      <c r="E884" t="s">
        <v>95</v>
      </c>
      <c r="F884" t="s">
        <v>15</v>
      </c>
      <c r="G884" t="s">
        <v>35</v>
      </c>
      <c r="H884" t="s">
        <v>36</v>
      </c>
      <c r="I884" t="s">
        <v>37</v>
      </c>
      <c r="J884">
        <v>1</v>
      </c>
      <c r="K884">
        <v>12000</v>
      </c>
      <c r="L884">
        <v>12000</v>
      </c>
    </row>
    <row r="885" spans="1:12" x14ac:dyDescent="0.3">
      <c r="A885">
        <v>10884</v>
      </c>
      <c r="B885" s="2">
        <v>45832</v>
      </c>
      <c r="C885" t="s">
        <v>91</v>
      </c>
      <c r="D885" t="s">
        <v>92</v>
      </c>
      <c r="E885" t="s">
        <v>40</v>
      </c>
      <c r="F885" t="s">
        <v>15</v>
      </c>
      <c r="G885" t="s">
        <v>167</v>
      </c>
      <c r="H885" t="s">
        <v>168</v>
      </c>
      <c r="I885" t="s">
        <v>49</v>
      </c>
      <c r="J885">
        <v>3</v>
      </c>
      <c r="K885">
        <v>3800</v>
      </c>
      <c r="L885">
        <v>11400</v>
      </c>
    </row>
    <row r="886" spans="1:12" x14ac:dyDescent="0.3">
      <c r="A886">
        <v>10885</v>
      </c>
      <c r="B886" s="2">
        <v>45877</v>
      </c>
      <c r="C886" t="s">
        <v>50</v>
      </c>
      <c r="D886" t="s">
        <v>51</v>
      </c>
      <c r="E886" t="s">
        <v>14</v>
      </c>
      <c r="F886" t="s">
        <v>15</v>
      </c>
      <c r="G886" t="s">
        <v>56</v>
      </c>
      <c r="H886" t="s">
        <v>57</v>
      </c>
      <c r="I886" t="s">
        <v>18</v>
      </c>
      <c r="J886">
        <v>1</v>
      </c>
      <c r="K886">
        <v>9000</v>
      </c>
      <c r="L886">
        <v>9000</v>
      </c>
    </row>
    <row r="887" spans="1:12" x14ac:dyDescent="0.3">
      <c r="A887">
        <v>10886</v>
      </c>
      <c r="B887" s="2">
        <v>45999</v>
      </c>
      <c r="C887" t="s">
        <v>216</v>
      </c>
      <c r="D887" t="s">
        <v>217</v>
      </c>
      <c r="E887" t="s">
        <v>21</v>
      </c>
      <c r="F887" t="s">
        <v>15</v>
      </c>
      <c r="G887" t="s">
        <v>152</v>
      </c>
      <c r="H887" t="s">
        <v>153</v>
      </c>
      <c r="I887" t="s">
        <v>49</v>
      </c>
      <c r="J887">
        <v>3</v>
      </c>
      <c r="K887">
        <v>3200</v>
      </c>
      <c r="L887">
        <v>9600</v>
      </c>
    </row>
    <row r="888" spans="1:12" x14ac:dyDescent="0.3">
      <c r="A888">
        <v>10887</v>
      </c>
      <c r="B888" s="2">
        <v>45988</v>
      </c>
      <c r="C888" t="s">
        <v>197</v>
      </c>
      <c r="D888" t="s">
        <v>198</v>
      </c>
      <c r="E888" t="s">
        <v>95</v>
      </c>
      <c r="F888" t="s">
        <v>15</v>
      </c>
      <c r="G888" t="s">
        <v>163</v>
      </c>
      <c r="H888" t="s">
        <v>164</v>
      </c>
      <c r="I888" t="s">
        <v>49</v>
      </c>
      <c r="J888">
        <v>1</v>
      </c>
      <c r="K888">
        <v>4200</v>
      </c>
      <c r="L888">
        <v>4200</v>
      </c>
    </row>
    <row r="889" spans="1:12" x14ac:dyDescent="0.3">
      <c r="A889">
        <v>10888</v>
      </c>
      <c r="B889" s="2">
        <v>45818</v>
      </c>
      <c r="C889" t="s">
        <v>154</v>
      </c>
      <c r="D889" t="s">
        <v>155</v>
      </c>
      <c r="E889" t="s">
        <v>74</v>
      </c>
      <c r="F889" t="s">
        <v>28</v>
      </c>
      <c r="G889" t="s">
        <v>65</v>
      </c>
      <c r="H889" t="s">
        <v>66</v>
      </c>
      <c r="I889" t="s">
        <v>49</v>
      </c>
      <c r="J889">
        <v>3</v>
      </c>
      <c r="K889">
        <v>2400</v>
      </c>
      <c r="L889">
        <v>7200</v>
      </c>
    </row>
    <row r="890" spans="1:12" x14ac:dyDescent="0.3">
      <c r="A890">
        <v>10889</v>
      </c>
      <c r="B890" s="2">
        <v>45790</v>
      </c>
      <c r="C890" t="s">
        <v>50</v>
      </c>
      <c r="D890" t="s">
        <v>51</v>
      </c>
      <c r="E890" t="s">
        <v>14</v>
      </c>
      <c r="F890" t="s">
        <v>15</v>
      </c>
      <c r="G890" t="s">
        <v>144</v>
      </c>
      <c r="H890" t="s">
        <v>145</v>
      </c>
      <c r="I890" t="s">
        <v>37</v>
      </c>
      <c r="J890">
        <v>1</v>
      </c>
      <c r="K890">
        <v>65000</v>
      </c>
      <c r="L890">
        <v>65000</v>
      </c>
    </row>
    <row r="891" spans="1:12" x14ac:dyDescent="0.3">
      <c r="A891">
        <v>10890</v>
      </c>
      <c r="B891" s="2">
        <v>45785</v>
      </c>
      <c r="C891" t="s">
        <v>169</v>
      </c>
      <c r="D891" t="s">
        <v>170</v>
      </c>
      <c r="E891" t="s">
        <v>64</v>
      </c>
      <c r="F891" t="s">
        <v>46</v>
      </c>
      <c r="G891" t="s">
        <v>125</v>
      </c>
      <c r="H891" t="s">
        <v>126</v>
      </c>
      <c r="I891" t="s">
        <v>37</v>
      </c>
      <c r="J891">
        <v>1</v>
      </c>
      <c r="K891">
        <v>22000</v>
      </c>
      <c r="L891">
        <v>22000</v>
      </c>
    </row>
    <row r="892" spans="1:12" x14ac:dyDescent="0.3">
      <c r="A892">
        <v>10891</v>
      </c>
      <c r="B892" s="2">
        <v>46017</v>
      </c>
      <c r="C892" t="s">
        <v>185</v>
      </c>
      <c r="D892" t="s">
        <v>186</v>
      </c>
      <c r="E892" t="s">
        <v>14</v>
      </c>
      <c r="F892" t="s">
        <v>15</v>
      </c>
      <c r="G892" t="s">
        <v>144</v>
      </c>
      <c r="H892" t="s">
        <v>145</v>
      </c>
      <c r="I892" t="s">
        <v>37</v>
      </c>
      <c r="J892">
        <v>1</v>
      </c>
      <c r="K892">
        <v>65000</v>
      </c>
      <c r="L892">
        <v>65000</v>
      </c>
    </row>
    <row r="893" spans="1:12" x14ac:dyDescent="0.3">
      <c r="A893">
        <v>10892</v>
      </c>
      <c r="B893" s="2">
        <v>45797</v>
      </c>
      <c r="C893" t="s">
        <v>185</v>
      </c>
      <c r="D893" t="s">
        <v>186</v>
      </c>
      <c r="E893" t="s">
        <v>14</v>
      </c>
      <c r="F893" t="s">
        <v>15</v>
      </c>
      <c r="G893" t="s">
        <v>125</v>
      </c>
      <c r="H893" t="s">
        <v>126</v>
      </c>
      <c r="I893" t="s">
        <v>37</v>
      </c>
      <c r="J893">
        <v>1</v>
      </c>
      <c r="K893">
        <v>22000</v>
      </c>
      <c r="L893">
        <v>22000</v>
      </c>
    </row>
    <row r="894" spans="1:12" x14ac:dyDescent="0.3">
      <c r="A894">
        <v>10893</v>
      </c>
      <c r="B894" s="2">
        <v>45800</v>
      </c>
      <c r="C894" t="s">
        <v>43</v>
      </c>
      <c r="D894" t="s">
        <v>44</v>
      </c>
      <c r="E894" t="s">
        <v>45</v>
      </c>
      <c r="F894" t="s">
        <v>46</v>
      </c>
      <c r="G894" t="s">
        <v>163</v>
      </c>
      <c r="H894" t="s">
        <v>164</v>
      </c>
      <c r="I894" t="s">
        <v>49</v>
      </c>
      <c r="J894">
        <v>1</v>
      </c>
      <c r="K894">
        <v>4200</v>
      </c>
      <c r="L894">
        <v>4200</v>
      </c>
    </row>
    <row r="895" spans="1:12" x14ac:dyDescent="0.3">
      <c r="A895">
        <v>10894</v>
      </c>
      <c r="B895" s="2">
        <v>45992</v>
      </c>
      <c r="C895" t="s">
        <v>72</v>
      </c>
      <c r="D895" t="s">
        <v>73</v>
      </c>
      <c r="E895" t="s">
        <v>74</v>
      </c>
      <c r="F895" t="s">
        <v>28</v>
      </c>
      <c r="G895" t="s">
        <v>103</v>
      </c>
      <c r="H895" t="s">
        <v>104</v>
      </c>
      <c r="I895" t="s">
        <v>37</v>
      </c>
      <c r="J895">
        <v>1</v>
      </c>
      <c r="K895">
        <v>28000</v>
      </c>
      <c r="L895">
        <v>28000</v>
      </c>
    </row>
    <row r="896" spans="1:12" x14ac:dyDescent="0.3">
      <c r="A896">
        <v>10895</v>
      </c>
      <c r="B896" s="2">
        <v>45763</v>
      </c>
      <c r="C896" t="s">
        <v>43</v>
      </c>
      <c r="D896" t="s">
        <v>44</v>
      </c>
      <c r="E896" t="s">
        <v>45</v>
      </c>
      <c r="F896" t="s">
        <v>46</v>
      </c>
      <c r="G896" t="s">
        <v>129</v>
      </c>
      <c r="H896" t="s">
        <v>130</v>
      </c>
      <c r="I896" t="s">
        <v>24</v>
      </c>
      <c r="J896">
        <v>2</v>
      </c>
      <c r="K896">
        <v>1400</v>
      </c>
      <c r="L896">
        <v>2800</v>
      </c>
    </row>
    <row r="897" spans="1:12" x14ac:dyDescent="0.3">
      <c r="A897">
        <v>10896</v>
      </c>
      <c r="B897" s="2">
        <v>45770</v>
      </c>
      <c r="C897" t="s">
        <v>222</v>
      </c>
      <c r="D897" t="s">
        <v>223</v>
      </c>
      <c r="E897" t="s">
        <v>21</v>
      </c>
      <c r="F897" t="s">
        <v>15</v>
      </c>
      <c r="G897" t="s">
        <v>56</v>
      </c>
      <c r="H897" t="s">
        <v>57</v>
      </c>
      <c r="I897" t="s">
        <v>18</v>
      </c>
      <c r="J897">
        <v>1</v>
      </c>
      <c r="K897">
        <v>9000</v>
      </c>
      <c r="L897">
        <v>9000</v>
      </c>
    </row>
    <row r="898" spans="1:12" x14ac:dyDescent="0.3">
      <c r="A898">
        <v>10897</v>
      </c>
      <c r="B898" s="2">
        <v>45849</v>
      </c>
      <c r="C898" t="s">
        <v>93</v>
      </c>
      <c r="D898" t="s">
        <v>94</v>
      </c>
      <c r="E898" t="s">
        <v>95</v>
      </c>
      <c r="F898" t="s">
        <v>15</v>
      </c>
      <c r="G898" t="s">
        <v>98</v>
      </c>
      <c r="H898" t="s">
        <v>99</v>
      </c>
      <c r="I898" t="s">
        <v>24</v>
      </c>
      <c r="J898">
        <v>1</v>
      </c>
      <c r="K898">
        <v>2000</v>
      </c>
      <c r="L898">
        <v>2000</v>
      </c>
    </row>
    <row r="899" spans="1:12" x14ac:dyDescent="0.3">
      <c r="A899">
        <v>10898</v>
      </c>
      <c r="B899" s="2">
        <v>45732</v>
      </c>
      <c r="C899" t="s">
        <v>156</v>
      </c>
      <c r="D899" t="s">
        <v>157</v>
      </c>
      <c r="E899" t="s">
        <v>95</v>
      </c>
      <c r="F899" t="s">
        <v>15</v>
      </c>
      <c r="G899" t="s">
        <v>103</v>
      </c>
      <c r="H899" t="s">
        <v>104</v>
      </c>
      <c r="I899" t="s">
        <v>37</v>
      </c>
      <c r="J899">
        <v>1</v>
      </c>
      <c r="K899">
        <v>28000</v>
      </c>
      <c r="L899">
        <v>28000</v>
      </c>
    </row>
    <row r="900" spans="1:12" x14ac:dyDescent="0.3">
      <c r="A900">
        <v>10899</v>
      </c>
      <c r="B900" s="2">
        <v>45941</v>
      </c>
      <c r="C900" t="s">
        <v>234</v>
      </c>
      <c r="D900" t="s">
        <v>235</v>
      </c>
      <c r="E900" t="s">
        <v>137</v>
      </c>
      <c r="F900" t="s">
        <v>46</v>
      </c>
      <c r="G900" t="s">
        <v>131</v>
      </c>
      <c r="H900" t="s">
        <v>132</v>
      </c>
      <c r="I900" t="s">
        <v>37</v>
      </c>
      <c r="J900">
        <v>1</v>
      </c>
      <c r="K900">
        <v>4500</v>
      </c>
      <c r="L900">
        <v>4500</v>
      </c>
    </row>
    <row r="901" spans="1:12" x14ac:dyDescent="0.3">
      <c r="A901">
        <v>10900</v>
      </c>
      <c r="B901" s="2">
        <v>45788</v>
      </c>
      <c r="C901" t="s">
        <v>161</v>
      </c>
      <c r="D901" t="s">
        <v>162</v>
      </c>
      <c r="E901" t="s">
        <v>33</v>
      </c>
      <c r="F901" t="s">
        <v>34</v>
      </c>
      <c r="G901" t="s">
        <v>35</v>
      </c>
      <c r="H901" t="s">
        <v>36</v>
      </c>
      <c r="I901" t="s">
        <v>37</v>
      </c>
      <c r="J901">
        <v>3</v>
      </c>
      <c r="K901">
        <v>12000</v>
      </c>
      <c r="L901">
        <v>36000</v>
      </c>
    </row>
    <row r="902" spans="1:12" x14ac:dyDescent="0.3">
      <c r="A902">
        <v>10901</v>
      </c>
      <c r="B902" s="2">
        <v>45774</v>
      </c>
      <c r="C902" t="s">
        <v>80</v>
      </c>
      <c r="D902" t="s">
        <v>81</v>
      </c>
      <c r="E902" t="s">
        <v>79</v>
      </c>
      <c r="F902" t="s">
        <v>34</v>
      </c>
      <c r="G902" t="s">
        <v>177</v>
      </c>
      <c r="H902" t="s">
        <v>178</v>
      </c>
      <c r="I902" t="s">
        <v>37</v>
      </c>
      <c r="J902">
        <v>2</v>
      </c>
      <c r="K902">
        <v>2500</v>
      </c>
      <c r="L902">
        <v>5000</v>
      </c>
    </row>
    <row r="903" spans="1:12" x14ac:dyDescent="0.3">
      <c r="A903">
        <v>10902</v>
      </c>
      <c r="B903" s="2">
        <v>45664</v>
      </c>
      <c r="C903" t="s">
        <v>148</v>
      </c>
      <c r="D903" t="s">
        <v>149</v>
      </c>
      <c r="E903" t="s">
        <v>14</v>
      </c>
      <c r="F903" t="s">
        <v>15</v>
      </c>
      <c r="G903" t="s">
        <v>177</v>
      </c>
      <c r="H903" t="s">
        <v>178</v>
      </c>
      <c r="I903" t="s">
        <v>37</v>
      </c>
      <c r="J903">
        <v>2</v>
      </c>
      <c r="K903">
        <v>2500</v>
      </c>
      <c r="L903">
        <v>5000</v>
      </c>
    </row>
    <row r="904" spans="1:12" x14ac:dyDescent="0.3">
      <c r="A904">
        <v>10903</v>
      </c>
      <c r="B904" s="2">
        <v>45884</v>
      </c>
      <c r="C904" t="s">
        <v>50</v>
      </c>
      <c r="D904" t="s">
        <v>51</v>
      </c>
      <c r="E904" t="s">
        <v>14</v>
      </c>
      <c r="F904" t="s">
        <v>15</v>
      </c>
      <c r="G904" t="s">
        <v>47</v>
      </c>
      <c r="H904" t="s">
        <v>48</v>
      </c>
      <c r="I904" t="s">
        <v>49</v>
      </c>
      <c r="J904">
        <v>2</v>
      </c>
      <c r="K904">
        <v>1600</v>
      </c>
      <c r="L904">
        <v>3200</v>
      </c>
    </row>
    <row r="905" spans="1:12" x14ac:dyDescent="0.3">
      <c r="A905">
        <v>10904</v>
      </c>
      <c r="B905" s="2">
        <v>45786</v>
      </c>
      <c r="C905" t="s">
        <v>220</v>
      </c>
      <c r="D905" t="s">
        <v>221</v>
      </c>
      <c r="E905" t="s">
        <v>102</v>
      </c>
      <c r="F905" t="s">
        <v>34</v>
      </c>
      <c r="G905" t="s">
        <v>131</v>
      </c>
      <c r="H905" t="s">
        <v>132</v>
      </c>
      <c r="I905" t="s">
        <v>37</v>
      </c>
      <c r="J905">
        <v>1</v>
      </c>
      <c r="K905">
        <v>4500</v>
      </c>
      <c r="L905">
        <v>4500</v>
      </c>
    </row>
    <row r="906" spans="1:12" x14ac:dyDescent="0.3">
      <c r="A906">
        <v>10905</v>
      </c>
      <c r="B906" s="2">
        <v>45956</v>
      </c>
      <c r="C906" t="s">
        <v>216</v>
      </c>
      <c r="D906" t="s">
        <v>217</v>
      </c>
      <c r="E906" t="s">
        <v>21</v>
      </c>
      <c r="F906" t="s">
        <v>15</v>
      </c>
      <c r="G906" t="s">
        <v>35</v>
      </c>
      <c r="H906" t="s">
        <v>36</v>
      </c>
      <c r="I906" t="s">
        <v>37</v>
      </c>
      <c r="J906">
        <v>2</v>
      </c>
      <c r="K906">
        <v>12000</v>
      </c>
      <c r="L906">
        <v>24000</v>
      </c>
    </row>
    <row r="907" spans="1:12" x14ac:dyDescent="0.3">
      <c r="A907">
        <v>10906</v>
      </c>
      <c r="B907" s="2">
        <v>45880</v>
      </c>
      <c r="C907" t="s">
        <v>91</v>
      </c>
      <c r="D907" t="s">
        <v>92</v>
      </c>
      <c r="E907" t="s">
        <v>40</v>
      </c>
      <c r="F907" t="s">
        <v>15</v>
      </c>
      <c r="G907" t="s">
        <v>131</v>
      </c>
      <c r="H907" t="s">
        <v>132</v>
      </c>
      <c r="I907" t="s">
        <v>37</v>
      </c>
      <c r="J907">
        <v>1</v>
      </c>
      <c r="K907">
        <v>4500</v>
      </c>
      <c r="L907">
        <v>4500</v>
      </c>
    </row>
    <row r="908" spans="1:12" x14ac:dyDescent="0.3">
      <c r="A908">
        <v>10907</v>
      </c>
      <c r="B908" s="2">
        <v>45694</v>
      </c>
      <c r="C908" t="s">
        <v>107</v>
      </c>
      <c r="D908" t="s">
        <v>108</v>
      </c>
      <c r="E908" t="s">
        <v>74</v>
      </c>
      <c r="F908" t="s">
        <v>28</v>
      </c>
      <c r="G908" t="s">
        <v>22</v>
      </c>
      <c r="H908" t="s">
        <v>23</v>
      </c>
      <c r="I908" t="s">
        <v>24</v>
      </c>
      <c r="J908">
        <v>2</v>
      </c>
      <c r="K908">
        <v>2400</v>
      </c>
      <c r="L908">
        <v>4800</v>
      </c>
    </row>
    <row r="909" spans="1:12" x14ac:dyDescent="0.3">
      <c r="A909">
        <v>10908</v>
      </c>
      <c r="B909" s="2">
        <v>45877</v>
      </c>
      <c r="C909" t="s">
        <v>117</v>
      </c>
      <c r="D909" t="s">
        <v>118</v>
      </c>
      <c r="E909" t="s">
        <v>95</v>
      </c>
      <c r="F909" t="s">
        <v>15</v>
      </c>
      <c r="G909" t="s">
        <v>144</v>
      </c>
      <c r="H909" t="s">
        <v>145</v>
      </c>
      <c r="I909" t="s">
        <v>37</v>
      </c>
      <c r="J909">
        <v>1</v>
      </c>
      <c r="K909">
        <v>65000</v>
      </c>
      <c r="L909">
        <v>65000</v>
      </c>
    </row>
    <row r="910" spans="1:12" x14ac:dyDescent="0.3">
      <c r="A910">
        <v>10909</v>
      </c>
      <c r="B910" s="2">
        <v>45683</v>
      </c>
      <c r="C910" t="s">
        <v>228</v>
      </c>
      <c r="D910" t="s">
        <v>229</v>
      </c>
      <c r="E910" t="s">
        <v>84</v>
      </c>
      <c r="F910" t="s">
        <v>46</v>
      </c>
      <c r="G910" t="s">
        <v>96</v>
      </c>
      <c r="H910" t="s">
        <v>97</v>
      </c>
      <c r="I910" t="s">
        <v>37</v>
      </c>
      <c r="J910">
        <v>1</v>
      </c>
      <c r="K910">
        <v>18000</v>
      </c>
      <c r="L910">
        <v>18000</v>
      </c>
    </row>
    <row r="911" spans="1:12" x14ac:dyDescent="0.3">
      <c r="A911">
        <v>10910</v>
      </c>
      <c r="B911" s="2">
        <v>45704</v>
      </c>
      <c r="C911" t="s">
        <v>91</v>
      </c>
      <c r="D911" t="s">
        <v>92</v>
      </c>
      <c r="E911" t="s">
        <v>40</v>
      </c>
      <c r="F911" t="s">
        <v>15</v>
      </c>
      <c r="G911" t="s">
        <v>65</v>
      </c>
      <c r="H911" t="s">
        <v>66</v>
      </c>
      <c r="I911" t="s">
        <v>49</v>
      </c>
      <c r="J911">
        <v>1</v>
      </c>
      <c r="K911">
        <v>2400</v>
      </c>
      <c r="L911">
        <v>2400</v>
      </c>
    </row>
    <row r="912" spans="1:12" x14ac:dyDescent="0.3">
      <c r="A912">
        <v>10911</v>
      </c>
      <c r="B912" s="2">
        <v>45794</v>
      </c>
      <c r="C912" t="s">
        <v>226</v>
      </c>
      <c r="D912" t="s">
        <v>227</v>
      </c>
      <c r="E912" t="s">
        <v>79</v>
      </c>
      <c r="F912" t="s">
        <v>34</v>
      </c>
      <c r="G912" t="s">
        <v>144</v>
      </c>
      <c r="H912" t="s">
        <v>145</v>
      </c>
      <c r="I912" t="s">
        <v>37</v>
      </c>
      <c r="J912">
        <v>3</v>
      </c>
      <c r="K912">
        <v>65000</v>
      </c>
      <c r="L912">
        <v>195000</v>
      </c>
    </row>
    <row r="913" spans="1:12" x14ac:dyDescent="0.3">
      <c r="A913">
        <v>10912</v>
      </c>
      <c r="B913" s="2">
        <v>45684</v>
      </c>
      <c r="C913" t="s">
        <v>204</v>
      </c>
      <c r="D913" t="s">
        <v>205</v>
      </c>
      <c r="E913" t="s">
        <v>201</v>
      </c>
      <c r="F913" t="s">
        <v>28</v>
      </c>
      <c r="G913" t="s">
        <v>96</v>
      </c>
      <c r="H913" t="s">
        <v>97</v>
      </c>
      <c r="I913" t="s">
        <v>37</v>
      </c>
      <c r="J913">
        <v>4</v>
      </c>
      <c r="K913">
        <v>18000</v>
      </c>
      <c r="L913">
        <v>72000</v>
      </c>
    </row>
    <row r="914" spans="1:12" x14ac:dyDescent="0.3">
      <c r="A914">
        <v>10913</v>
      </c>
      <c r="B914" s="2">
        <v>45914</v>
      </c>
      <c r="C914" t="s">
        <v>115</v>
      </c>
      <c r="D914" t="s">
        <v>116</v>
      </c>
      <c r="E914" t="s">
        <v>33</v>
      </c>
      <c r="F914" t="s">
        <v>34</v>
      </c>
      <c r="G914" t="s">
        <v>125</v>
      </c>
      <c r="H914" t="s">
        <v>126</v>
      </c>
      <c r="I914" t="s">
        <v>37</v>
      </c>
      <c r="J914">
        <v>1</v>
      </c>
      <c r="K914">
        <v>22000</v>
      </c>
      <c r="L914">
        <v>22000</v>
      </c>
    </row>
    <row r="915" spans="1:12" x14ac:dyDescent="0.3">
      <c r="A915">
        <v>10914</v>
      </c>
      <c r="B915" s="2">
        <v>45712</v>
      </c>
      <c r="C915" t="s">
        <v>91</v>
      </c>
      <c r="D915" t="s">
        <v>92</v>
      </c>
      <c r="E915" t="s">
        <v>40</v>
      </c>
      <c r="F915" t="s">
        <v>15</v>
      </c>
      <c r="G915" t="s">
        <v>177</v>
      </c>
      <c r="H915" t="s">
        <v>178</v>
      </c>
      <c r="I915" t="s">
        <v>37</v>
      </c>
      <c r="J915">
        <v>2</v>
      </c>
      <c r="K915">
        <v>2500</v>
      </c>
      <c r="L915">
        <v>5000</v>
      </c>
    </row>
    <row r="916" spans="1:12" x14ac:dyDescent="0.3">
      <c r="A916">
        <v>10915</v>
      </c>
      <c r="B916" s="2">
        <v>45823</v>
      </c>
      <c r="C916" t="s">
        <v>148</v>
      </c>
      <c r="D916" t="s">
        <v>149</v>
      </c>
      <c r="E916" t="s">
        <v>14</v>
      </c>
      <c r="F916" t="s">
        <v>15</v>
      </c>
      <c r="G916" t="s">
        <v>121</v>
      </c>
      <c r="H916" t="s">
        <v>122</v>
      </c>
      <c r="I916" t="s">
        <v>49</v>
      </c>
      <c r="J916">
        <v>2</v>
      </c>
      <c r="K916">
        <v>4800</v>
      </c>
      <c r="L916">
        <v>9600</v>
      </c>
    </row>
    <row r="917" spans="1:12" x14ac:dyDescent="0.3">
      <c r="A917">
        <v>10916</v>
      </c>
      <c r="B917" s="2">
        <v>45830</v>
      </c>
      <c r="C917" t="s">
        <v>12</v>
      </c>
      <c r="D917" t="s">
        <v>13</v>
      </c>
      <c r="E917" t="s">
        <v>14</v>
      </c>
      <c r="F917" t="s">
        <v>15</v>
      </c>
      <c r="G917" t="s">
        <v>121</v>
      </c>
      <c r="H917" t="s">
        <v>122</v>
      </c>
      <c r="I917" t="s">
        <v>49</v>
      </c>
      <c r="J917">
        <v>1</v>
      </c>
      <c r="K917">
        <v>4800</v>
      </c>
      <c r="L917">
        <v>4800</v>
      </c>
    </row>
    <row r="918" spans="1:12" x14ac:dyDescent="0.3">
      <c r="A918">
        <v>10917</v>
      </c>
      <c r="B918" s="2">
        <v>45701</v>
      </c>
      <c r="C918" t="s">
        <v>80</v>
      </c>
      <c r="D918" t="s">
        <v>81</v>
      </c>
      <c r="E918" t="s">
        <v>79</v>
      </c>
      <c r="F918" t="s">
        <v>34</v>
      </c>
      <c r="G918" t="s">
        <v>144</v>
      </c>
      <c r="H918" t="s">
        <v>145</v>
      </c>
      <c r="I918" t="s">
        <v>37</v>
      </c>
      <c r="J918">
        <v>3</v>
      </c>
      <c r="K918">
        <v>65000</v>
      </c>
      <c r="L918">
        <v>195000</v>
      </c>
    </row>
    <row r="919" spans="1:12" x14ac:dyDescent="0.3">
      <c r="A919">
        <v>10918</v>
      </c>
      <c r="B919" s="2">
        <v>45791</v>
      </c>
      <c r="C919" t="s">
        <v>191</v>
      </c>
      <c r="D919" t="s">
        <v>192</v>
      </c>
      <c r="E919" t="s">
        <v>27</v>
      </c>
      <c r="F919" t="s">
        <v>28</v>
      </c>
      <c r="G919" t="s">
        <v>113</v>
      </c>
      <c r="H919" t="s">
        <v>114</v>
      </c>
      <c r="I919" t="s">
        <v>37</v>
      </c>
      <c r="J919">
        <v>1</v>
      </c>
      <c r="K919">
        <v>52000</v>
      </c>
      <c r="L919">
        <v>52000</v>
      </c>
    </row>
    <row r="920" spans="1:12" x14ac:dyDescent="0.3">
      <c r="A920">
        <v>10919</v>
      </c>
      <c r="B920" s="2">
        <v>45824</v>
      </c>
      <c r="C920" t="s">
        <v>119</v>
      </c>
      <c r="D920" t="s">
        <v>120</v>
      </c>
      <c r="E920" t="s">
        <v>27</v>
      </c>
      <c r="F920" t="s">
        <v>28</v>
      </c>
      <c r="G920" t="s">
        <v>131</v>
      </c>
      <c r="H920" t="s">
        <v>132</v>
      </c>
      <c r="I920" t="s">
        <v>37</v>
      </c>
      <c r="J920">
        <v>2</v>
      </c>
      <c r="K920">
        <v>4500</v>
      </c>
      <c r="L920">
        <v>9000</v>
      </c>
    </row>
    <row r="921" spans="1:12" x14ac:dyDescent="0.3">
      <c r="A921">
        <v>10920</v>
      </c>
      <c r="B921" s="2">
        <v>45708</v>
      </c>
      <c r="C921" t="s">
        <v>148</v>
      </c>
      <c r="D921" t="s">
        <v>149</v>
      </c>
      <c r="E921" t="s">
        <v>14</v>
      </c>
      <c r="F921" t="s">
        <v>15</v>
      </c>
      <c r="G921" t="s">
        <v>47</v>
      </c>
      <c r="H921" t="s">
        <v>48</v>
      </c>
      <c r="I921" t="s">
        <v>49</v>
      </c>
      <c r="J921">
        <v>2</v>
      </c>
      <c r="K921">
        <v>1600</v>
      </c>
      <c r="L921">
        <v>3200</v>
      </c>
    </row>
    <row r="922" spans="1:12" x14ac:dyDescent="0.3">
      <c r="A922">
        <v>10921</v>
      </c>
      <c r="B922" s="2">
        <v>45763</v>
      </c>
      <c r="C922" t="s">
        <v>212</v>
      </c>
      <c r="D922" t="s">
        <v>213</v>
      </c>
      <c r="E922" t="s">
        <v>69</v>
      </c>
      <c r="F922" t="s">
        <v>28</v>
      </c>
      <c r="G922" t="s">
        <v>109</v>
      </c>
      <c r="H922" t="s">
        <v>110</v>
      </c>
      <c r="I922" t="s">
        <v>18</v>
      </c>
      <c r="J922">
        <v>1</v>
      </c>
      <c r="K922">
        <v>5000</v>
      </c>
      <c r="L922">
        <v>5000</v>
      </c>
    </row>
    <row r="923" spans="1:12" x14ac:dyDescent="0.3">
      <c r="A923">
        <v>10922</v>
      </c>
      <c r="B923" s="2">
        <v>45787</v>
      </c>
      <c r="C923" t="s">
        <v>189</v>
      </c>
      <c r="D923" t="s">
        <v>190</v>
      </c>
      <c r="E923" t="s">
        <v>160</v>
      </c>
      <c r="F923" t="s">
        <v>34</v>
      </c>
      <c r="G923" t="s">
        <v>179</v>
      </c>
      <c r="H923" t="s">
        <v>180</v>
      </c>
      <c r="I923" t="s">
        <v>18</v>
      </c>
      <c r="J923">
        <v>1</v>
      </c>
      <c r="K923">
        <v>6500</v>
      </c>
      <c r="L923">
        <v>6500</v>
      </c>
    </row>
    <row r="924" spans="1:12" x14ac:dyDescent="0.3">
      <c r="A924">
        <v>10923</v>
      </c>
      <c r="B924" s="2">
        <v>45790</v>
      </c>
      <c r="C924" t="s">
        <v>31</v>
      </c>
      <c r="D924" t="s">
        <v>32</v>
      </c>
      <c r="E924" t="s">
        <v>33</v>
      </c>
      <c r="F924" t="s">
        <v>34</v>
      </c>
      <c r="G924" t="s">
        <v>56</v>
      </c>
      <c r="H924" t="s">
        <v>57</v>
      </c>
      <c r="I924" t="s">
        <v>18</v>
      </c>
      <c r="J924">
        <v>1</v>
      </c>
      <c r="K924">
        <v>9000</v>
      </c>
      <c r="L924">
        <v>9000</v>
      </c>
    </row>
    <row r="925" spans="1:12" x14ac:dyDescent="0.3">
      <c r="A925">
        <v>10924</v>
      </c>
      <c r="B925" s="2">
        <v>45906</v>
      </c>
      <c r="C925" t="s">
        <v>50</v>
      </c>
      <c r="D925" t="s">
        <v>51</v>
      </c>
      <c r="E925" t="s">
        <v>14</v>
      </c>
      <c r="F925" t="s">
        <v>15</v>
      </c>
      <c r="G925" t="s">
        <v>52</v>
      </c>
      <c r="H925" t="s">
        <v>53</v>
      </c>
      <c r="I925" t="s">
        <v>24</v>
      </c>
      <c r="J925">
        <v>1</v>
      </c>
      <c r="K925">
        <v>3500</v>
      </c>
      <c r="L925">
        <v>3500</v>
      </c>
    </row>
    <row r="926" spans="1:12" x14ac:dyDescent="0.3">
      <c r="A926">
        <v>10925</v>
      </c>
      <c r="B926" s="2">
        <v>45853</v>
      </c>
      <c r="C926" t="s">
        <v>173</v>
      </c>
      <c r="D926" t="s">
        <v>174</v>
      </c>
      <c r="E926" t="s">
        <v>137</v>
      </c>
      <c r="F926" t="s">
        <v>46</v>
      </c>
      <c r="G926" t="s">
        <v>75</v>
      </c>
      <c r="H926" t="s">
        <v>76</v>
      </c>
      <c r="I926" t="s">
        <v>49</v>
      </c>
      <c r="J926">
        <v>1</v>
      </c>
      <c r="K926">
        <v>3000</v>
      </c>
      <c r="L926">
        <v>3000</v>
      </c>
    </row>
    <row r="927" spans="1:12" x14ac:dyDescent="0.3">
      <c r="A927">
        <v>10926</v>
      </c>
      <c r="B927" s="2">
        <v>45763</v>
      </c>
      <c r="C927" t="s">
        <v>117</v>
      </c>
      <c r="D927" t="s">
        <v>118</v>
      </c>
      <c r="E927" t="s">
        <v>95</v>
      </c>
      <c r="F927" t="s">
        <v>15</v>
      </c>
      <c r="G927" t="s">
        <v>52</v>
      </c>
      <c r="H927" t="s">
        <v>53</v>
      </c>
      <c r="I927" t="s">
        <v>24</v>
      </c>
      <c r="J927">
        <v>2</v>
      </c>
      <c r="K927">
        <v>3500</v>
      </c>
      <c r="L927">
        <v>7000</v>
      </c>
    </row>
    <row r="928" spans="1:12" x14ac:dyDescent="0.3">
      <c r="A928">
        <v>10927</v>
      </c>
      <c r="B928" s="2">
        <v>45725</v>
      </c>
      <c r="C928" t="s">
        <v>183</v>
      </c>
      <c r="D928" t="s">
        <v>184</v>
      </c>
      <c r="E928" t="s">
        <v>27</v>
      </c>
      <c r="F928" t="s">
        <v>28</v>
      </c>
      <c r="G928" t="s">
        <v>131</v>
      </c>
      <c r="H928" t="s">
        <v>132</v>
      </c>
      <c r="I928" t="s">
        <v>37</v>
      </c>
      <c r="J928">
        <v>3</v>
      </c>
      <c r="K928">
        <v>4500</v>
      </c>
      <c r="L928">
        <v>13500</v>
      </c>
    </row>
    <row r="929" spans="1:12" x14ac:dyDescent="0.3">
      <c r="A929">
        <v>10928</v>
      </c>
      <c r="B929" s="2">
        <v>45687</v>
      </c>
      <c r="C929" t="s">
        <v>133</v>
      </c>
      <c r="D929" t="s">
        <v>134</v>
      </c>
      <c r="E929" t="s">
        <v>33</v>
      </c>
      <c r="F929" t="s">
        <v>34</v>
      </c>
      <c r="G929" t="s">
        <v>177</v>
      </c>
      <c r="H929" t="s">
        <v>178</v>
      </c>
      <c r="I929" t="s">
        <v>37</v>
      </c>
      <c r="J929">
        <v>1</v>
      </c>
      <c r="K929">
        <v>2500</v>
      </c>
      <c r="L929">
        <v>2500</v>
      </c>
    </row>
    <row r="930" spans="1:12" x14ac:dyDescent="0.3">
      <c r="A930">
        <v>10929</v>
      </c>
      <c r="B930" s="2">
        <v>45923</v>
      </c>
      <c r="C930" t="s">
        <v>111</v>
      </c>
      <c r="D930" t="s">
        <v>112</v>
      </c>
      <c r="E930" t="s">
        <v>40</v>
      </c>
      <c r="F930" t="s">
        <v>15</v>
      </c>
      <c r="G930" t="s">
        <v>52</v>
      </c>
      <c r="H930" t="s">
        <v>53</v>
      </c>
      <c r="I930" t="s">
        <v>24</v>
      </c>
      <c r="J930">
        <v>1</v>
      </c>
      <c r="K930">
        <v>3500</v>
      </c>
      <c r="L930">
        <v>3500</v>
      </c>
    </row>
    <row r="931" spans="1:12" x14ac:dyDescent="0.3">
      <c r="A931">
        <v>10930</v>
      </c>
      <c r="B931" s="2">
        <v>45987</v>
      </c>
      <c r="C931" t="s">
        <v>133</v>
      </c>
      <c r="D931" t="s">
        <v>134</v>
      </c>
      <c r="E931" t="s">
        <v>33</v>
      </c>
      <c r="F931" t="s">
        <v>34</v>
      </c>
      <c r="G931" t="s">
        <v>98</v>
      </c>
      <c r="H931" t="s">
        <v>99</v>
      </c>
      <c r="I931" t="s">
        <v>24</v>
      </c>
      <c r="J931">
        <v>2</v>
      </c>
      <c r="K931">
        <v>2000</v>
      </c>
      <c r="L931">
        <v>4000</v>
      </c>
    </row>
    <row r="932" spans="1:12" x14ac:dyDescent="0.3">
      <c r="A932">
        <v>10931</v>
      </c>
      <c r="B932" s="2">
        <v>45865</v>
      </c>
      <c r="C932" t="s">
        <v>19</v>
      </c>
      <c r="D932" t="s">
        <v>20</v>
      </c>
      <c r="E932" t="s">
        <v>21</v>
      </c>
      <c r="F932" t="s">
        <v>15</v>
      </c>
      <c r="G932" t="s">
        <v>52</v>
      </c>
      <c r="H932" t="s">
        <v>53</v>
      </c>
      <c r="I932" t="s">
        <v>24</v>
      </c>
      <c r="J932">
        <v>2</v>
      </c>
      <c r="K932">
        <v>3500</v>
      </c>
      <c r="L932">
        <v>7000</v>
      </c>
    </row>
    <row r="933" spans="1:12" x14ac:dyDescent="0.3">
      <c r="A933">
        <v>10932</v>
      </c>
      <c r="B933" s="2">
        <v>45817</v>
      </c>
      <c r="C933" t="s">
        <v>175</v>
      </c>
      <c r="D933" t="s">
        <v>176</v>
      </c>
      <c r="E933" t="s">
        <v>84</v>
      </c>
      <c r="F933" t="s">
        <v>46</v>
      </c>
      <c r="G933" t="s">
        <v>152</v>
      </c>
      <c r="H933" t="s">
        <v>153</v>
      </c>
      <c r="I933" t="s">
        <v>49</v>
      </c>
      <c r="J933">
        <v>3</v>
      </c>
      <c r="K933">
        <v>3200</v>
      </c>
      <c r="L933">
        <v>9600</v>
      </c>
    </row>
    <row r="934" spans="1:12" x14ac:dyDescent="0.3">
      <c r="A934">
        <v>10933</v>
      </c>
      <c r="B934" s="2">
        <v>45899</v>
      </c>
      <c r="C934" t="s">
        <v>220</v>
      </c>
      <c r="D934" t="s">
        <v>221</v>
      </c>
      <c r="E934" t="s">
        <v>102</v>
      </c>
      <c r="F934" t="s">
        <v>34</v>
      </c>
      <c r="G934" t="s">
        <v>167</v>
      </c>
      <c r="H934" t="s">
        <v>168</v>
      </c>
      <c r="I934" t="s">
        <v>49</v>
      </c>
      <c r="J934">
        <v>2</v>
      </c>
      <c r="K934">
        <v>3800</v>
      </c>
      <c r="L934">
        <v>7600</v>
      </c>
    </row>
    <row r="935" spans="1:12" x14ac:dyDescent="0.3">
      <c r="A935">
        <v>10934</v>
      </c>
      <c r="B935" s="2">
        <v>45784</v>
      </c>
      <c r="C935" t="s">
        <v>210</v>
      </c>
      <c r="D935" t="s">
        <v>211</v>
      </c>
      <c r="E935" t="s">
        <v>40</v>
      </c>
      <c r="F935" t="s">
        <v>15</v>
      </c>
      <c r="G935" t="s">
        <v>65</v>
      </c>
      <c r="H935" t="s">
        <v>66</v>
      </c>
      <c r="I935" t="s">
        <v>49</v>
      </c>
      <c r="J935">
        <v>3</v>
      </c>
      <c r="K935">
        <v>2400</v>
      </c>
      <c r="L935">
        <v>7200</v>
      </c>
    </row>
    <row r="936" spans="1:12" x14ac:dyDescent="0.3">
      <c r="A936">
        <v>10935</v>
      </c>
      <c r="B936" s="2">
        <v>45882</v>
      </c>
      <c r="C936" t="s">
        <v>133</v>
      </c>
      <c r="D936" t="s">
        <v>134</v>
      </c>
      <c r="E936" t="s">
        <v>33</v>
      </c>
      <c r="F936" t="s">
        <v>34</v>
      </c>
      <c r="G936" t="s">
        <v>16</v>
      </c>
      <c r="H936" t="s">
        <v>17</v>
      </c>
      <c r="I936" t="s">
        <v>18</v>
      </c>
      <c r="J936">
        <v>4</v>
      </c>
      <c r="K936">
        <v>11000</v>
      </c>
      <c r="L936">
        <v>44000</v>
      </c>
    </row>
    <row r="937" spans="1:12" x14ac:dyDescent="0.3">
      <c r="A937">
        <v>10936</v>
      </c>
      <c r="B937" s="2">
        <v>45792</v>
      </c>
      <c r="C937" t="s">
        <v>54</v>
      </c>
      <c r="D937" t="s">
        <v>55</v>
      </c>
      <c r="E937" t="s">
        <v>33</v>
      </c>
      <c r="F937" t="s">
        <v>34</v>
      </c>
      <c r="G937" t="s">
        <v>52</v>
      </c>
      <c r="H937" t="s">
        <v>53</v>
      </c>
      <c r="I937" t="s">
        <v>24</v>
      </c>
      <c r="J937">
        <v>1</v>
      </c>
      <c r="K937">
        <v>3500</v>
      </c>
      <c r="L937">
        <v>3500</v>
      </c>
    </row>
    <row r="938" spans="1:12" x14ac:dyDescent="0.3">
      <c r="A938">
        <v>10937</v>
      </c>
      <c r="B938" s="2">
        <v>45724</v>
      </c>
      <c r="C938" t="s">
        <v>206</v>
      </c>
      <c r="D938" t="s">
        <v>207</v>
      </c>
      <c r="E938" t="s">
        <v>160</v>
      </c>
      <c r="F938" t="s">
        <v>34</v>
      </c>
      <c r="G938" t="s">
        <v>177</v>
      </c>
      <c r="H938" t="s">
        <v>178</v>
      </c>
      <c r="I938" t="s">
        <v>37</v>
      </c>
      <c r="J938">
        <v>1</v>
      </c>
      <c r="K938">
        <v>2500</v>
      </c>
      <c r="L938">
        <v>2500</v>
      </c>
    </row>
    <row r="939" spans="1:12" x14ac:dyDescent="0.3">
      <c r="A939">
        <v>10938</v>
      </c>
      <c r="B939" s="2">
        <v>46005</v>
      </c>
      <c r="C939" t="s">
        <v>193</v>
      </c>
      <c r="D939" t="s">
        <v>194</v>
      </c>
      <c r="E939" t="s">
        <v>102</v>
      </c>
      <c r="F939" t="s">
        <v>34</v>
      </c>
      <c r="G939" t="s">
        <v>16</v>
      </c>
      <c r="H939" t="s">
        <v>17</v>
      </c>
      <c r="I939" t="s">
        <v>18</v>
      </c>
      <c r="J939">
        <v>1</v>
      </c>
      <c r="K939">
        <v>11000</v>
      </c>
      <c r="L939">
        <v>11000</v>
      </c>
    </row>
    <row r="940" spans="1:12" x14ac:dyDescent="0.3">
      <c r="A940">
        <v>10939</v>
      </c>
      <c r="B940" s="2">
        <v>45777</v>
      </c>
      <c r="C940" t="s">
        <v>91</v>
      </c>
      <c r="D940" t="s">
        <v>92</v>
      </c>
      <c r="E940" t="s">
        <v>40</v>
      </c>
      <c r="F940" t="s">
        <v>15</v>
      </c>
      <c r="G940" t="s">
        <v>70</v>
      </c>
      <c r="H940" t="s">
        <v>71</v>
      </c>
      <c r="I940" t="s">
        <v>37</v>
      </c>
      <c r="J940">
        <v>1</v>
      </c>
      <c r="K940">
        <v>2200</v>
      </c>
      <c r="L940">
        <v>2200</v>
      </c>
    </row>
    <row r="941" spans="1:12" x14ac:dyDescent="0.3">
      <c r="A941">
        <v>10940</v>
      </c>
      <c r="B941" s="2">
        <v>45720</v>
      </c>
      <c r="C941" t="s">
        <v>105</v>
      </c>
      <c r="D941" t="s">
        <v>106</v>
      </c>
      <c r="E941" t="s">
        <v>45</v>
      </c>
      <c r="F941" t="s">
        <v>46</v>
      </c>
      <c r="G941" t="s">
        <v>56</v>
      </c>
      <c r="H941" t="s">
        <v>57</v>
      </c>
      <c r="I941" t="s">
        <v>18</v>
      </c>
      <c r="J941">
        <v>1</v>
      </c>
      <c r="K941">
        <v>9000</v>
      </c>
      <c r="L941">
        <v>9000</v>
      </c>
    </row>
    <row r="942" spans="1:12" x14ac:dyDescent="0.3">
      <c r="A942">
        <v>10941</v>
      </c>
      <c r="B942" s="2">
        <v>45770</v>
      </c>
      <c r="C942" t="s">
        <v>148</v>
      </c>
      <c r="D942" t="s">
        <v>149</v>
      </c>
      <c r="E942" t="s">
        <v>14</v>
      </c>
      <c r="F942" t="s">
        <v>15</v>
      </c>
      <c r="G942" t="s">
        <v>29</v>
      </c>
      <c r="H942" t="s">
        <v>30</v>
      </c>
      <c r="I942" t="s">
        <v>18</v>
      </c>
      <c r="J942">
        <v>1</v>
      </c>
      <c r="K942">
        <v>15000</v>
      </c>
      <c r="L942">
        <v>15000</v>
      </c>
    </row>
    <row r="943" spans="1:12" x14ac:dyDescent="0.3">
      <c r="A943">
        <v>10942</v>
      </c>
      <c r="B943" s="2">
        <v>45934</v>
      </c>
      <c r="C943" t="s">
        <v>82</v>
      </c>
      <c r="D943" t="s">
        <v>83</v>
      </c>
      <c r="E943" t="s">
        <v>84</v>
      </c>
      <c r="F943" t="s">
        <v>46</v>
      </c>
      <c r="G943" t="s">
        <v>113</v>
      </c>
      <c r="H943" t="s">
        <v>114</v>
      </c>
      <c r="I943" t="s">
        <v>37</v>
      </c>
      <c r="J943">
        <v>2</v>
      </c>
      <c r="K943">
        <v>52000</v>
      </c>
      <c r="L943">
        <v>104000</v>
      </c>
    </row>
    <row r="944" spans="1:12" x14ac:dyDescent="0.3">
      <c r="A944">
        <v>10943</v>
      </c>
      <c r="B944" s="2">
        <v>45813</v>
      </c>
      <c r="C944" t="s">
        <v>25</v>
      </c>
      <c r="D944" t="s">
        <v>26</v>
      </c>
      <c r="E944" t="s">
        <v>27</v>
      </c>
      <c r="F944" t="s">
        <v>28</v>
      </c>
      <c r="G944" t="s">
        <v>75</v>
      </c>
      <c r="H944" t="s">
        <v>76</v>
      </c>
      <c r="I944" t="s">
        <v>49</v>
      </c>
      <c r="J944">
        <v>1</v>
      </c>
      <c r="K944">
        <v>3000</v>
      </c>
      <c r="L944">
        <v>3000</v>
      </c>
    </row>
    <row r="945" spans="1:12" x14ac:dyDescent="0.3">
      <c r="A945">
        <v>10944</v>
      </c>
      <c r="B945" s="2">
        <v>45758</v>
      </c>
      <c r="C945" t="s">
        <v>228</v>
      </c>
      <c r="D945" t="s">
        <v>229</v>
      </c>
      <c r="E945" t="s">
        <v>84</v>
      </c>
      <c r="F945" t="s">
        <v>46</v>
      </c>
      <c r="G945" t="s">
        <v>167</v>
      </c>
      <c r="H945" t="s">
        <v>168</v>
      </c>
      <c r="I945" t="s">
        <v>49</v>
      </c>
      <c r="J945">
        <v>1</v>
      </c>
      <c r="K945">
        <v>3800</v>
      </c>
      <c r="L945">
        <v>3800</v>
      </c>
    </row>
    <row r="946" spans="1:12" x14ac:dyDescent="0.3">
      <c r="A946">
        <v>10945</v>
      </c>
      <c r="B946" s="2">
        <v>45771</v>
      </c>
      <c r="C946" t="s">
        <v>158</v>
      </c>
      <c r="D946" t="s">
        <v>159</v>
      </c>
      <c r="E946" t="s">
        <v>160</v>
      </c>
      <c r="F946" t="s">
        <v>34</v>
      </c>
      <c r="G946" t="s">
        <v>131</v>
      </c>
      <c r="H946" t="s">
        <v>132</v>
      </c>
      <c r="I946" t="s">
        <v>37</v>
      </c>
      <c r="J946">
        <v>2</v>
      </c>
      <c r="K946">
        <v>4500</v>
      </c>
      <c r="L946">
        <v>9000</v>
      </c>
    </row>
    <row r="947" spans="1:12" x14ac:dyDescent="0.3">
      <c r="A947">
        <v>10946</v>
      </c>
      <c r="B947" s="2">
        <v>45814</v>
      </c>
      <c r="C947" t="s">
        <v>228</v>
      </c>
      <c r="D947" t="s">
        <v>229</v>
      </c>
      <c r="E947" t="s">
        <v>84</v>
      </c>
      <c r="F947" t="s">
        <v>46</v>
      </c>
      <c r="G947" t="s">
        <v>96</v>
      </c>
      <c r="H947" t="s">
        <v>97</v>
      </c>
      <c r="I947" t="s">
        <v>37</v>
      </c>
      <c r="J947">
        <v>3</v>
      </c>
      <c r="K947">
        <v>18000</v>
      </c>
      <c r="L947">
        <v>54000</v>
      </c>
    </row>
    <row r="948" spans="1:12" x14ac:dyDescent="0.3">
      <c r="A948">
        <v>10947</v>
      </c>
      <c r="B948" s="2">
        <v>45839</v>
      </c>
      <c r="C948" t="s">
        <v>183</v>
      </c>
      <c r="D948" t="s">
        <v>184</v>
      </c>
      <c r="E948" t="s">
        <v>27</v>
      </c>
      <c r="F948" t="s">
        <v>28</v>
      </c>
      <c r="G948" t="s">
        <v>16</v>
      </c>
      <c r="H948" t="s">
        <v>17</v>
      </c>
      <c r="I948" t="s">
        <v>18</v>
      </c>
      <c r="J948">
        <v>4</v>
      </c>
      <c r="K948">
        <v>11000</v>
      </c>
      <c r="L948">
        <v>44000</v>
      </c>
    </row>
    <row r="949" spans="1:12" x14ac:dyDescent="0.3">
      <c r="A949">
        <v>10948</v>
      </c>
      <c r="B949" s="2">
        <v>45665</v>
      </c>
      <c r="C949" t="s">
        <v>183</v>
      </c>
      <c r="D949" t="s">
        <v>184</v>
      </c>
      <c r="E949" t="s">
        <v>27</v>
      </c>
      <c r="F949" t="s">
        <v>28</v>
      </c>
      <c r="G949" t="s">
        <v>47</v>
      </c>
      <c r="H949" t="s">
        <v>48</v>
      </c>
      <c r="I949" t="s">
        <v>49</v>
      </c>
      <c r="J949">
        <v>4</v>
      </c>
      <c r="K949">
        <v>1600</v>
      </c>
      <c r="L949">
        <v>6400</v>
      </c>
    </row>
    <row r="950" spans="1:12" x14ac:dyDescent="0.3">
      <c r="A950">
        <v>10949</v>
      </c>
      <c r="B950" s="2">
        <v>45768</v>
      </c>
      <c r="C950" t="s">
        <v>138</v>
      </c>
      <c r="D950" t="s">
        <v>139</v>
      </c>
      <c r="E950" t="s">
        <v>79</v>
      </c>
      <c r="F950" t="s">
        <v>34</v>
      </c>
      <c r="G950" t="s">
        <v>113</v>
      </c>
      <c r="H950" t="s">
        <v>114</v>
      </c>
      <c r="I950" t="s">
        <v>37</v>
      </c>
      <c r="J950">
        <v>1</v>
      </c>
      <c r="K950">
        <v>52000</v>
      </c>
      <c r="L950">
        <v>52000</v>
      </c>
    </row>
    <row r="951" spans="1:12" x14ac:dyDescent="0.3">
      <c r="A951">
        <v>10950</v>
      </c>
      <c r="B951" s="2">
        <v>45760</v>
      </c>
      <c r="C951" t="s">
        <v>105</v>
      </c>
      <c r="D951" t="s">
        <v>106</v>
      </c>
      <c r="E951" t="s">
        <v>45</v>
      </c>
      <c r="F951" t="s">
        <v>46</v>
      </c>
      <c r="G951" t="s">
        <v>16</v>
      </c>
      <c r="H951" t="s">
        <v>17</v>
      </c>
      <c r="I951" t="s">
        <v>18</v>
      </c>
      <c r="J951">
        <v>2</v>
      </c>
      <c r="K951">
        <v>11000</v>
      </c>
      <c r="L951">
        <v>22000</v>
      </c>
    </row>
    <row r="952" spans="1:12" x14ac:dyDescent="0.3">
      <c r="A952">
        <v>10951</v>
      </c>
      <c r="B952" s="2">
        <v>45695</v>
      </c>
      <c r="C952" t="s">
        <v>43</v>
      </c>
      <c r="D952" t="s">
        <v>44</v>
      </c>
      <c r="E952" t="s">
        <v>45</v>
      </c>
      <c r="F952" t="s">
        <v>46</v>
      </c>
      <c r="G952" t="s">
        <v>131</v>
      </c>
      <c r="H952" t="s">
        <v>132</v>
      </c>
      <c r="I952" t="s">
        <v>37</v>
      </c>
      <c r="J952">
        <v>2</v>
      </c>
      <c r="K952">
        <v>4500</v>
      </c>
      <c r="L952">
        <v>9000</v>
      </c>
    </row>
    <row r="953" spans="1:12" x14ac:dyDescent="0.3">
      <c r="A953">
        <v>10952</v>
      </c>
      <c r="B953" s="2">
        <v>45871</v>
      </c>
      <c r="C953" t="s">
        <v>220</v>
      </c>
      <c r="D953" t="s">
        <v>221</v>
      </c>
      <c r="E953" t="s">
        <v>102</v>
      </c>
      <c r="F953" t="s">
        <v>34</v>
      </c>
      <c r="G953" t="s">
        <v>56</v>
      </c>
      <c r="H953" t="s">
        <v>57</v>
      </c>
      <c r="I953" t="s">
        <v>18</v>
      </c>
      <c r="J953">
        <v>2</v>
      </c>
      <c r="K953">
        <v>9000</v>
      </c>
      <c r="L953">
        <v>18000</v>
      </c>
    </row>
    <row r="954" spans="1:12" x14ac:dyDescent="0.3">
      <c r="A954">
        <v>10953</v>
      </c>
      <c r="B954" s="2">
        <v>45759</v>
      </c>
      <c r="C954" t="s">
        <v>156</v>
      </c>
      <c r="D954" t="s">
        <v>157</v>
      </c>
      <c r="E954" t="s">
        <v>95</v>
      </c>
      <c r="F954" t="s">
        <v>15</v>
      </c>
      <c r="G954" t="s">
        <v>177</v>
      </c>
      <c r="H954" t="s">
        <v>178</v>
      </c>
      <c r="I954" t="s">
        <v>37</v>
      </c>
      <c r="J954">
        <v>2</v>
      </c>
      <c r="K954">
        <v>2500</v>
      </c>
      <c r="L954">
        <v>5000</v>
      </c>
    </row>
    <row r="955" spans="1:12" x14ac:dyDescent="0.3">
      <c r="A955">
        <v>10954</v>
      </c>
      <c r="B955" s="2">
        <v>45760</v>
      </c>
      <c r="C955" t="s">
        <v>80</v>
      </c>
      <c r="D955" t="s">
        <v>81</v>
      </c>
      <c r="E955" t="s">
        <v>79</v>
      </c>
      <c r="F955" t="s">
        <v>34</v>
      </c>
      <c r="G955" t="s">
        <v>163</v>
      </c>
      <c r="H955" t="s">
        <v>164</v>
      </c>
      <c r="I955" t="s">
        <v>49</v>
      </c>
      <c r="J955">
        <v>1</v>
      </c>
      <c r="K955">
        <v>4200</v>
      </c>
      <c r="L955">
        <v>4200</v>
      </c>
    </row>
    <row r="956" spans="1:12" x14ac:dyDescent="0.3">
      <c r="A956">
        <v>10955</v>
      </c>
      <c r="B956" s="2">
        <v>45676</v>
      </c>
      <c r="C956" t="s">
        <v>31</v>
      </c>
      <c r="D956" t="s">
        <v>32</v>
      </c>
      <c r="E956" t="s">
        <v>33</v>
      </c>
      <c r="F956" t="s">
        <v>34</v>
      </c>
      <c r="G956" t="s">
        <v>109</v>
      </c>
      <c r="H956" t="s">
        <v>110</v>
      </c>
      <c r="I956" t="s">
        <v>18</v>
      </c>
      <c r="J956">
        <v>2</v>
      </c>
      <c r="K956">
        <v>5000</v>
      </c>
      <c r="L956">
        <v>10000</v>
      </c>
    </row>
    <row r="957" spans="1:12" x14ac:dyDescent="0.3">
      <c r="A957">
        <v>10956</v>
      </c>
      <c r="B957" s="2">
        <v>45712</v>
      </c>
      <c r="C957" t="s">
        <v>111</v>
      </c>
      <c r="D957" t="s">
        <v>112</v>
      </c>
      <c r="E957" t="s">
        <v>40</v>
      </c>
      <c r="F957" t="s">
        <v>15</v>
      </c>
      <c r="G957" t="s">
        <v>125</v>
      </c>
      <c r="H957" t="s">
        <v>126</v>
      </c>
      <c r="I957" t="s">
        <v>37</v>
      </c>
      <c r="J957">
        <v>2</v>
      </c>
      <c r="K957">
        <v>22000</v>
      </c>
      <c r="L957">
        <v>44000</v>
      </c>
    </row>
    <row r="958" spans="1:12" x14ac:dyDescent="0.3">
      <c r="A958">
        <v>10957</v>
      </c>
      <c r="B958" s="2">
        <v>45901</v>
      </c>
      <c r="C958" t="s">
        <v>181</v>
      </c>
      <c r="D958" t="s">
        <v>182</v>
      </c>
      <c r="E958" t="s">
        <v>21</v>
      </c>
      <c r="F958" t="s">
        <v>15</v>
      </c>
      <c r="G958" t="s">
        <v>131</v>
      </c>
      <c r="H958" t="s">
        <v>132</v>
      </c>
      <c r="I958" t="s">
        <v>37</v>
      </c>
      <c r="J958">
        <v>2</v>
      </c>
      <c r="K958">
        <v>4500</v>
      </c>
      <c r="L958">
        <v>9000</v>
      </c>
    </row>
    <row r="959" spans="1:12" x14ac:dyDescent="0.3">
      <c r="A959">
        <v>10958</v>
      </c>
      <c r="B959" s="2">
        <v>45911</v>
      </c>
      <c r="C959" t="s">
        <v>234</v>
      </c>
      <c r="D959" t="s">
        <v>235</v>
      </c>
      <c r="E959" t="s">
        <v>137</v>
      </c>
      <c r="F959" t="s">
        <v>46</v>
      </c>
      <c r="G959" t="s">
        <v>125</v>
      </c>
      <c r="H959" t="s">
        <v>126</v>
      </c>
      <c r="I959" t="s">
        <v>37</v>
      </c>
      <c r="J959">
        <v>2</v>
      </c>
      <c r="K959">
        <v>22000</v>
      </c>
      <c r="L959">
        <v>44000</v>
      </c>
    </row>
    <row r="960" spans="1:12" x14ac:dyDescent="0.3">
      <c r="A960">
        <v>10959</v>
      </c>
      <c r="B960" s="2">
        <v>45735</v>
      </c>
      <c r="C960" t="s">
        <v>93</v>
      </c>
      <c r="D960" t="s">
        <v>94</v>
      </c>
      <c r="E960" t="s">
        <v>95</v>
      </c>
      <c r="F960" t="s">
        <v>15</v>
      </c>
      <c r="G960" t="s">
        <v>98</v>
      </c>
      <c r="H960" t="s">
        <v>99</v>
      </c>
      <c r="I960" t="s">
        <v>24</v>
      </c>
      <c r="J960">
        <v>1</v>
      </c>
      <c r="K960">
        <v>2000</v>
      </c>
      <c r="L960">
        <v>2000</v>
      </c>
    </row>
    <row r="961" spans="1:12" x14ac:dyDescent="0.3">
      <c r="A961">
        <v>10960</v>
      </c>
      <c r="B961" s="2">
        <v>45723</v>
      </c>
      <c r="C961" t="s">
        <v>12</v>
      </c>
      <c r="D961" t="s">
        <v>13</v>
      </c>
      <c r="E961" t="s">
        <v>14</v>
      </c>
      <c r="F961" t="s">
        <v>15</v>
      </c>
      <c r="G961" t="s">
        <v>125</v>
      </c>
      <c r="H961" t="s">
        <v>126</v>
      </c>
      <c r="I961" t="s">
        <v>37</v>
      </c>
      <c r="J961">
        <v>2</v>
      </c>
      <c r="K961">
        <v>22000</v>
      </c>
      <c r="L961">
        <v>44000</v>
      </c>
    </row>
    <row r="962" spans="1:12" x14ac:dyDescent="0.3">
      <c r="A962">
        <v>10961</v>
      </c>
      <c r="B962" s="2">
        <v>45933</v>
      </c>
      <c r="C962" t="s">
        <v>220</v>
      </c>
      <c r="D962" t="s">
        <v>221</v>
      </c>
      <c r="E962" t="s">
        <v>102</v>
      </c>
      <c r="F962" t="s">
        <v>34</v>
      </c>
      <c r="G962" t="s">
        <v>167</v>
      </c>
      <c r="H962" t="s">
        <v>168</v>
      </c>
      <c r="I962" t="s">
        <v>49</v>
      </c>
      <c r="J962">
        <v>4</v>
      </c>
      <c r="K962">
        <v>3800</v>
      </c>
      <c r="L962">
        <v>15200</v>
      </c>
    </row>
    <row r="963" spans="1:12" x14ac:dyDescent="0.3">
      <c r="A963">
        <v>10962</v>
      </c>
      <c r="B963" s="2">
        <v>45702</v>
      </c>
      <c r="C963" t="s">
        <v>208</v>
      </c>
      <c r="D963" t="s">
        <v>209</v>
      </c>
      <c r="E963" t="s">
        <v>95</v>
      </c>
      <c r="F963" t="s">
        <v>15</v>
      </c>
      <c r="G963" t="s">
        <v>167</v>
      </c>
      <c r="H963" t="s">
        <v>168</v>
      </c>
      <c r="I963" t="s">
        <v>49</v>
      </c>
      <c r="J963">
        <v>1</v>
      </c>
      <c r="K963">
        <v>3800</v>
      </c>
      <c r="L963">
        <v>3800</v>
      </c>
    </row>
    <row r="964" spans="1:12" x14ac:dyDescent="0.3">
      <c r="A964">
        <v>10963</v>
      </c>
      <c r="B964" s="2">
        <v>45734</v>
      </c>
      <c r="C964" t="s">
        <v>216</v>
      </c>
      <c r="D964" t="s">
        <v>217</v>
      </c>
      <c r="E964" t="s">
        <v>21</v>
      </c>
      <c r="F964" t="s">
        <v>15</v>
      </c>
      <c r="G964" t="s">
        <v>60</v>
      </c>
      <c r="H964" t="s">
        <v>61</v>
      </c>
      <c r="I964" t="s">
        <v>18</v>
      </c>
      <c r="J964">
        <v>4</v>
      </c>
      <c r="K964">
        <v>2200</v>
      </c>
      <c r="L964">
        <v>8800</v>
      </c>
    </row>
    <row r="965" spans="1:12" x14ac:dyDescent="0.3">
      <c r="A965">
        <v>10964</v>
      </c>
      <c r="B965" s="2">
        <v>46005</v>
      </c>
      <c r="C965" t="s">
        <v>220</v>
      </c>
      <c r="D965" t="s">
        <v>221</v>
      </c>
      <c r="E965" t="s">
        <v>102</v>
      </c>
      <c r="F965" t="s">
        <v>34</v>
      </c>
      <c r="G965" t="s">
        <v>98</v>
      </c>
      <c r="H965" t="s">
        <v>99</v>
      </c>
      <c r="I965" t="s">
        <v>24</v>
      </c>
      <c r="J965">
        <v>2</v>
      </c>
      <c r="K965">
        <v>2000</v>
      </c>
      <c r="L965">
        <v>4000</v>
      </c>
    </row>
    <row r="966" spans="1:12" x14ac:dyDescent="0.3">
      <c r="A966">
        <v>10965</v>
      </c>
      <c r="B966" s="2">
        <v>45818</v>
      </c>
      <c r="C966" t="s">
        <v>238</v>
      </c>
      <c r="D966" t="s">
        <v>239</v>
      </c>
      <c r="E966" t="s">
        <v>137</v>
      </c>
      <c r="F966" t="s">
        <v>46</v>
      </c>
      <c r="G966" t="s">
        <v>129</v>
      </c>
      <c r="H966" t="s">
        <v>130</v>
      </c>
      <c r="I966" t="s">
        <v>24</v>
      </c>
      <c r="J966">
        <v>1</v>
      </c>
      <c r="K966">
        <v>1400</v>
      </c>
      <c r="L966">
        <v>1400</v>
      </c>
    </row>
    <row r="967" spans="1:12" x14ac:dyDescent="0.3">
      <c r="A967">
        <v>10966</v>
      </c>
      <c r="B967" s="2">
        <v>45849</v>
      </c>
      <c r="C967" t="s">
        <v>12</v>
      </c>
      <c r="D967" t="s">
        <v>13</v>
      </c>
      <c r="E967" t="s">
        <v>14</v>
      </c>
      <c r="F967" t="s">
        <v>15</v>
      </c>
      <c r="G967" t="s">
        <v>179</v>
      </c>
      <c r="H967" t="s">
        <v>180</v>
      </c>
      <c r="I967" t="s">
        <v>18</v>
      </c>
      <c r="J967">
        <v>1</v>
      </c>
      <c r="K967">
        <v>6500</v>
      </c>
      <c r="L967">
        <v>6500</v>
      </c>
    </row>
    <row r="968" spans="1:12" x14ac:dyDescent="0.3">
      <c r="A968">
        <v>10967</v>
      </c>
      <c r="B968" s="2">
        <v>45786</v>
      </c>
      <c r="C968" t="s">
        <v>19</v>
      </c>
      <c r="D968" t="s">
        <v>20</v>
      </c>
      <c r="E968" t="s">
        <v>21</v>
      </c>
      <c r="F968" t="s">
        <v>15</v>
      </c>
      <c r="G968" t="s">
        <v>103</v>
      </c>
      <c r="H968" t="s">
        <v>104</v>
      </c>
      <c r="I968" t="s">
        <v>37</v>
      </c>
      <c r="J968">
        <v>2</v>
      </c>
      <c r="K968">
        <v>28000</v>
      </c>
      <c r="L968">
        <v>56000</v>
      </c>
    </row>
    <row r="969" spans="1:12" x14ac:dyDescent="0.3">
      <c r="A969">
        <v>10968</v>
      </c>
      <c r="B969" s="2">
        <v>45942</v>
      </c>
      <c r="C969" t="s">
        <v>183</v>
      </c>
      <c r="D969" t="s">
        <v>184</v>
      </c>
      <c r="E969" t="s">
        <v>27</v>
      </c>
      <c r="F969" t="s">
        <v>28</v>
      </c>
      <c r="G969" t="s">
        <v>35</v>
      </c>
      <c r="H969" t="s">
        <v>36</v>
      </c>
      <c r="I969" t="s">
        <v>37</v>
      </c>
      <c r="J969">
        <v>2</v>
      </c>
      <c r="K969">
        <v>12000</v>
      </c>
      <c r="L969">
        <v>24000</v>
      </c>
    </row>
    <row r="970" spans="1:12" x14ac:dyDescent="0.3">
      <c r="A970">
        <v>10969</v>
      </c>
      <c r="B970" s="2">
        <v>45853</v>
      </c>
      <c r="C970" t="s">
        <v>181</v>
      </c>
      <c r="D970" t="s">
        <v>182</v>
      </c>
      <c r="E970" t="s">
        <v>21</v>
      </c>
      <c r="F970" t="s">
        <v>15</v>
      </c>
      <c r="G970" t="s">
        <v>65</v>
      </c>
      <c r="H970" t="s">
        <v>66</v>
      </c>
      <c r="I970" t="s">
        <v>49</v>
      </c>
      <c r="J970">
        <v>2</v>
      </c>
      <c r="K970">
        <v>2400</v>
      </c>
      <c r="L970">
        <v>4800</v>
      </c>
    </row>
    <row r="971" spans="1:12" x14ac:dyDescent="0.3">
      <c r="A971">
        <v>10970</v>
      </c>
      <c r="B971" s="2">
        <v>45801</v>
      </c>
      <c r="C971" t="s">
        <v>119</v>
      </c>
      <c r="D971" t="s">
        <v>120</v>
      </c>
      <c r="E971" t="s">
        <v>27</v>
      </c>
      <c r="F971" t="s">
        <v>28</v>
      </c>
      <c r="G971" t="s">
        <v>96</v>
      </c>
      <c r="H971" t="s">
        <v>97</v>
      </c>
      <c r="I971" t="s">
        <v>37</v>
      </c>
      <c r="J971">
        <v>2</v>
      </c>
      <c r="K971">
        <v>18000</v>
      </c>
      <c r="L971">
        <v>36000</v>
      </c>
    </row>
    <row r="972" spans="1:12" x14ac:dyDescent="0.3">
      <c r="A972">
        <v>10971</v>
      </c>
      <c r="B972" s="2">
        <v>45925</v>
      </c>
      <c r="C972" t="s">
        <v>50</v>
      </c>
      <c r="D972" t="s">
        <v>51</v>
      </c>
      <c r="E972" t="s">
        <v>14</v>
      </c>
      <c r="F972" t="s">
        <v>15</v>
      </c>
      <c r="G972" t="s">
        <v>56</v>
      </c>
      <c r="H972" t="s">
        <v>57</v>
      </c>
      <c r="I972" t="s">
        <v>18</v>
      </c>
      <c r="J972">
        <v>2</v>
      </c>
      <c r="K972">
        <v>9000</v>
      </c>
      <c r="L972">
        <v>18000</v>
      </c>
    </row>
    <row r="973" spans="1:12" x14ac:dyDescent="0.3">
      <c r="A973">
        <v>10972</v>
      </c>
      <c r="B973" s="2">
        <v>45974</v>
      </c>
      <c r="C973" t="s">
        <v>210</v>
      </c>
      <c r="D973" t="s">
        <v>211</v>
      </c>
      <c r="E973" t="s">
        <v>40</v>
      </c>
      <c r="F973" t="s">
        <v>15</v>
      </c>
      <c r="G973" t="s">
        <v>113</v>
      </c>
      <c r="H973" t="s">
        <v>114</v>
      </c>
      <c r="I973" t="s">
        <v>37</v>
      </c>
      <c r="J973">
        <v>4</v>
      </c>
      <c r="K973">
        <v>52000</v>
      </c>
      <c r="L973">
        <v>208000</v>
      </c>
    </row>
    <row r="974" spans="1:12" x14ac:dyDescent="0.3">
      <c r="A974">
        <v>10973</v>
      </c>
      <c r="B974" s="2">
        <v>46005</v>
      </c>
      <c r="C974" t="s">
        <v>185</v>
      </c>
      <c r="D974" t="s">
        <v>186</v>
      </c>
      <c r="E974" t="s">
        <v>14</v>
      </c>
      <c r="F974" t="s">
        <v>15</v>
      </c>
      <c r="G974" t="s">
        <v>179</v>
      </c>
      <c r="H974" t="s">
        <v>180</v>
      </c>
      <c r="I974" t="s">
        <v>18</v>
      </c>
      <c r="J974">
        <v>1</v>
      </c>
      <c r="K974">
        <v>6500</v>
      </c>
      <c r="L974">
        <v>6500</v>
      </c>
    </row>
    <row r="975" spans="1:12" x14ac:dyDescent="0.3">
      <c r="A975">
        <v>10974</v>
      </c>
      <c r="B975" s="2">
        <v>45895</v>
      </c>
      <c r="C975" t="s">
        <v>82</v>
      </c>
      <c r="D975" t="s">
        <v>83</v>
      </c>
      <c r="E975" t="s">
        <v>84</v>
      </c>
      <c r="F975" t="s">
        <v>46</v>
      </c>
      <c r="G975" t="s">
        <v>41</v>
      </c>
      <c r="H975" t="s">
        <v>42</v>
      </c>
      <c r="I975" t="s">
        <v>37</v>
      </c>
      <c r="J975">
        <v>1</v>
      </c>
      <c r="K975">
        <v>30000</v>
      </c>
      <c r="L975">
        <v>30000</v>
      </c>
    </row>
    <row r="976" spans="1:12" x14ac:dyDescent="0.3">
      <c r="A976">
        <v>10975</v>
      </c>
      <c r="B976" s="2">
        <v>45732</v>
      </c>
      <c r="C976" t="s">
        <v>43</v>
      </c>
      <c r="D976" t="s">
        <v>44</v>
      </c>
      <c r="E976" t="s">
        <v>45</v>
      </c>
      <c r="F976" t="s">
        <v>46</v>
      </c>
      <c r="G976" t="s">
        <v>75</v>
      </c>
      <c r="H976" t="s">
        <v>76</v>
      </c>
      <c r="I976" t="s">
        <v>49</v>
      </c>
      <c r="J976">
        <v>1</v>
      </c>
      <c r="K976">
        <v>3000</v>
      </c>
      <c r="L976">
        <v>3000</v>
      </c>
    </row>
    <row r="977" spans="1:12" x14ac:dyDescent="0.3">
      <c r="A977">
        <v>10976</v>
      </c>
      <c r="B977" s="2">
        <v>45773</v>
      </c>
      <c r="C977" t="s">
        <v>224</v>
      </c>
      <c r="D977" t="s">
        <v>225</v>
      </c>
      <c r="E977" t="s">
        <v>201</v>
      </c>
      <c r="F977" t="s">
        <v>28</v>
      </c>
      <c r="G977" t="s">
        <v>187</v>
      </c>
      <c r="H977" t="s">
        <v>188</v>
      </c>
      <c r="I977" t="s">
        <v>24</v>
      </c>
      <c r="J977">
        <v>1</v>
      </c>
      <c r="K977">
        <v>5500</v>
      </c>
      <c r="L977">
        <v>5500</v>
      </c>
    </row>
    <row r="978" spans="1:12" x14ac:dyDescent="0.3">
      <c r="A978">
        <v>10977</v>
      </c>
      <c r="B978" s="2">
        <v>45987</v>
      </c>
      <c r="C978" t="s">
        <v>193</v>
      </c>
      <c r="D978" t="s">
        <v>194</v>
      </c>
      <c r="E978" t="s">
        <v>102</v>
      </c>
      <c r="F978" t="s">
        <v>34</v>
      </c>
      <c r="G978" t="s">
        <v>177</v>
      </c>
      <c r="H978" t="s">
        <v>178</v>
      </c>
      <c r="I978" t="s">
        <v>37</v>
      </c>
      <c r="J978">
        <v>3</v>
      </c>
      <c r="K978">
        <v>2500</v>
      </c>
      <c r="L978">
        <v>7500</v>
      </c>
    </row>
    <row r="979" spans="1:12" x14ac:dyDescent="0.3">
      <c r="A979">
        <v>10978</v>
      </c>
      <c r="B979" s="2">
        <v>45894</v>
      </c>
      <c r="C979" t="s">
        <v>154</v>
      </c>
      <c r="D979" t="s">
        <v>155</v>
      </c>
      <c r="E979" t="s">
        <v>74</v>
      </c>
      <c r="F979" t="s">
        <v>28</v>
      </c>
      <c r="G979" t="s">
        <v>163</v>
      </c>
      <c r="H979" t="s">
        <v>164</v>
      </c>
      <c r="I979" t="s">
        <v>49</v>
      </c>
      <c r="J979">
        <v>4</v>
      </c>
      <c r="K979">
        <v>4200</v>
      </c>
      <c r="L979">
        <v>16800</v>
      </c>
    </row>
    <row r="980" spans="1:12" x14ac:dyDescent="0.3">
      <c r="A980">
        <v>10979</v>
      </c>
      <c r="B980" s="2">
        <v>45884</v>
      </c>
      <c r="C980" t="s">
        <v>67</v>
      </c>
      <c r="D980" t="s">
        <v>68</v>
      </c>
      <c r="E980" t="s">
        <v>69</v>
      </c>
      <c r="F980" t="s">
        <v>28</v>
      </c>
      <c r="G980" t="s">
        <v>52</v>
      </c>
      <c r="H980" t="s">
        <v>53</v>
      </c>
      <c r="I980" t="s">
        <v>24</v>
      </c>
      <c r="J980">
        <v>1</v>
      </c>
      <c r="K980">
        <v>3500</v>
      </c>
      <c r="L980">
        <v>3500</v>
      </c>
    </row>
    <row r="981" spans="1:12" x14ac:dyDescent="0.3">
      <c r="A981">
        <v>10980</v>
      </c>
      <c r="B981" s="2">
        <v>45875</v>
      </c>
      <c r="C981" t="s">
        <v>107</v>
      </c>
      <c r="D981" t="s">
        <v>108</v>
      </c>
      <c r="E981" t="s">
        <v>74</v>
      </c>
      <c r="F981" t="s">
        <v>28</v>
      </c>
      <c r="G981" t="s">
        <v>125</v>
      </c>
      <c r="H981" t="s">
        <v>126</v>
      </c>
      <c r="I981" t="s">
        <v>37</v>
      </c>
      <c r="J981">
        <v>1</v>
      </c>
      <c r="K981">
        <v>22000</v>
      </c>
      <c r="L981">
        <v>22000</v>
      </c>
    </row>
    <row r="982" spans="1:12" x14ac:dyDescent="0.3">
      <c r="A982">
        <v>10981</v>
      </c>
      <c r="B982" s="2">
        <v>45738</v>
      </c>
      <c r="C982" t="s">
        <v>204</v>
      </c>
      <c r="D982" t="s">
        <v>205</v>
      </c>
      <c r="E982" t="s">
        <v>201</v>
      </c>
      <c r="F982" t="s">
        <v>28</v>
      </c>
      <c r="G982" t="s">
        <v>35</v>
      </c>
      <c r="H982" t="s">
        <v>36</v>
      </c>
      <c r="I982" t="s">
        <v>37</v>
      </c>
      <c r="J982">
        <v>5</v>
      </c>
      <c r="K982">
        <v>12000</v>
      </c>
      <c r="L982">
        <v>60000</v>
      </c>
    </row>
    <row r="983" spans="1:12" x14ac:dyDescent="0.3">
      <c r="A983">
        <v>10982</v>
      </c>
      <c r="B983" s="2">
        <v>45828</v>
      </c>
      <c r="C983" t="s">
        <v>226</v>
      </c>
      <c r="D983" t="s">
        <v>227</v>
      </c>
      <c r="E983" t="s">
        <v>79</v>
      </c>
      <c r="F983" t="s">
        <v>34</v>
      </c>
      <c r="G983" t="s">
        <v>60</v>
      </c>
      <c r="H983" t="s">
        <v>61</v>
      </c>
      <c r="I983" t="s">
        <v>18</v>
      </c>
      <c r="J983">
        <v>1</v>
      </c>
      <c r="K983">
        <v>2200</v>
      </c>
      <c r="L983">
        <v>2200</v>
      </c>
    </row>
    <row r="984" spans="1:12" x14ac:dyDescent="0.3">
      <c r="A984">
        <v>10983</v>
      </c>
      <c r="B984" s="2">
        <v>45931</v>
      </c>
      <c r="C984" t="s">
        <v>67</v>
      </c>
      <c r="D984" t="s">
        <v>68</v>
      </c>
      <c r="E984" t="s">
        <v>69</v>
      </c>
      <c r="F984" t="s">
        <v>28</v>
      </c>
      <c r="G984" t="s">
        <v>35</v>
      </c>
      <c r="H984" t="s">
        <v>36</v>
      </c>
      <c r="I984" t="s">
        <v>37</v>
      </c>
      <c r="J984">
        <v>2</v>
      </c>
      <c r="K984">
        <v>12000</v>
      </c>
      <c r="L984">
        <v>24000</v>
      </c>
    </row>
    <row r="985" spans="1:12" x14ac:dyDescent="0.3">
      <c r="A985">
        <v>10984</v>
      </c>
      <c r="B985" s="2">
        <v>45852</v>
      </c>
      <c r="C985" t="s">
        <v>91</v>
      </c>
      <c r="D985" t="s">
        <v>92</v>
      </c>
      <c r="E985" t="s">
        <v>40</v>
      </c>
      <c r="F985" t="s">
        <v>15</v>
      </c>
      <c r="G985" t="s">
        <v>96</v>
      </c>
      <c r="H985" t="s">
        <v>97</v>
      </c>
      <c r="I985" t="s">
        <v>37</v>
      </c>
      <c r="J985">
        <v>1</v>
      </c>
      <c r="K985">
        <v>18000</v>
      </c>
      <c r="L985">
        <v>18000</v>
      </c>
    </row>
    <row r="986" spans="1:12" x14ac:dyDescent="0.3">
      <c r="A986">
        <v>10985</v>
      </c>
      <c r="B986" s="2">
        <v>45940</v>
      </c>
      <c r="C986" t="s">
        <v>117</v>
      </c>
      <c r="D986" t="s">
        <v>118</v>
      </c>
      <c r="E986" t="s">
        <v>95</v>
      </c>
      <c r="F986" t="s">
        <v>15</v>
      </c>
      <c r="G986" t="s">
        <v>187</v>
      </c>
      <c r="H986" t="s">
        <v>188</v>
      </c>
      <c r="I986" t="s">
        <v>24</v>
      </c>
      <c r="J986">
        <v>2</v>
      </c>
      <c r="K986">
        <v>5500</v>
      </c>
      <c r="L986">
        <v>11000</v>
      </c>
    </row>
    <row r="987" spans="1:12" x14ac:dyDescent="0.3">
      <c r="A987">
        <v>10986</v>
      </c>
      <c r="B987" s="2">
        <v>45932</v>
      </c>
      <c r="C987" t="s">
        <v>181</v>
      </c>
      <c r="D987" t="s">
        <v>182</v>
      </c>
      <c r="E987" t="s">
        <v>21</v>
      </c>
      <c r="F987" t="s">
        <v>15</v>
      </c>
      <c r="G987" t="s">
        <v>29</v>
      </c>
      <c r="H987" t="s">
        <v>30</v>
      </c>
      <c r="I987" t="s">
        <v>18</v>
      </c>
      <c r="J987">
        <v>3</v>
      </c>
      <c r="K987">
        <v>15000</v>
      </c>
      <c r="L987">
        <v>45000</v>
      </c>
    </row>
    <row r="988" spans="1:12" x14ac:dyDescent="0.3">
      <c r="A988">
        <v>10987</v>
      </c>
      <c r="B988" s="2">
        <v>45784</v>
      </c>
      <c r="C988" t="s">
        <v>43</v>
      </c>
      <c r="D988" t="s">
        <v>44</v>
      </c>
      <c r="E988" t="s">
        <v>45</v>
      </c>
      <c r="F988" t="s">
        <v>46</v>
      </c>
      <c r="G988" t="s">
        <v>16</v>
      </c>
      <c r="H988" t="s">
        <v>17</v>
      </c>
      <c r="I988" t="s">
        <v>18</v>
      </c>
      <c r="J988">
        <v>2</v>
      </c>
      <c r="K988">
        <v>11000</v>
      </c>
      <c r="L988">
        <v>22000</v>
      </c>
    </row>
    <row r="989" spans="1:12" x14ac:dyDescent="0.3">
      <c r="A989">
        <v>10988</v>
      </c>
      <c r="B989" s="2">
        <v>45992</v>
      </c>
      <c r="C989" t="s">
        <v>212</v>
      </c>
      <c r="D989" t="s">
        <v>213</v>
      </c>
      <c r="E989" t="s">
        <v>69</v>
      </c>
      <c r="F989" t="s">
        <v>28</v>
      </c>
      <c r="G989" t="s">
        <v>125</v>
      </c>
      <c r="H989" t="s">
        <v>126</v>
      </c>
      <c r="I989" t="s">
        <v>37</v>
      </c>
      <c r="J989">
        <v>4</v>
      </c>
      <c r="K989">
        <v>22000</v>
      </c>
      <c r="L989">
        <v>88000</v>
      </c>
    </row>
    <row r="990" spans="1:12" x14ac:dyDescent="0.3">
      <c r="A990">
        <v>10989</v>
      </c>
      <c r="B990" s="2">
        <v>45971</v>
      </c>
      <c r="C990" t="s">
        <v>173</v>
      </c>
      <c r="D990" t="s">
        <v>174</v>
      </c>
      <c r="E990" t="s">
        <v>137</v>
      </c>
      <c r="F990" t="s">
        <v>46</v>
      </c>
      <c r="G990" t="s">
        <v>125</v>
      </c>
      <c r="H990" t="s">
        <v>126</v>
      </c>
      <c r="I990" t="s">
        <v>37</v>
      </c>
      <c r="J990">
        <v>1</v>
      </c>
      <c r="K990">
        <v>22000</v>
      </c>
      <c r="L990">
        <v>22000</v>
      </c>
    </row>
    <row r="991" spans="1:12" x14ac:dyDescent="0.3">
      <c r="A991">
        <v>10990</v>
      </c>
      <c r="B991" s="2">
        <v>45736</v>
      </c>
      <c r="C991" t="s">
        <v>197</v>
      </c>
      <c r="D991" t="s">
        <v>198</v>
      </c>
      <c r="E991" t="s">
        <v>95</v>
      </c>
      <c r="F991" t="s">
        <v>15</v>
      </c>
      <c r="G991" t="s">
        <v>144</v>
      </c>
      <c r="H991" t="s">
        <v>145</v>
      </c>
      <c r="I991" t="s">
        <v>37</v>
      </c>
      <c r="J991">
        <v>2</v>
      </c>
      <c r="K991">
        <v>65000</v>
      </c>
      <c r="L991">
        <v>130000</v>
      </c>
    </row>
    <row r="992" spans="1:12" x14ac:dyDescent="0.3">
      <c r="A992">
        <v>10991</v>
      </c>
      <c r="B992" s="2">
        <v>45822</v>
      </c>
      <c r="C992" t="s">
        <v>85</v>
      </c>
      <c r="D992" t="s">
        <v>86</v>
      </c>
      <c r="E992" t="s">
        <v>45</v>
      </c>
      <c r="F992" t="s">
        <v>46</v>
      </c>
      <c r="G992" t="s">
        <v>129</v>
      </c>
      <c r="H992" t="s">
        <v>130</v>
      </c>
      <c r="I992" t="s">
        <v>24</v>
      </c>
      <c r="J992">
        <v>1</v>
      </c>
      <c r="K992">
        <v>1400</v>
      </c>
      <c r="L992">
        <v>1400</v>
      </c>
    </row>
    <row r="993" spans="1:12" x14ac:dyDescent="0.3">
      <c r="A993">
        <v>10992</v>
      </c>
      <c r="B993" s="2">
        <v>45808</v>
      </c>
      <c r="C993" t="s">
        <v>208</v>
      </c>
      <c r="D993" t="s">
        <v>209</v>
      </c>
      <c r="E993" t="s">
        <v>95</v>
      </c>
      <c r="F993" t="s">
        <v>15</v>
      </c>
      <c r="G993" t="s">
        <v>113</v>
      </c>
      <c r="H993" t="s">
        <v>114</v>
      </c>
      <c r="I993" t="s">
        <v>37</v>
      </c>
      <c r="J993">
        <v>1</v>
      </c>
      <c r="K993">
        <v>52000</v>
      </c>
      <c r="L993">
        <v>52000</v>
      </c>
    </row>
    <row r="994" spans="1:12" x14ac:dyDescent="0.3">
      <c r="A994">
        <v>10993</v>
      </c>
      <c r="B994" s="2">
        <v>45755</v>
      </c>
      <c r="C994" t="s">
        <v>183</v>
      </c>
      <c r="D994" t="s">
        <v>184</v>
      </c>
      <c r="E994" t="s">
        <v>27</v>
      </c>
      <c r="F994" t="s">
        <v>28</v>
      </c>
      <c r="G994" t="s">
        <v>75</v>
      </c>
      <c r="H994" t="s">
        <v>76</v>
      </c>
      <c r="I994" t="s">
        <v>49</v>
      </c>
      <c r="J994">
        <v>1</v>
      </c>
      <c r="K994">
        <v>3000</v>
      </c>
      <c r="L994">
        <v>3000</v>
      </c>
    </row>
    <row r="995" spans="1:12" x14ac:dyDescent="0.3">
      <c r="A995">
        <v>10994</v>
      </c>
      <c r="B995" s="2">
        <v>45900</v>
      </c>
      <c r="C995" t="s">
        <v>91</v>
      </c>
      <c r="D995" t="s">
        <v>92</v>
      </c>
      <c r="E995" t="s">
        <v>40</v>
      </c>
      <c r="F995" t="s">
        <v>15</v>
      </c>
      <c r="G995" t="s">
        <v>29</v>
      </c>
      <c r="H995" t="s">
        <v>30</v>
      </c>
      <c r="I995" t="s">
        <v>18</v>
      </c>
      <c r="J995">
        <v>1</v>
      </c>
      <c r="K995">
        <v>15000</v>
      </c>
      <c r="L995">
        <v>15000</v>
      </c>
    </row>
    <row r="996" spans="1:12" x14ac:dyDescent="0.3">
      <c r="A996">
        <v>10995</v>
      </c>
      <c r="B996" s="2">
        <v>45895</v>
      </c>
      <c r="C996" t="s">
        <v>43</v>
      </c>
      <c r="D996" t="s">
        <v>44</v>
      </c>
      <c r="E996" t="s">
        <v>45</v>
      </c>
      <c r="F996" t="s">
        <v>46</v>
      </c>
      <c r="G996" t="s">
        <v>121</v>
      </c>
      <c r="H996" t="s">
        <v>122</v>
      </c>
      <c r="I996" t="s">
        <v>49</v>
      </c>
      <c r="J996">
        <v>1</v>
      </c>
      <c r="K996">
        <v>4800</v>
      </c>
      <c r="L996">
        <v>4800</v>
      </c>
    </row>
    <row r="997" spans="1:12" x14ac:dyDescent="0.3">
      <c r="A997">
        <v>10996</v>
      </c>
      <c r="B997" s="2">
        <v>45679</v>
      </c>
      <c r="C997" t="s">
        <v>150</v>
      </c>
      <c r="D997" t="s">
        <v>151</v>
      </c>
      <c r="E997" t="s">
        <v>84</v>
      </c>
      <c r="F997" t="s">
        <v>46</v>
      </c>
      <c r="G997" t="s">
        <v>129</v>
      </c>
      <c r="H997" t="s">
        <v>130</v>
      </c>
      <c r="I997" t="s">
        <v>24</v>
      </c>
      <c r="J997">
        <v>2</v>
      </c>
      <c r="K997">
        <v>1400</v>
      </c>
      <c r="L997">
        <v>2800</v>
      </c>
    </row>
    <row r="998" spans="1:12" x14ac:dyDescent="0.3">
      <c r="A998">
        <v>10997</v>
      </c>
      <c r="B998" s="2">
        <v>45829</v>
      </c>
      <c r="C998" t="s">
        <v>135</v>
      </c>
      <c r="D998" t="s">
        <v>136</v>
      </c>
      <c r="E998" t="s">
        <v>137</v>
      </c>
      <c r="F998" t="s">
        <v>46</v>
      </c>
      <c r="G998" t="s">
        <v>41</v>
      </c>
      <c r="H998" t="s">
        <v>42</v>
      </c>
      <c r="I998" t="s">
        <v>37</v>
      </c>
      <c r="J998">
        <v>3</v>
      </c>
      <c r="K998">
        <v>30000</v>
      </c>
      <c r="L998">
        <v>90000</v>
      </c>
    </row>
    <row r="999" spans="1:12" x14ac:dyDescent="0.3">
      <c r="A999">
        <v>10998</v>
      </c>
      <c r="B999" s="2">
        <v>45867</v>
      </c>
      <c r="C999" t="s">
        <v>93</v>
      </c>
      <c r="D999" t="s">
        <v>94</v>
      </c>
      <c r="E999" t="s">
        <v>95</v>
      </c>
      <c r="F999" t="s">
        <v>15</v>
      </c>
      <c r="G999" t="s">
        <v>167</v>
      </c>
      <c r="H999" t="s">
        <v>168</v>
      </c>
      <c r="I999" t="s">
        <v>49</v>
      </c>
      <c r="J999">
        <v>1</v>
      </c>
      <c r="K999">
        <v>3800</v>
      </c>
      <c r="L999">
        <v>3800</v>
      </c>
    </row>
    <row r="1000" spans="1:12" x14ac:dyDescent="0.3">
      <c r="A1000">
        <v>10999</v>
      </c>
      <c r="B1000" s="2">
        <v>45681</v>
      </c>
      <c r="C1000" t="s">
        <v>236</v>
      </c>
      <c r="D1000" t="s">
        <v>237</v>
      </c>
      <c r="E1000" t="s">
        <v>201</v>
      </c>
      <c r="F1000" t="s">
        <v>28</v>
      </c>
      <c r="G1000" t="s">
        <v>70</v>
      </c>
      <c r="H1000" t="s">
        <v>71</v>
      </c>
      <c r="I1000" t="s">
        <v>37</v>
      </c>
      <c r="J1000">
        <v>1</v>
      </c>
      <c r="K1000">
        <v>2200</v>
      </c>
      <c r="L1000">
        <v>2200</v>
      </c>
    </row>
    <row r="1001" spans="1:12" x14ac:dyDescent="0.3">
      <c r="A1001">
        <v>11000</v>
      </c>
      <c r="B1001" s="2">
        <v>45929</v>
      </c>
      <c r="C1001" t="s">
        <v>82</v>
      </c>
      <c r="D1001" t="s">
        <v>83</v>
      </c>
      <c r="E1001" t="s">
        <v>84</v>
      </c>
      <c r="F1001" t="s">
        <v>46</v>
      </c>
      <c r="G1001" t="s">
        <v>113</v>
      </c>
      <c r="H1001" t="s">
        <v>114</v>
      </c>
      <c r="I1001" t="s">
        <v>37</v>
      </c>
      <c r="J1001">
        <v>1</v>
      </c>
      <c r="K1001">
        <v>52000</v>
      </c>
      <c r="L1001">
        <v>52000</v>
      </c>
    </row>
    <row r="1002" spans="1:12" x14ac:dyDescent="0.3">
      <c r="A1002">
        <v>11001</v>
      </c>
      <c r="B1002" s="2">
        <v>45872</v>
      </c>
      <c r="C1002" t="s">
        <v>50</v>
      </c>
      <c r="D1002" t="s">
        <v>51</v>
      </c>
      <c r="E1002" t="s">
        <v>14</v>
      </c>
      <c r="F1002" t="s">
        <v>15</v>
      </c>
      <c r="G1002" t="s">
        <v>96</v>
      </c>
      <c r="H1002" t="s">
        <v>97</v>
      </c>
      <c r="I1002" t="s">
        <v>37</v>
      </c>
      <c r="J1002">
        <v>2</v>
      </c>
      <c r="K1002">
        <v>18000</v>
      </c>
      <c r="L1002">
        <v>36000</v>
      </c>
    </row>
    <row r="1003" spans="1:12" x14ac:dyDescent="0.3">
      <c r="A1003">
        <v>11002</v>
      </c>
      <c r="B1003" s="2">
        <v>45776</v>
      </c>
      <c r="C1003" t="s">
        <v>25</v>
      </c>
      <c r="D1003" t="s">
        <v>26</v>
      </c>
      <c r="E1003" t="s">
        <v>27</v>
      </c>
      <c r="F1003" t="s">
        <v>28</v>
      </c>
      <c r="G1003" t="s">
        <v>65</v>
      </c>
      <c r="H1003" t="s">
        <v>66</v>
      </c>
      <c r="I1003" t="s">
        <v>49</v>
      </c>
      <c r="J1003">
        <v>1</v>
      </c>
      <c r="K1003">
        <v>2400</v>
      </c>
      <c r="L1003">
        <v>2400</v>
      </c>
    </row>
    <row r="1004" spans="1:12" x14ac:dyDescent="0.3">
      <c r="A1004">
        <v>11003</v>
      </c>
      <c r="B1004" s="2">
        <v>45767</v>
      </c>
      <c r="C1004" t="s">
        <v>210</v>
      </c>
      <c r="D1004" t="s">
        <v>211</v>
      </c>
      <c r="E1004" t="s">
        <v>40</v>
      </c>
      <c r="F1004" t="s">
        <v>15</v>
      </c>
      <c r="G1004" t="s">
        <v>96</v>
      </c>
      <c r="H1004" t="s">
        <v>97</v>
      </c>
      <c r="I1004" t="s">
        <v>37</v>
      </c>
      <c r="J1004">
        <v>2</v>
      </c>
      <c r="K1004">
        <v>18000</v>
      </c>
      <c r="L1004">
        <v>36000</v>
      </c>
    </row>
    <row r="1005" spans="1:12" x14ac:dyDescent="0.3">
      <c r="A1005">
        <v>11004</v>
      </c>
      <c r="B1005" s="2">
        <v>45699</v>
      </c>
      <c r="C1005" t="s">
        <v>173</v>
      </c>
      <c r="D1005" t="s">
        <v>174</v>
      </c>
      <c r="E1005" t="s">
        <v>137</v>
      </c>
      <c r="F1005" t="s">
        <v>46</v>
      </c>
      <c r="G1005" t="s">
        <v>29</v>
      </c>
      <c r="H1005" t="s">
        <v>30</v>
      </c>
      <c r="I1005" t="s">
        <v>18</v>
      </c>
      <c r="J1005">
        <v>1</v>
      </c>
      <c r="K1005">
        <v>15000</v>
      </c>
      <c r="L1005">
        <v>15000</v>
      </c>
    </row>
    <row r="1006" spans="1:12" x14ac:dyDescent="0.3">
      <c r="A1006">
        <v>11005</v>
      </c>
      <c r="B1006" s="2">
        <v>45691</v>
      </c>
      <c r="C1006" t="s">
        <v>156</v>
      </c>
      <c r="D1006" t="s">
        <v>157</v>
      </c>
      <c r="E1006" t="s">
        <v>95</v>
      </c>
      <c r="F1006" t="s">
        <v>15</v>
      </c>
      <c r="G1006" t="s">
        <v>113</v>
      </c>
      <c r="H1006" t="s">
        <v>114</v>
      </c>
      <c r="I1006" t="s">
        <v>37</v>
      </c>
      <c r="J1006">
        <v>1</v>
      </c>
      <c r="K1006">
        <v>52000</v>
      </c>
      <c r="L1006">
        <v>52000</v>
      </c>
    </row>
    <row r="1007" spans="1:12" x14ac:dyDescent="0.3">
      <c r="A1007">
        <v>11006</v>
      </c>
      <c r="B1007" s="2">
        <v>45968</v>
      </c>
      <c r="C1007" t="s">
        <v>67</v>
      </c>
      <c r="D1007" t="s">
        <v>68</v>
      </c>
      <c r="E1007" t="s">
        <v>69</v>
      </c>
      <c r="F1007" t="s">
        <v>28</v>
      </c>
      <c r="G1007" t="s">
        <v>125</v>
      </c>
      <c r="H1007" t="s">
        <v>126</v>
      </c>
      <c r="I1007" t="s">
        <v>37</v>
      </c>
      <c r="J1007">
        <v>3</v>
      </c>
      <c r="K1007">
        <v>22000</v>
      </c>
      <c r="L1007">
        <v>66000</v>
      </c>
    </row>
    <row r="1008" spans="1:12" x14ac:dyDescent="0.3">
      <c r="A1008">
        <v>11007</v>
      </c>
      <c r="B1008" s="2">
        <v>45856</v>
      </c>
      <c r="C1008" t="s">
        <v>165</v>
      </c>
      <c r="D1008" t="s">
        <v>166</v>
      </c>
      <c r="E1008" t="s">
        <v>69</v>
      </c>
      <c r="F1008" t="s">
        <v>28</v>
      </c>
      <c r="G1008" t="s">
        <v>16</v>
      </c>
      <c r="H1008" t="s">
        <v>17</v>
      </c>
      <c r="I1008" t="s">
        <v>18</v>
      </c>
      <c r="J1008">
        <v>2</v>
      </c>
      <c r="K1008">
        <v>11000</v>
      </c>
      <c r="L1008">
        <v>22000</v>
      </c>
    </row>
    <row r="1009" spans="1:12" x14ac:dyDescent="0.3">
      <c r="A1009">
        <v>11008</v>
      </c>
      <c r="B1009" s="2">
        <v>45838</v>
      </c>
      <c r="C1009" t="s">
        <v>154</v>
      </c>
      <c r="D1009" t="s">
        <v>155</v>
      </c>
      <c r="E1009" t="s">
        <v>74</v>
      </c>
      <c r="F1009" t="s">
        <v>28</v>
      </c>
      <c r="G1009" t="s">
        <v>60</v>
      </c>
      <c r="H1009" t="s">
        <v>61</v>
      </c>
      <c r="I1009" t="s">
        <v>18</v>
      </c>
      <c r="J1009">
        <v>1</v>
      </c>
      <c r="K1009">
        <v>2200</v>
      </c>
      <c r="L1009">
        <v>2200</v>
      </c>
    </row>
    <row r="1010" spans="1:12" x14ac:dyDescent="0.3">
      <c r="A1010">
        <v>11009</v>
      </c>
      <c r="B1010" s="2">
        <v>45771</v>
      </c>
      <c r="C1010" t="s">
        <v>107</v>
      </c>
      <c r="D1010" t="s">
        <v>108</v>
      </c>
      <c r="E1010" t="s">
        <v>74</v>
      </c>
      <c r="F1010" t="s">
        <v>28</v>
      </c>
      <c r="G1010" t="s">
        <v>163</v>
      </c>
      <c r="H1010" t="s">
        <v>164</v>
      </c>
      <c r="I1010" t="s">
        <v>49</v>
      </c>
      <c r="J1010">
        <v>1</v>
      </c>
      <c r="K1010">
        <v>4200</v>
      </c>
      <c r="L1010">
        <v>4200</v>
      </c>
    </row>
    <row r="1011" spans="1:12" x14ac:dyDescent="0.3">
      <c r="A1011">
        <v>11010</v>
      </c>
      <c r="B1011" s="2">
        <v>45913</v>
      </c>
      <c r="C1011" t="s">
        <v>87</v>
      </c>
      <c r="D1011" t="s">
        <v>88</v>
      </c>
      <c r="E1011" t="s">
        <v>64</v>
      </c>
      <c r="F1011" t="s">
        <v>46</v>
      </c>
      <c r="G1011" t="s">
        <v>52</v>
      </c>
      <c r="H1011" t="s">
        <v>53</v>
      </c>
      <c r="I1011" t="s">
        <v>24</v>
      </c>
      <c r="J1011">
        <v>2</v>
      </c>
      <c r="K1011">
        <v>3500</v>
      </c>
      <c r="L1011">
        <v>7000</v>
      </c>
    </row>
    <row r="1012" spans="1:12" x14ac:dyDescent="0.3">
      <c r="A1012">
        <v>11011</v>
      </c>
      <c r="B1012" s="2">
        <v>45936</v>
      </c>
      <c r="C1012" t="s">
        <v>31</v>
      </c>
      <c r="D1012" t="s">
        <v>32</v>
      </c>
      <c r="E1012" t="s">
        <v>33</v>
      </c>
      <c r="F1012" t="s">
        <v>34</v>
      </c>
      <c r="G1012" t="s">
        <v>144</v>
      </c>
      <c r="H1012" t="s">
        <v>145</v>
      </c>
      <c r="I1012" t="s">
        <v>37</v>
      </c>
      <c r="J1012">
        <v>1</v>
      </c>
      <c r="K1012">
        <v>65000</v>
      </c>
      <c r="L1012">
        <v>65000</v>
      </c>
    </row>
    <row r="1013" spans="1:12" x14ac:dyDescent="0.3">
      <c r="A1013">
        <v>11012</v>
      </c>
      <c r="B1013" s="2">
        <v>45702</v>
      </c>
      <c r="C1013" t="s">
        <v>123</v>
      </c>
      <c r="D1013" t="s">
        <v>124</v>
      </c>
      <c r="E1013" t="s">
        <v>69</v>
      </c>
      <c r="F1013" t="s">
        <v>28</v>
      </c>
      <c r="G1013" t="s">
        <v>96</v>
      </c>
      <c r="H1013" t="s">
        <v>97</v>
      </c>
      <c r="I1013" t="s">
        <v>37</v>
      </c>
      <c r="J1013">
        <v>1</v>
      </c>
      <c r="K1013">
        <v>18000</v>
      </c>
      <c r="L1013">
        <v>18000</v>
      </c>
    </row>
    <row r="1014" spans="1:12" x14ac:dyDescent="0.3">
      <c r="A1014">
        <v>11013</v>
      </c>
      <c r="B1014" s="2">
        <v>45768</v>
      </c>
      <c r="C1014" t="s">
        <v>148</v>
      </c>
      <c r="D1014" t="s">
        <v>149</v>
      </c>
      <c r="E1014" t="s">
        <v>14</v>
      </c>
      <c r="F1014" t="s">
        <v>15</v>
      </c>
      <c r="G1014" t="s">
        <v>96</v>
      </c>
      <c r="H1014" t="s">
        <v>97</v>
      </c>
      <c r="I1014" t="s">
        <v>37</v>
      </c>
      <c r="J1014">
        <v>3</v>
      </c>
      <c r="K1014">
        <v>18000</v>
      </c>
      <c r="L1014">
        <v>54000</v>
      </c>
    </row>
    <row r="1015" spans="1:12" x14ac:dyDescent="0.3">
      <c r="A1015">
        <v>11014</v>
      </c>
      <c r="B1015" s="2">
        <v>45684</v>
      </c>
      <c r="C1015" t="s">
        <v>224</v>
      </c>
      <c r="D1015" t="s">
        <v>225</v>
      </c>
      <c r="E1015" t="s">
        <v>201</v>
      </c>
      <c r="F1015" t="s">
        <v>28</v>
      </c>
      <c r="G1015" t="s">
        <v>131</v>
      </c>
      <c r="H1015" t="s">
        <v>132</v>
      </c>
      <c r="I1015" t="s">
        <v>37</v>
      </c>
      <c r="J1015">
        <v>2</v>
      </c>
      <c r="K1015">
        <v>4500</v>
      </c>
      <c r="L1015">
        <v>9000</v>
      </c>
    </row>
    <row r="1016" spans="1:12" x14ac:dyDescent="0.3">
      <c r="A1016">
        <v>11015</v>
      </c>
      <c r="B1016" s="2">
        <v>45725</v>
      </c>
      <c r="C1016" t="s">
        <v>91</v>
      </c>
      <c r="D1016" t="s">
        <v>92</v>
      </c>
      <c r="E1016" t="s">
        <v>40</v>
      </c>
      <c r="F1016" t="s">
        <v>15</v>
      </c>
      <c r="G1016" t="s">
        <v>103</v>
      </c>
      <c r="H1016" t="s">
        <v>104</v>
      </c>
      <c r="I1016" t="s">
        <v>37</v>
      </c>
      <c r="J1016">
        <v>1</v>
      </c>
      <c r="K1016">
        <v>28000</v>
      </c>
      <c r="L1016">
        <v>28000</v>
      </c>
    </row>
    <row r="1017" spans="1:12" x14ac:dyDescent="0.3">
      <c r="A1017">
        <v>11016</v>
      </c>
      <c r="B1017" s="2">
        <v>45920</v>
      </c>
      <c r="C1017" t="s">
        <v>50</v>
      </c>
      <c r="D1017" t="s">
        <v>51</v>
      </c>
      <c r="E1017" t="s">
        <v>14</v>
      </c>
      <c r="F1017" t="s">
        <v>15</v>
      </c>
      <c r="G1017" t="s">
        <v>96</v>
      </c>
      <c r="H1017" t="s">
        <v>97</v>
      </c>
      <c r="I1017" t="s">
        <v>37</v>
      </c>
      <c r="J1017">
        <v>3</v>
      </c>
      <c r="K1017">
        <v>18000</v>
      </c>
      <c r="L1017">
        <v>54000</v>
      </c>
    </row>
    <row r="1018" spans="1:12" x14ac:dyDescent="0.3">
      <c r="A1018">
        <v>11017</v>
      </c>
      <c r="B1018" s="2">
        <v>45846</v>
      </c>
      <c r="C1018" t="s">
        <v>214</v>
      </c>
      <c r="D1018" t="s">
        <v>215</v>
      </c>
      <c r="E1018" t="s">
        <v>137</v>
      </c>
      <c r="F1018" t="s">
        <v>46</v>
      </c>
      <c r="G1018" t="s">
        <v>47</v>
      </c>
      <c r="H1018" t="s">
        <v>48</v>
      </c>
      <c r="I1018" t="s">
        <v>49</v>
      </c>
      <c r="J1018">
        <v>1</v>
      </c>
      <c r="K1018">
        <v>1600</v>
      </c>
      <c r="L1018">
        <v>1600</v>
      </c>
    </row>
    <row r="1019" spans="1:12" x14ac:dyDescent="0.3">
      <c r="A1019">
        <v>11018</v>
      </c>
      <c r="B1019" s="2">
        <v>45763</v>
      </c>
      <c r="C1019" t="s">
        <v>146</v>
      </c>
      <c r="D1019" t="s">
        <v>147</v>
      </c>
      <c r="E1019" t="s">
        <v>64</v>
      </c>
      <c r="F1019" t="s">
        <v>46</v>
      </c>
      <c r="G1019" t="s">
        <v>35</v>
      </c>
      <c r="H1019" t="s">
        <v>36</v>
      </c>
      <c r="I1019" t="s">
        <v>37</v>
      </c>
      <c r="J1019">
        <v>1</v>
      </c>
      <c r="K1019">
        <v>12000</v>
      </c>
      <c r="L1019">
        <v>12000</v>
      </c>
    </row>
    <row r="1020" spans="1:12" x14ac:dyDescent="0.3">
      <c r="A1020">
        <v>11019</v>
      </c>
      <c r="B1020" s="2">
        <v>45668</v>
      </c>
      <c r="C1020" t="s">
        <v>193</v>
      </c>
      <c r="D1020" t="s">
        <v>194</v>
      </c>
      <c r="E1020" t="s">
        <v>102</v>
      </c>
      <c r="F1020" t="s">
        <v>34</v>
      </c>
      <c r="G1020" t="s">
        <v>163</v>
      </c>
      <c r="H1020" t="s">
        <v>164</v>
      </c>
      <c r="I1020" t="s">
        <v>49</v>
      </c>
      <c r="J1020">
        <v>2</v>
      </c>
      <c r="K1020">
        <v>4200</v>
      </c>
      <c r="L1020">
        <v>8400</v>
      </c>
    </row>
    <row r="1021" spans="1:12" x14ac:dyDescent="0.3">
      <c r="A1021">
        <v>11020</v>
      </c>
      <c r="B1021" s="2">
        <v>45965</v>
      </c>
      <c r="C1021" t="s">
        <v>133</v>
      </c>
      <c r="D1021" t="s">
        <v>134</v>
      </c>
      <c r="E1021" t="s">
        <v>33</v>
      </c>
      <c r="F1021" t="s">
        <v>34</v>
      </c>
      <c r="G1021" t="s">
        <v>144</v>
      </c>
      <c r="H1021" t="s">
        <v>145</v>
      </c>
      <c r="I1021" t="s">
        <v>37</v>
      </c>
      <c r="J1021">
        <v>3</v>
      </c>
      <c r="K1021">
        <v>65000</v>
      </c>
      <c r="L1021">
        <v>195000</v>
      </c>
    </row>
    <row r="1022" spans="1:12" x14ac:dyDescent="0.3">
      <c r="A1022">
        <v>11021</v>
      </c>
      <c r="B1022" s="2">
        <v>45805</v>
      </c>
      <c r="C1022" t="s">
        <v>80</v>
      </c>
      <c r="D1022" t="s">
        <v>81</v>
      </c>
      <c r="E1022" t="s">
        <v>79</v>
      </c>
      <c r="F1022" t="s">
        <v>34</v>
      </c>
      <c r="G1022" t="s">
        <v>131</v>
      </c>
      <c r="H1022" t="s">
        <v>132</v>
      </c>
      <c r="I1022" t="s">
        <v>37</v>
      </c>
      <c r="J1022">
        <v>3</v>
      </c>
      <c r="K1022">
        <v>4500</v>
      </c>
      <c r="L1022">
        <v>13500</v>
      </c>
    </row>
    <row r="1023" spans="1:12" x14ac:dyDescent="0.3">
      <c r="A1023">
        <v>11022</v>
      </c>
      <c r="B1023" s="2">
        <v>45801</v>
      </c>
      <c r="C1023" t="s">
        <v>43</v>
      </c>
      <c r="D1023" t="s">
        <v>44</v>
      </c>
      <c r="E1023" t="s">
        <v>45</v>
      </c>
      <c r="F1023" t="s">
        <v>46</v>
      </c>
      <c r="G1023" t="s">
        <v>152</v>
      </c>
      <c r="H1023" t="s">
        <v>153</v>
      </c>
      <c r="I1023" t="s">
        <v>49</v>
      </c>
      <c r="J1023">
        <v>1</v>
      </c>
      <c r="K1023">
        <v>3200</v>
      </c>
      <c r="L1023">
        <v>3200</v>
      </c>
    </row>
    <row r="1024" spans="1:12" x14ac:dyDescent="0.3">
      <c r="A1024">
        <v>11023</v>
      </c>
      <c r="B1024" s="2">
        <v>45804</v>
      </c>
      <c r="C1024" t="s">
        <v>236</v>
      </c>
      <c r="D1024" t="s">
        <v>237</v>
      </c>
      <c r="E1024" t="s">
        <v>201</v>
      </c>
      <c r="F1024" t="s">
        <v>28</v>
      </c>
      <c r="G1024" t="s">
        <v>16</v>
      </c>
      <c r="H1024" t="s">
        <v>17</v>
      </c>
      <c r="I1024" t="s">
        <v>18</v>
      </c>
      <c r="J1024">
        <v>1</v>
      </c>
      <c r="K1024">
        <v>11000</v>
      </c>
      <c r="L1024">
        <v>11000</v>
      </c>
    </row>
    <row r="1025" spans="1:12" x14ac:dyDescent="0.3">
      <c r="A1025">
        <v>11024</v>
      </c>
      <c r="B1025" s="2">
        <v>45819</v>
      </c>
      <c r="C1025" t="s">
        <v>220</v>
      </c>
      <c r="D1025" t="s">
        <v>221</v>
      </c>
      <c r="E1025" t="s">
        <v>102</v>
      </c>
      <c r="F1025" t="s">
        <v>34</v>
      </c>
      <c r="G1025" t="s">
        <v>98</v>
      </c>
      <c r="H1025" t="s">
        <v>99</v>
      </c>
      <c r="I1025" t="s">
        <v>24</v>
      </c>
      <c r="J1025">
        <v>3</v>
      </c>
      <c r="K1025">
        <v>2000</v>
      </c>
      <c r="L1025">
        <v>6000</v>
      </c>
    </row>
    <row r="1026" spans="1:12" x14ac:dyDescent="0.3">
      <c r="A1026">
        <v>11025</v>
      </c>
      <c r="B1026" s="2">
        <v>45817</v>
      </c>
      <c r="C1026" t="s">
        <v>138</v>
      </c>
      <c r="D1026" t="s">
        <v>139</v>
      </c>
      <c r="E1026" t="s">
        <v>79</v>
      </c>
      <c r="F1026" t="s">
        <v>34</v>
      </c>
      <c r="G1026" t="s">
        <v>152</v>
      </c>
      <c r="H1026" t="s">
        <v>153</v>
      </c>
      <c r="I1026" t="s">
        <v>49</v>
      </c>
      <c r="J1026">
        <v>1</v>
      </c>
      <c r="K1026">
        <v>3200</v>
      </c>
      <c r="L1026">
        <v>3200</v>
      </c>
    </row>
    <row r="1027" spans="1:12" x14ac:dyDescent="0.3">
      <c r="A1027">
        <v>11026</v>
      </c>
      <c r="B1027" s="2">
        <v>46018</v>
      </c>
      <c r="C1027" t="s">
        <v>175</v>
      </c>
      <c r="D1027" t="s">
        <v>176</v>
      </c>
      <c r="E1027" t="s">
        <v>84</v>
      </c>
      <c r="F1027" t="s">
        <v>46</v>
      </c>
      <c r="G1027" t="s">
        <v>177</v>
      </c>
      <c r="H1027" t="s">
        <v>178</v>
      </c>
      <c r="I1027" t="s">
        <v>37</v>
      </c>
      <c r="J1027">
        <v>2</v>
      </c>
      <c r="K1027">
        <v>2500</v>
      </c>
      <c r="L1027">
        <v>5000</v>
      </c>
    </row>
    <row r="1028" spans="1:12" x14ac:dyDescent="0.3">
      <c r="A1028">
        <v>11027</v>
      </c>
      <c r="B1028" s="2">
        <v>45705</v>
      </c>
      <c r="C1028" t="s">
        <v>161</v>
      </c>
      <c r="D1028" t="s">
        <v>162</v>
      </c>
      <c r="E1028" t="s">
        <v>33</v>
      </c>
      <c r="F1028" t="s">
        <v>34</v>
      </c>
      <c r="G1028" t="s">
        <v>144</v>
      </c>
      <c r="H1028" t="s">
        <v>145</v>
      </c>
      <c r="I1028" t="s">
        <v>37</v>
      </c>
      <c r="J1028">
        <v>1</v>
      </c>
      <c r="K1028">
        <v>65000</v>
      </c>
      <c r="L1028">
        <v>65000</v>
      </c>
    </row>
    <row r="1029" spans="1:12" x14ac:dyDescent="0.3">
      <c r="A1029">
        <v>11028</v>
      </c>
      <c r="B1029" s="2">
        <v>45840</v>
      </c>
      <c r="C1029" t="s">
        <v>127</v>
      </c>
      <c r="D1029" t="s">
        <v>128</v>
      </c>
      <c r="E1029" t="s">
        <v>102</v>
      </c>
      <c r="F1029" t="s">
        <v>34</v>
      </c>
      <c r="G1029" t="s">
        <v>125</v>
      </c>
      <c r="H1029" t="s">
        <v>126</v>
      </c>
      <c r="I1029" t="s">
        <v>37</v>
      </c>
      <c r="J1029">
        <v>1</v>
      </c>
      <c r="K1029">
        <v>22000</v>
      </c>
      <c r="L1029">
        <v>22000</v>
      </c>
    </row>
    <row r="1030" spans="1:12" x14ac:dyDescent="0.3">
      <c r="A1030">
        <v>11029</v>
      </c>
      <c r="B1030" s="2">
        <v>45972</v>
      </c>
      <c r="C1030" t="s">
        <v>105</v>
      </c>
      <c r="D1030" t="s">
        <v>106</v>
      </c>
      <c r="E1030" t="s">
        <v>45</v>
      </c>
      <c r="F1030" t="s">
        <v>46</v>
      </c>
      <c r="G1030" t="s">
        <v>163</v>
      </c>
      <c r="H1030" t="s">
        <v>164</v>
      </c>
      <c r="I1030" t="s">
        <v>49</v>
      </c>
      <c r="J1030">
        <v>2</v>
      </c>
      <c r="K1030">
        <v>4200</v>
      </c>
      <c r="L1030">
        <v>8400</v>
      </c>
    </row>
    <row r="1031" spans="1:12" x14ac:dyDescent="0.3">
      <c r="A1031">
        <v>11030</v>
      </c>
      <c r="B1031" s="2">
        <v>45768</v>
      </c>
      <c r="C1031" t="s">
        <v>12</v>
      </c>
      <c r="D1031" t="s">
        <v>13</v>
      </c>
      <c r="E1031" t="s">
        <v>14</v>
      </c>
      <c r="F1031" t="s">
        <v>15</v>
      </c>
      <c r="G1031" t="s">
        <v>60</v>
      </c>
      <c r="H1031" t="s">
        <v>61</v>
      </c>
      <c r="I1031" t="s">
        <v>18</v>
      </c>
      <c r="J1031">
        <v>2</v>
      </c>
      <c r="K1031">
        <v>2200</v>
      </c>
      <c r="L1031">
        <v>4400</v>
      </c>
    </row>
    <row r="1032" spans="1:12" x14ac:dyDescent="0.3">
      <c r="A1032">
        <v>11031</v>
      </c>
      <c r="B1032" s="2">
        <v>45782</v>
      </c>
      <c r="C1032" t="s">
        <v>146</v>
      </c>
      <c r="D1032" t="s">
        <v>147</v>
      </c>
      <c r="E1032" t="s">
        <v>64</v>
      </c>
      <c r="F1032" t="s">
        <v>46</v>
      </c>
      <c r="G1032" t="s">
        <v>121</v>
      </c>
      <c r="H1032" t="s">
        <v>122</v>
      </c>
      <c r="I1032" t="s">
        <v>49</v>
      </c>
      <c r="J1032">
        <v>2</v>
      </c>
      <c r="K1032">
        <v>4800</v>
      </c>
      <c r="L1032">
        <v>9600</v>
      </c>
    </row>
    <row r="1033" spans="1:12" x14ac:dyDescent="0.3">
      <c r="A1033">
        <v>11032</v>
      </c>
      <c r="B1033" s="2">
        <v>45941</v>
      </c>
      <c r="C1033" t="s">
        <v>193</v>
      </c>
      <c r="D1033" t="s">
        <v>194</v>
      </c>
      <c r="E1033" t="s">
        <v>102</v>
      </c>
      <c r="F1033" t="s">
        <v>34</v>
      </c>
      <c r="G1033" t="s">
        <v>109</v>
      </c>
      <c r="H1033" t="s">
        <v>110</v>
      </c>
      <c r="I1033" t="s">
        <v>18</v>
      </c>
      <c r="J1033">
        <v>2</v>
      </c>
      <c r="K1033">
        <v>5000</v>
      </c>
      <c r="L1033">
        <v>10000</v>
      </c>
    </row>
    <row r="1034" spans="1:12" x14ac:dyDescent="0.3">
      <c r="A1034">
        <v>11033</v>
      </c>
      <c r="B1034" s="2">
        <v>45731</v>
      </c>
      <c r="C1034" t="s">
        <v>148</v>
      </c>
      <c r="D1034" t="s">
        <v>149</v>
      </c>
      <c r="E1034" t="s">
        <v>14</v>
      </c>
      <c r="F1034" t="s">
        <v>15</v>
      </c>
      <c r="G1034" t="s">
        <v>129</v>
      </c>
      <c r="H1034" t="s">
        <v>130</v>
      </c>
      <c r="I1034" t="s">
        <v>24</v>
      </c>
      <c r="J1034">
        <v>2</v>
      </c>
      <c r="K1034">
        <v>1400</v>
      </c>
      <c r="L1034">
        <v>2800</v>
      </c>
    </row>
    <row r="1035" spans="1:12" x14ac:dyDescent="0.3">
      <c r="A1035">
        <v>11034</v>
      </c>
      <c r="B1035" s="2">
        <v>45883</v>
      </c>
      <c r="C1035" t="s">
        <v>62</v>
      </c>
      <c r="D1035" t="s">
        <v>63</v>
      </c>
      <c r="E1035" t="s">
        <v>64</v>
      </c>
      <c r="F1035" t="s">
        <v>46</v>
      </c>
      <c r="G1035" t="s">
        <v>129</v>
      </c>
      <c r="H1035" t="s">
        <v>130</v>
      </c>
      <c r="I1035" t="s">
        <v>24</v>
      </c>
      <c r="J1035">
        <v>4</v>
      </c>
      <c r="K1035">
        <v>1400</v>
      </c>
      <c r="L1035">
        <v>5600</v>
      </c>
    </row>
    <row r="1036" spans="1:12" x14ac:dyDescent="0.3">
      <c r="A1036">
        <v>11035</v>
      </c>
      <c r="B1036" s="2">
        <v>45929</v>
      </c>
      <c r="C1036" t="s">
        <v>119</v>
      </c>
      <c r="D1036" t="s">
        <v>120</v>
      </c>
      <c r="E1036" t="s">
        <v>27</v>
      </c>
      <c r="F1036" t="s">
        <v>28</v>
      </c>
      <c r="G1036" t="s">
        <v>29</v>
      </c>
      <c r="H1036" t="s">
        <v>30</v>
      </c>
      <c r="I1036" t="s">
        <v>18</v>
      </c>
      <c r="J1036">
        <v>1</v>
      </c>
      <c r="K1036">
        <v>15000</v>
      </c>
      <c r="L1036">
        <v>15000</v>
      </c>
    </row>
    <row r="1037" spans="1:12" x14ac:dyDescent="0.3">
      <c r="A1037">
        <v>11036</v>
      </c>
      <c r="B1037" s="2">
        <v>45686</v>
      </c>
      <c r="C1037" t="s">
        <v>105</v>
      </c>
      <c r="D1037" t="s">
        <v>106</v>
      </c>
      <c r="E1037" t="s">
        <v>45</v>
      </c>
      <c r="F1037" t="s">
        <v>46</v>
      </c>
      <c r="G1037" t="s">
        <v>16</v>
      </c>
      <c r="H1037" t="s">
        <v>17</v>
      </c>
      <c r="I1037" t="s">
        <v>18</v>
      </c>
      <c r="J1037">
        <v>2</v>
      </c>
      <c r="K1037">
        <v>11000</v>
      </c>
      <c r="L1037">
        <v>22000</v>
      </c>
    </row>
    <row r="1038" spans="1:12" x14ac:dyDescent="0.3">
      <c r="A1038">
        <v>11037</v>
      </c>
      <c r="B1038" s="2">
        <v>45813</v>
      </c>
      <c r="C1038" t="s">
        <v>117</v>
      </c>
      <c r="D1038" t="s">
        <v>118</v>
      </c>
      <c r="E1038" t="s">
        <v>95</v>
      </c>
      <c r="F1038" t="s">
        <v>15</v>
      </c>
      <c r="G1038" t="s">
        <v>109</v>
      </c>
      <c r="H1038" t="s">
        <v>110</v>
      </c>
      <c r="I1038" t="s">
        <v>18</v>
      </c>
      <c r="J1038">
        <v>1</v>
      </c>
      <c r="K1038">
        <v>5000</v>
      </c>
      <c r="L1038">
        <v>5000</v>
      </c>
    </row>
    <row r="1039" spans="1:12" x14ac:dyDescent="0.3">
      <c r="A1039">
        <v>11038</v>
      </c>
      <c r="B1039" s="2">
        <v>45709</v>
      </c>
      <c r="C1039" t="s">
        <v>195</v>
      </c>
      <c r="D1039" t="s">
        <v>196</v>
      </c>
      <c r="E1039" t="s">
        <v>102</v>
      </c>
      <c r="F1039" t="s">
        <v>34</v>
      </c>
      <c r="G1039" t="s">
        <v>177</v>
      </c>
      <c r="H1039" t="s">
        <v>178</v>
      </c>
      <c r="I1039" t="s">
        <v>37</v>
      </c>
      <c r="J1039">
        <v>1</v>
      </c>
      <c r="K1039">
        <v>2500</v>
      </c>
      <c r="L1039">
        <v>2500</v>
      </c>
    </row>
    <row r="1040" spans="1:12" x14ac:dyDescent="0.3">
      <c r="A1040">
        <v>11039</v>
      </c>
      <c r="B1040" s="2">
        <v>45801</v>
      </c>
      <c r="C1040" t="s">
        <v>91</v>
      </c>
      <c r="D1040" t="s">
        <v>92</v>
      </c>
      <c r="E1040" t="s">
        <v>40</v>
      </c>
      <c r="F1040" t="s">
        <v>15</v>
      </c>
      <c r="G1040" t="s">
        <v>70</v>
      </c>
      <c r="H1040" t="s">
        <v>71</v>
      </c>
      <c r="I1040" t="s">
        <v>37</v>
      </c>
      <c r="J1040">
        <v>3</v>
      </c>
      <c r="K1040">
        <v>2200</v>
      </c>
      <c r="L1040">
        <v>6600</v>
      </c>
    </row>
    <row r="1041" spans="1:12" x14ac:dyDescent="0.3">
      <c r="A1041">
        <v>11040</v>
      </c>
      <c r="B1041" s="2">
        <v>45749</v>
      </c>
      <c r="C1041" t="s">
        <v>218</v>
      </c>
      <c r="D1041" t="s">
        <v>219</v>
      </c>
      <c r="E1041" t="s">
        <v>160</v>
      </c>
      <c r="F1041" t="s">
        <v>34</v>
      </c>
      <c r="G1041" t="s">
        <v>96</v>
      </c>
      <c r="H1041" t="s">
        <v>97</v>
      </c>
      <c r="I1041" t="s">
        <v>37</v>
      </c>
      <c r="J1041">
        <v>2</v>
      </c>
      <c r="K1041">
        <v>18000</v>
      </c>
      <c r="L1041">
        <v>36000</v>
      </c>
    </row>
    <row r="1042" spans="1:12" x14ac:dyDescent="0.3">
      <c r="A1042">
        <v>11041</v>
      </c>
      <c r="B1042" s="2">
        <v>46018</v>
      </c>
      <c r="C1042" t="s">
        <v>117</v>
      </c>
      <c r="D1042" t="s">
        <v>118</v>
      </c>
      <c r="E1042" t="s">
        <v>95</v>
      </c>
      <c r="F1042" t="s">
        <v>15</v>
      </c>
      <c r="G1042" t="s">
        <v>52</v>
      </c>
      <c r="H1042" t="s">
        <v>53</v>
      </c>
      <c r="I1042" t="s">
        <v>24</v>
      </c>
      <c r="J1042">
        <v>1</v>
      </c>
      <c r="K1042">
        <v>3500</v>
      </c>
      <c r="L1042">
        <v>3500</v>
      </c>
    </row>
    <row r="1043" spans="1:12" x14ac:dyDescent="0.3">
      <c r="A1043">
        <v>11042</v>
      </c>
      <c r="B1043" s="2">
        <v>46007</v>
      </c>
      <c r="C1043" t="s">
        <v>232</v>
      </c>
      <c r="D1043" t="s">
        <v>233</v>
      </c>
      <c r="E1043" t="s">
        <v>79</v>
      </c>
      <c r="F1043" t="s">
        <v>34</v>
      </c>
      <c r="G1043" t="s">
        <v>29</v>
      </c>
      <c r="H1043" t="s">
        <v>30</v>
      </c>
      <c r="I1043" t="s">
        <v>18</v>
      </c>
      <c r="J1043">
        <v>1</v>
      </c>
      <c r="K1043">
        <v>15000</v>
      </c>
      <c r="L1043">
        <v>15000</v>
      </c>
    </row>
    <row r="1044" spans="1:12" x14ac:dyDescent="0.3">
      <c r="A1044">
        <v>11043</v>
      </c>
      <c r="B1044" s="2">
        <v>45899</v>
      </c>
      <c r="C1044" t="s">
        <v>244</v>
      </c>
      <c r="D1044" t="s">
        <v>245</v>
      </c>
      <c r="E1044" t="s">
        <v>45</v>
      </c>
      <c r="F1044" t="s">
        <v>46</v>
      </c>
      <c r="G1044" t="s">
        <v>52</v>
      </c>
      <c r="H1044" t="s">
        <v>53</v>
      </c>
      <c r="I1044" t="s">
        <v>24</v>
      </c>
      <c r="J1044">
        <v>1</v>
      </c>
      <c r="K1044">
        <v>3500</v>
      </c>
      <c r="L1044">
        <v>3500</v>
      </c>
    </row>
    <row r="1045" spans="1:12" x14ac:dyDescent="0.3">
      <c r="A1045">
        <v>11044</v>
      </c>
      <c r="B1045" s="2">
        <v>45949</v>
      </c>
      <c r="C1045" t="s">
        <v>50</v>
      </c>
      <c r="D1045" t="s">
        <v>51</v>
      </c>
      <c r="E1045" t="s">
        <v>14</v>
      </c>
      <c r="F1045" t="s">
        <v>15</v>
      </c>
      <c r="G1045" t="s">
        <v>75</v>
      </c>
      <c r="H1045" t="s">
        <v>76</v>
      </c>
      <c r="I1045" t="s">
        <v>49</v>
      </c>
      <c r="J1045">
        <v>4</v>
      </c>
      <c r="K1045">
        <v>3000</v>
      </c>
      <c r="L1045">
        <v>12000</v>
      </c>
    </row>
    <row r="1046" spans="1:12" x14ac:dyDescent="0.3">
      <c r="A1046">
        <v>11045</v>
      </c>
      <c r="B1046" s="2">
        <v>45872</v>
      </c>
      <c r="C1046" t="s">
        <v>191</v>
      </c>
      <c r="D1046" t="s">
        <v>192</v>
      </c>
      <c r="E1046" t="s">
        <v>27</v>
      </c>
      <c r="F1046" t="s">
        <v>28</v>
      </c>
      <c r="G1046" t="s">
        <v>125</v>
      </c>
      <c r="H1046" t="s">
        <v>126</v>
      </c>
      <c r="I1046" t="s">
        <v>37</v>
      </c>
      <c r="J1046">
        <v>2</v>
      </c>
      <c r="K1046">
        <v>22000</v>
      </c>
      <c r="L1046">
        <v>44000</v>
      </c>
    </row>
    <row r="1047" spans="1:12" x14ac:dyDescent="0.3">
      <c r="A1047">
        <v>11046</v>
      </c>
      <c r="B1047" s="2">
        <v>45934</v>
      </c>
      <c r="C1047" t="s">
        <v>232</v>
      </c>
      <c r="D1047" t="s">
        <v>233</v>
      </c>
      <c r="E1047" t="s">
        <v>79</v>
      </c>
      <c r="F1047" t="s">
        <v>34</v>
      </c>
      <c r="G1047" t="s">
        <v>47</v>
      </c>
      <c r="H1047" t="s">
        <v>48</v>
      </c>
      <c r="I1047" t="s">
        <v>49</v>
      </c>
      <c r="J1047">
        <v>2</v>
      </c>
      <c r="K1047">
        <v>1600</v>
      </c>
      <c r="L1047">
        <v>3200</v>
      </c>
    </row>
    <row r="1048" spans="1:12" x14ac:dyDescent="0.3">
      <c r="A1048">
        <v>11047</v>
      </c>
      <c r="B1048" s="2">
        <v>45899</v>
      </c>
      <c r="C1048" t="s">
        <v>50</v>
      </c>
      <c r="D1048" t="s">
        <v>51</v>
      </c>
      <c r="E1048" t="s">
        <v>14</v>
      </c>
      <c r="F1048" t="s">
        <v>15</v>
      </c>
      <c r="G1048" t="s">
        <v>56</v>
      </c>
      <c r="H1048" t="s">
        <v>57</v>
      </c>
      <c r="I1048" t="s">
        <v>18</v>
      </c>
      <c r="J1048">
        <v>2</v>
      </c>
      <c r="K1048">
        <v>9000</v>
      </c>
      <c r="L1048">
        <v>18000</v>
      </c>
    </row>
    <row r="1049" spans="1:12" x14ac:dyDescent="0.3">
      <c r="A1049">
        <v>11048</v>
      </c>
      <c r="B1049" s="2">
        <v>45892</v>
      </c>
      <c r="C1049" t="s">
        <v>133</v>
      </c>
      <c r="D1049" t="s">
        <v>134</v>
      </c>
      <c r="E1049" t="s">
        <v>33</v>
      </c>
      <c r="F1049" t="s">
        <v>34</v>
      </c>
      <c r="G1049" t="s">
        <v>35</v>
      </c>
      <c r="H1049" t="s">
        <v>36</v>
      </c>
      <c r="I1049" t="s">
        <v>37</v>
      </c>
      <c r="J1049">
        <v>1</v>
      </c>
      <c r="K1049">
        <v>12000</v>
      </c>
      <c r="L1049">
        <v>12000</v>
      </c>
    </row>
    <row r="1050" spans="1:12" x14ac:dyDescent="0.3">
      <c r="A1050">
        <v>11049</v>
      </c>
      <c r="B1050" s="2">
        <v>46019</v>
      </c>
      <c r="C1050" t="s">
        <v>43</v>
      </c>
      <c r="D1050" t="s">
        <v>44</v>
      </c>
      <c r="E1050" t="s">
        <v>45</v>
      </c>
      <c r="F1050" t="s">
        <v>46</v>
      </c>
      <c r="G1050" t="s">
        <v>103</v>
      </c>
      <c r="H1050" t="s">
        <v>104</v>
      </c>
      <c r="I1050" t="s">
        <v>37</v>
      </c>
      <c r="J1050">
        <v>3</v>
      </c>
      <c r="K1050">
        <v>28000</v>
      </c>
      <c r="L1050">
        <v>84000</v>
      </c>
    </row>
    <row r="1051" spans="1:12" x14ac:dyDescent="0.3">
      <c r="A1051">
        <v>11050</v>
      </c>
      <c r="B1051" s="2">
        <v>45769</v>
      </c>
      <c r="C1051" t="s">
        <v>232</v>
      </c>
      <c r="D1051" t="s">
        <v>233</v>
      </c>
      <c r="E1051" t="s">
        <v>79</v>
      </c>
      <c r="F1051" t="s">
        <v>34</v>
      </c>
      <c r="G1051" t="s">
        <v>35</v>
      </c>
      <c r="H1051" t="s">
        <v>36</v>
      </c>
      <c r="I1051" t="s">
        <v>37</v>
      </c>
      <c r="J1051">
        <v>1</v>
      </c>
      <c r="K1051">
        <v>12000</v>
      </c>
      <c r="L1051">
        <v>12000</v>
      </c>
    </row>
    <row r="1052" spans="1:12" x14ac:dyDescent="0.3">
      <c r="A1052">
        <v>11051</v>
      </c>
      <c r="B1052" s="2">
        <v>46008</v>
      </c>
      <c r="C1052" t="s">
        <v>43</v>
      </c>
      <c r="D1052" t="s">
        <v>44</v>
      </c>
      <c r="E1052" t="s">
        <v>45</v>
      </c>
      <c r="F1052" t="s">
        <v>46</v>
      </c>
      <c r="G1052" t="s">
        <v>70</v>
      </c>
      <c r="H1052" t="s">
        <v>71</v>
      </c>
      <c r="I1052" t="s">
        <v>37</v>
      </c>
      <c r="J1052">
        <v>3</v>
      </c>
      <c r="K1052">
        <v>2200</v>
      </c>
      <c r="L1052">
        <v>6600</v>
      </c>
    </row>
    <row r="1053" spans="1:12" x14ac:dyDescent="0.3">
      <c r="A1053">
        <v>11052</v>
      </c>
      <c r="B1053" s="2">
        <v>45725</v>
      </c>
      <c r="C1053" t="s">
        <v>105</v>
      </c>
      <c r="D1053" t="s">
        <v>106</v>
      </c>
      <c r="E1053" t="s">
        <v>45</v>
      </c>
      <c r="F1053" t="s">
        <v>46</v>
      </c>
      <c r="G1053" t="s">
        <v>103</v>
      </c>
      <c r="H1053" t="s">
        <v>104</v>
      </c>
      <c r="I1053" t="s">
        <v>37</v>
      </c>
      <c r="J1053">
        <v>1</v>
      </c>
      <c r="K1053">
        <v>28000</v>
      </c>
      <c r="L1053">
        <v>28000</v>
      </c>
    </row>
    <row r="1054" spans="1:12" x14ac:dyDescent="0.3">
      <c r="A1054">
        <v>11053</v>
      </c>
      <c r="B1054" s="2">
        <v>45885</v>
      </c>
      <c r="C1054" t="s">
        <v>193</v>
      </c>
      <c r="D1054" t="s">
        <v>194</v>
      </c>
      <c r="E1054" t="s">
        <v>102</v>
      </c>
      <c r="F1054" t="s">
        <v>34</v>
      </c>
      <c r="G1054" t="s">
        <v>16</v>
      </c>
      <c r="H1054" t="s">
        <v>17</v>
      </c>
      <c r="I1054" t="s">
        <v>18</v>
      </c>
      <c r="J1054">
        <v>2</v>
      </c>
      <c r="K1054">
        <v>11000</v>
      </c>
      <c r="L1054">
        <v>22000</v>
      </c>
    </row>
    <row r="1055" spans="1:12" x14ac:dyDescent="0.3">
      <c r="A1055">
        <v>11054</v>
      </c>
      <c r="B1055" s="2">
        <v>45847</v>
      </c>
      <c r="C1055" t="s">
        <v>206</v>
      </c>
      <c r="D1055" t="s">
        <v>207</v>
      </c>
      <c r="E1055" t="s">
        <v>160</v>
      </c>
      <c r="F1055" t="s">
        <v>34</v>
      </c>
      <c r="G1055" t="s">
        <v>179</v>
      </c>
      <c r="H1055" t="s">
        <v>180</v>
      </c>
      <c r="I1055" t="s">
        <v>18</v>
      </c>
      <c r="J1055">
        <v>2</v>
      </c>
      <c r="K1055">
        <v>6500</v>
      </c>
      <c r="L1055">
        <v>13000</v>
      </c>
    </row>
    <row r="1056" spans="1:12" x14ac:dyDescent="0.3">
      <c r="A1056">
        <v>11055</v>
      </c>
      <c r="B1056" s="2">
        <v>45741</v>
      </c>
      <c r="C1056" t="s">
        <v>93</v>
      </c>
      <c r="D1056" t="s">
        <v>94</v>
      </c>
      <c r="E1056" t="s">
        <v>95</v>
      </c>
      <c r="F1056" t="s">
        <v>15</v>
      </c>
      <c r="G1056" t="s">
        <v>65</v>
      </c>
      <c r="H1056" t="s">
        <v>66</v>
      </c>
      <c r="I1056" t="s">
        <v>49</v>
      </c>
      <c r="J1056">
        <v>2</v>
      </c>
      <c r="K1056">
        <v>2400</v>
      </c>
      <c r="L1056">
        <v>4800</v>
      </c>
    </row>
    <row r="1057" spans="1:12" x14ac:dyDescent="0.3">
      <c r="A1057">
        <v>11056</v>
      </c>
      <c r="B1057" s="2">
        <v>45726</v>
      </c>
      <c r="C1057" t="s">
        <v>232</v>
      </c>
      <c r="D1057" t="s">
        <v>233</v>
      </c>
      <c r="E1057" t="s">
        <v>79</v>
      </c>
      <c r="F1057" t="s">
        <v>34</v>
      </c>
      <c r="G1057" t="s">
        <v>65</v>
      </c>
      <c r="H1057" t="s">
        <v>66</v>
      </c>
      <c r="I1057" t="s">
        <v>49</v>
      </c>
      <c r="J1057">
        <v>1</v>
      </c>
      <c r="K1057">
        <v>2400</v>
      </c>
      <c r="L1057">
        <v>2400</v>
      </c>
    </row>
    <row r="1058" spans="1:12" x14ac:dyDescent="0.3">
      <c r="A1058">
        <v>11057</v>
      </c>
      <c r="B1058" s="2">
        <v>45913</v>
      </c>
      <c r="C1058" t="s">
        <v>214</v>
      </c>
      <c r="D1058" t="s">
        <v>215</v>
      </c>
      <c r="E1058" t="s">
        <v>137</v>
      </c>
      <c r="F1058" t="s">
        <v>46</v>
      </c>
      <c r="G1058" t="s">
        <v>152</v>
      </c>
      <c r="H1058" t="s">
        <v>153</v>
      </c>
      <c r="I1058" t="s">
        <v>49</v>
      </c>
      <c r="J1058">
        <v>3</v>
      </c>
      <c r="K1058">
        <v>3200</v>
      </c>
      <c r="L1058">
        <v>9600</v>
      </c>
    </row>
    <row r="1059" spans="1:12" x14ac:dyDescent="0.3">
      <c r="A1059">
        <v>11058</v>
      </c>
      <c r="B1059" s="2">
        <v>45848</v>
      </c>
      <c r="C1059" t="s">
        <v>171</v>
      </c>
      <c r="D1059" t="s">
        <v>172</v>
      </c>
      <c r="E1059" t="s">
        <v>45</v>
      </c>
      <c r="F1059" t="s">
        <v>46</v>
      </c>
      <c r="G1059" t="s">
        <v>41</v>
      </c>
      <c r="H1059" t="s">
        <v>42</v>
      </c>
      <c r="I1059" t="s">
        <v>37</v>
      </c>
      <c r="J1059">
        <v>2</v>
      </c>
      <c r="K1059">
        <v>30000</v>
      </c>
      <c r="L1059">
        <v>60000</v>
      </c>
    </row>
    <row r="1060" spans="1:12" x14ac:dyDescent="0.3">
      <c r="A1060">
        <v>11059</v>
      </c>
      <c r="B1060" s="2">
        <v>45959</v>
      </c>
      <c r="C1060" t="s">
        <v>117</v>
      </c>
      <c r="D1060" t="s">
        <v>118</v>
      </c>
      <c r="E1060" t="s">
        <v>95</v>
      </c>
      <c r="F1060" t="s">
        <v>15</v>
      </c>
      <c r="G1060" t="s">
        <v>167</v>
      </c>
      <c r="H1060" t="s">
        <v>168</v>
      </c>
      <c r="I1060" t="s">
        <v>49</v>
      </c>
      <c r="J1060">
        <v>1</v>
      </c>
      <c r="K1060">
        <v>3800</v>
      </c>
      <c r="L1060">
        <v>3800</v>
      </c>
    </row>
    <row r="1061" spans="1:12" x14ac:dyDescent="0.3">
      <c r="A1061">
        <v>11060</v>
      </c>
      <c r="B1061" s="2">
        <v>45821</v>
      </c>
      <c r="C1061" t="s">
        <v>222</v>
      </c>
      <c r="D1061" t="s">
        <v>223</v>
      </c>
      <c r="E1061" t="s">
        <v>21</v>
      </c>
      <c r="F1061" t="s">
        <v>15</v>
      </c>
      <c r="G1061" t="s">
        <v>103</v>
      </c>
      <c r="H1061" t="s">
        <v>104</v>
      </c>
      <c r="I1061" t="s">
        <v>37</v>
      </c>
      <c r="J1061">
        <v>1</v>
      </c>
      <c r="K1061">
        <v>28000</v>
      </c>
      <c r="L1061">
        <v>28000</v>
      </c>
    </row>
    <row r="1062" spans="1:12" x14ac:dyDescent="0.3">
      <c r="A1062">
        <v>11061</v>
      </c>
      <c r="B1062" s="2">
        <v>45803</v>
      </c>
      <c r="C1062" t="s">
        <v>85</v>
      </c>
      <c r="D1062" t="s">
        <v>86</v>
      </c>
      <c r="E1062" t="s">
        <v>45</v>
      </c>
      <c r="F1062" t="s">
        <v>46</v>
      </c>
      <c r="G1062" t="s">
        <v>60</v>
      </c>
      <c r="H1062" t="s">
        <v>61</v>
      </c>
      <c r="I1062" t="s">
        <v>18</v>
      </c>
      <c r="J1062">
        <v>1</v>
      </c>
      <c r="K1062">
        <v>2200</v>
      </c>
      <c r="L1062">
        <v>2200</v>
      </c>
    </row>
    <row r="1063" spans="1:12" x14ac:dyDescent="0.3">
      <c r="A1063">
        <v>11062</v>
      </c>
      <c r="B1063" s="2">
        <v>45983</v>
      </c>
      <c r="C1063" t="s">
        <v>183</v>
      </c>
      <c r="D1063" t="s">
        <v>184</v>
      </c>
      <c r="E1063" t="s">
        <v>27</v>
      </c>
      <c r="F1063" t="s">
        <v>28</v>
      </c>
      <c r="G1063" t="s">
        <v>177</v>
      </c>
      <c r="H1063" t="s">
        <v>178</v>
      </c>
      <c r="I1063" t="s">
        <v>37</v>
      </c>
      <c r="J1063">
        <v>2</v>
      </c>
      <c r="K1063">
        <v>2500</v>
      </c>
      <c r="L1063">
        <v>5000</v>
      </c>
    </row>
    <row r="1064" spans="1:12" x14ac:dyDescent="0.3">
      <c r="A1064">
        <v>11063</v>
      </c>
      <c r="B1064" s="2">
        <v>45757</v>
      </c>
      <c r="C1064" t="s">
        <v>146</v>
      </c>
      <c r="D1064" t="s">
        <v>147</v>
      </c>
      <c r="E1064" t="s">
        <v>64</v>
      </c>
      <c r="F1064" t="s">
        <v>46</v>
      </c>
      <c r="G1064" t="s">
        <v>56</v>
      </c>
      <c r="H1064" t="s">
        <v>57</v>
      </c>
      <c r="I1064" t="s">
        <v>18</v>
      </c>
      <c r="J1064">
        <v>2</v>
      </c>
      <c r="K1064">
        <v>9000</v>
      </c>
      <c r="L1064">
        <v>18000</v>
      </c>
    </row>
    <row r="1065" spans="1:12" x14ac:dyDescent="0.3">
      <c r="A1065">
        <v>11064</v>
      </c>
      <c r="B1065" s="2">
        <v>45943</v>
      </c>
      <c r="C1065" t="s">
        <v>115</v>
      </c>
      <c r="D1065" t="s">
        <v>116</v>
      </c>
      <c r="E1065" t="s">
        <v>33</v>
      </c>
      <c r="F1065" t="s">
        <v>34</v>
      </c>
      <c r="G1065" t="s">
        <v>121</v>
      </c>
      <c r="H1065" t="s">
        <v>122</v>
      </c>
      <c r="I1065" t="s">
        <v>49</v>
      </c>
      <c r="J1065">
        <v>1</v>
      </c>
      <c r="K1065">
        <v>4800</v>
      </c>
      <c r="L1065">
        <v>4800</v>
      </c>
    </row>
    <row r="1066" spans="1:12" x14ac:dyDescent="0.3">
      <c r="A1066">
        <v>11065</v>
      </c>
      <c r="B1066" s="2">
        <v>45981</v>
      </c>
      <c r="C1066" t="s">
        <v>197</v>
      </c>
      <c r="D1066" t="s">
        <v>198</v>
      </c>
      <c r="E1066" t="s">
        <v>95</v>
      </c>
      <c r="F1066" t="s">
        <v>15</v>
      </c>
      <c r="G1066" t="s">
        <v>29</v>
      </c>
      <c r="H1066" t="s">
        <v>30</v>
      </c>
      <c r="I1066" t="s">
        <v>18</v>
      </c>
      <c r="J1066">
        <v>5</v>
      </c>
      <c r="K1066">
        <v>15000</v>
      </c>
      <c r="L1066">
        <v>75000</v>
      </c>
    </row>
    <row r="1067" spans="1:12" x14ac:dyDescent="0.3">
      <c r="A1067">
        <v>11066</v>
      </c>
      <c r="B1067" s="2">
        <v>45959</v>
      </c>
      <c r="C1067" t="s">
        <v>43</v>
      </c>
      <c r="D1067" t="s">
        <v>44</v>
      </c>
      <c r="E1067" t="s">
        <v>45</v>
      </c>
      <c r="F1067" t="s">
        <v>46</v>
      </c>
      <c r="G1067" t="s">
        <v>89</v>
      </c>
      <c r="H1067" t="s">
        <v>90</v>
      </c>
      <c r="I1067" t="s">
        <v>18</v>
      </c>
      <c r="J1067">
        <v>1</v>
      </c>
      <c r="K1067">
        <v>4200</v>
      </c>
      <c r="L1067">
        <v>4200</v>
      </c>
    </row>
    <row r="1068" spans="1:12" x14ac:dyDescent="0.3">
      <c r="A1068">
        <v>11067</v>
      </c>
      <c r="B1068" s="2">
        <v>45721</v>
      </c>
      <c r="C1068" t="s">
        <v>119</v>
      </c>
      <c r="D1068" t="s">
        <v>120</v>
      </c>
      <c r="E1068" t="s">
        <v>27</v>
      </c>
      <c r="F1068" t="s">
        <v>28</v>
      </c>
      <c r="G1068" t="s">
        <v>35</v>
      </c>
      <c r="H1068" t="s">
        <v>36</v>
      </c>
      <c r="I1068" t="s">
        <v>37</v>
      </c>
      <c r="J1068">
        <v>1</v>
      </c>
      <c r="K1068">
        <v>12000</v>
      </c>
      <c r="L1068">
        <v>12000</v>
      </c>
    </row>
    <row r="1069" spans="1:12" x14ac:dyDescent="0.3">
      <c r="A1069">
        <v>11068</v>
      </c>
      <c r="B1069" s="2">
        <v>45899</v>
      </c>
      <c r="C1069" t="s">
        <v>115</v>
      </c>
      <c r="D1069" t="s">
        <v>116</v>
      </c>
      <c r="E1069" t="s">
        <v>33</v>
      </c>
      <c r="F1069" t="s">
        <v>34</v>
      </c>
      <c r="G1069" t="s">
        <v>89</v>
      </c>
      <c r="H1069" t="s">
        <v>90</v>
      </c>
      <c r="I1069" t="s">
        <v>18</v>
      </c>
      <c r="J1069">
        <v>2</v>
      </c>
      <c r="K1069">
        <v>4200</v>
      </c>
      <c r="L1069">
        <v>8400</v>
      </c>
    </row>
    <row r="1070" spans="1:12" x14ac:dyDescent="0.3">
      <c r="A1070">
        <v>11069</v>
      </c>
      <c r="B1070" s="2">
        <v>45861</v>
      </c>
      <c r="C1070" t="s">
        <v>115</v>
      </c>
      <c r="D1070" t="s">
        <v>116</v>
      </c>
      <c r="E1070" t="s">
        <v>33</v>
      </c>
      <c r="F1070" t="s">
        <v>34</v>
      </c>
      <c r="G1070" t="s">
        <v>121</v>
      </c>
      <c r="H1070" t="s">
        <v>122</v>
      </c>
      <c r="I1070" t="s">
        <v>49</v>
      </c>
      <c r="J1070">
        <v>1</v>
      </c>
      <c r="K1070">
        <v>4800</v>
      </c>
      <c r="L1070">
        <v>4800</v>
      </c>
    </row>
    <row r="1071" spans="1:12" x14ac:dyDescent="0.3">
      <c r="A1071">
        <v>11070</v>
      </c>
      <c r="B1071" s="2">
        <v>45752</v>
      </c>
      <c r="C1071" t="s">
        <v>146</v>
      </c>
      <c r="D1071" t="s">
        <v>147</v>
      </c>
      <c r="E1071" t="s">
        <v>64</v>
      </c>
      <c r="F1071" t="s">
        <v>46</v>
      </c>
      <c r="G1071" t="s">
        <v>70</v>
      </c>
      <c r="H1071" t="s">
        <v>71</v>
      </c>
      <c r="I1071" t="s">
        <v>37</v>
      </c>
      <c r="J1071">
        <v>3</v>
      </c>
      <c r="K1071">
        <v>2200</v>
      </c>
      <c r="L1071">
        <v>6600</v>
      </c>
    </row>
    <row r="1072" spans="1:12" x14ac:dyDescent="0.3">
      <c r="A1072">
        <v>11071</v>
      </c>
      <c r="B1072" s="2">
        <v>45818</v>
      </c>
      <c r="C1072" t="s">
        <v>236</v>
      </c>
      <c r="D1072" t="s">
        <v>237</v>
      </c>
      <c r="E1072" t="s">
        <v>201</v>
      </c>
      <c r="F1072" t="s">
        <v>28</v>
      </c>
      <c r="G1072" t="s">
        <v>167</v>
      </c>
      <c r="H1072" t="s">
        <v>168</v>
      </c>
      <c r="I1072" t="s">
        <v>49</v>
      </c>
      <c r="J1072">
        <v>1</v>
      </c>
      <c r="K1072">
        <v>3800</v>
      </c>
      <c r="L1072">
        <v>3800</v>
      </c>
    </row>
    <row r="1073" spans="1:12" x14ac:dyDescent="0.3">
      <c r="A1073">
        <v>11072</v>
      </c>
      <c r="B1073" s="2">
        <v>45738</v>
      </c>
      <c r="C1073" t="s">
        <v>224</v>
      </c>
      <c r="D1073" t="s">
        <v>225</v>
      </c>
      <c r="E1073" t="s">
        <v>201</v>
      </c>
      <c r="F1073" t="s">
        <v>28</v>
      </c>
      <c r="G1073" t="s">
        <v>47</v>
      </c>
      <c r="H1073" t="s">
        <v>48</v>
      </c>
      <c r="I1073" t="s">
        <v>49</v>
      </c>
      <c r="J1073">
        <v>1</v>
      </c>
      <c r="K1073">
        <v>1600</v>
      </c>
      <c r="L1073">
        <v>1600</v>
      </c>
    </row>
    <row r="1074" spans="1:12" x14ac:dyDescent="0.3">
      <c r="A1074">
        <v>11073</v>
      </c>
      <c r="B1074" s="2">
        <v>45727</v>
      </c>
      <c r="C1074" t="s">
        <v>150</v>
      </c>
      <c r="D1074" t="s">
        <v>151</v>
      </c>
      <c r="E1074" t="s">
        <v>84</v>
      </c>
      <c r="F1074" t="s">
        <v>46</v>
      </c>
      <c r="G1074" t="s">
        <v>125</v>
      </c>
      <c r="H1074" t="s">
        <v>126</v>
      </c>
      <c r="I1074" t="s">
        <v>37</v>
      </c>
      <c r="J1074">
        <v>1</v>
      </c>
      <c r="K1074">
        <v>22000</v>
      </c>
      <c r="L1074">
        <v>22000</v>
      </c>
    </row>
    <row r="1075" spans="1:12" x14ac:dyDescent="0.3">
      <c r="A1075">
        <v>11074</v>
      </c>
      <c r="B1075" s="2">
        <v>45888</v>
      </c>
      <c r="C1075" t="s">
        <v>85</v>
      </c>
      <c r="D1075" t="s">
        <v>86</v>
      </c>
      <c r="E1075" t="s">
        <v>45</v>
      </c>
      <c r="F1075" t="s">
        <v>46</v>
      </c>
      <c r="G1075" t="s">
        <v>56</v>
      </c>
      <c r="H1075" t="s">
        <v>57</v>
      </c>
      <c r="I1075" t="s">
        <v>18</v>
      </c>
      <c r="J1075">
        <v>3</v>
      </c>
      <c r="K1075">
        <v>9000</v>
      </c>
      <c r="L1075">
        <v>27000</v>
      </c>
    </row>
    <row r="1076" spans="1:12" x14ac:dyDescent="0.3">
      <c r="A1076">
        <v>11075</v>
      </c>
      <c r="B1076" s="2">
        <v>45885</v>
      </c>
      <c r="C1076" t="s">
        <v>173</v>
      </c>
      <c r="D1076" t="s">
        <v>174</v>
      </c>
      <c r="E1076" t="s">
        <v>137</v>
      </c>
      <c r="F1076" t="s">
        <v>46</v>
      </c>
      <c r="G1076" t="s">
        <v>96</v>
      </c>
      <c r="H1076" t="s">
        <v>97</v>
      </c>
      <c r="I1076" t="s">
        <v>37</v>
      </c>
      <c r="J1076">
        <v>2</v>
      </c>
      <c r="K1076">
        <v>18000</v>
      </c>
      <c r="L1076">
        <v>36000</v>
      </c>
    </row>
    <row r="1077" spans="1:12" x14ac:dyDescent="0.3">
      <c r="A1077">
        <v>11076</v>
      </c>
      <c r="B1077" s="2">
        <v>45722</v>
      </c>
      <c r="C1077" t="s">
        <v>185</v>
      </c>
      <c r="D1077" t="s">
        <v>186</v>
      </c>
      <c r="E1077" t="s">
        <v>14</v>
      </c>
      <c r="F1077" t="s">
        <v>15</v>
      </c>
      <c r="G1077" t="s">
        <v>103</v>
      </c>
      <c r="H1077" t="s">
        <v>104</v>
      </c>
      <c r="I1077" t="s">
        <v>37</v>
      </c>
      <c r="J1077">
        <v>3</v>
      </c>
      <c r="K1077">
        <v>28000</v>
      </c>
      <c r="L1077">
        <v>84000</v>
      </c>
    </row>
    <row r="1078" spans="1:12" x14ac:dyDescent="0.3">
      <c r="A1078">
        <v>11077</v>
      </c>
      <c r="B1078" s="2">
        <v>45731</v>
      </c>
      <c r="C1078" t="s">
        <v>107</v>
      </c>
      <c r="D1078" t="s">
        <v>108</v>
      </c>
      <c r="E1078" t="s">
        <v>74</v>
      </c>
      <c r="F1078" t="s">
        <v>28</v>
      </c>
      <c r="G1078" t="s">
        <v>167</v>
      </c>
      <c r="H1078" t="s">
        <v>168</v>
      </c>
      <c r="I1078" t="s">
        <v>49</v>
      </c>
      <c r="J1078">
        <v>1</v>
      </c>
      <c r="K1078">
        <v>3800</v>
      </c>
      <c r="L1078">
        <v>3800</v>
      </c>
    </row>
    <row r="1079" spans="1:12" x14ac:dyDescent="0.3">
      <c r="A1079">
        <v>11078</v>
      </c>
      <c r="B1079" s="2">
        <v>45734</v>
      </c>
      <c r="C1079" t="s">
        <v>91</v>
      </c>
      <c r="D1079" t="s">
        <v>92</v>
      </c>
      <c r="E1079" t="s">
        <v>40</v>
      </c>
      <c r="F1079" t="s">
        <v>15</v>
      </c>
      <c r="G1079" t="s">
        <v>35</v>
      </c>
      <c r="H1079" t="s">
        <v>36</v>
      </c>
      <c r="I1079" t="s">
        <v>37</v>
      </c>
      <c r="J1079">
        <v>1</v>
      </c>
      <c r="K1079">
        <v>12000</v>
      </c>
      <c r="L1079">
        <v>12000</v>
      </c>
    </row>
    <row r="1080" spans="1:12" x14ac:dyDescent="0.3">
      <c r="A1080">
        <v>11079</v>
      </c>
      <c r="B1080" s="2">
        <v>45757</v>
      </c>
      <c r="C1080" t="s">
        <v>72</v>
      </c>
      <c r="D1080" t="s">
        <v>73</v>
      </c>
      <c r="E1080" t="s">
        <v>74</v>
      </c>
      <c r="F1080" t="s">
        <v>28</v>
      </c>
      <c r="G1080" t="s">
        <v>144</v>
      </c>
      <c r="H1080" t="s">
        <v>145</v>
      </c>
      <c r="I1080" t="s">
        <v>37</v>
      </c>
      <c r="J1080">
        <v>1</v>
      </c>
      <c r="K1080">
        <v>65000</v>
      </c>
      <c r="L1080">
        <v>65000</v>
      </c>
    </row>
    <row r="1081" spans="1:12" x14ac:dyDescent="0.3">
      <c r="A1081">
        <v>11080</v>
      </c>
      <c r="B1081" s="2">
        <v>45908</v>
      </c>
      <c r="C1081" t="s">
        <v>38</v>
      </c>
      <c r="D1081" t="s">
        <v>39</v>
      </c>
      <c r="E1081" t="s">
        <v>40</v>
      </c>
      <c r="F1081" t="s">
        <v>15</v>
      </c>
      <c r="G1081" t="s">
        <v>98</v>
      </c>
      <c r="H1081" t="s">
        <v>99</v>
      </c>
      <c r="I1081" t="s">
        <v>24</v>
      </c>
      <c r="J1081">
        <v>1</v>
      </c>
      <c r="K1081">
        <v>2000</v>
      </c>
      <c r="L1081">
        <v>2000</v>
      </c>
    </row>
    <row r="1082" spans="1:12" x14ac:dyDescent="0.3">
      <c r="A1082">
        <v>11081</v>
      </c>
      <c r="B1082" s="2">
        <v>45844</v>
      </c>
      <c r="C1082" t="s">
        <v>212</v>
      </c>
      <c r="D1082" t="s">
        <v>213</v>
      </c>
      <c r="E1082" t="s">
        <v>69</v>
      </c>
      <c r="F1082" t="s">
        <v>28</v>
      </c>
      <c r="G1082" t="s">
        <v>56</v>
      </c>
      <c r="H1082" t="s">
        <v>57</v>
      </c>
      <c r="I1082" t="s">
        <v>18</v>
      </c>
      <c r="J1082">
        <v>1</v>
      </c>
      <c r="K1082">
        <v>9000</v>
      </c>
      <c r="L1082">
        <v>9000</v>
      </c>
    </row>
    <row r="1083" spans="1:12" x14ac:dyDescent="0.3">
      <c r="A1083">
        <v>11082</v>
      </c>
      <c r="B1083" s="2">
        <v>45905</v>
      </c>
      <c r="C1083" t="s">
        <v>91</v>
      </c>
      <c r="D1083" t="s">
        <v>92</v>
      </c>
      <c r="E1083" t="s">
        <v>40</v>
      </c>
      <c r="F1083" t="s">
        <v>15</v>
      </c>
      <c r="G1083" t="s">
        <v>152</v>
      </c>
      <c r="H1083" t="s">
        <v>153</v>
      </c>
      <c r="I1083" t="s">
        <v>49</v>
      </c>
      <c r="J1083">
        <v>1</v>
      </c>
      <c r="K1083">
        <v>3200</v>
      </c>
      <c r="L1083">
        <v>3200</v>
      </c>
    </row>
    <row r="1084" spans="1:12" x14ac:dyDescent="0.3">
      <c r="A1084">
        <v>11083</v>
      </c>
      <c r="B1084" s="2">
        <v>45786</v>
      </c>
      <c r="C1084" t="s">
        <v>146</v>
      </c>
      <c r="D1084" t="s">
        <v>147</v>
      </c>
      <c r="E1084" t="s">
        <v>64</v>
      </c>
      <c r="F1084" t="s">
        <v>46</v>
      </c>
      <c r="G1084" t="s">
        <v>89</v>
      </c>
      <c r="H1084" t="s">
        <v>90</v>
      </c>
      <c r="I1084" t="s">
        <v>18</v>
      </c>
      <c r="J1084">
        <v>1</v>
      </c>
      <c r="K1084">
        <v>4200</v>
      </c>
      <c r="L1084">
        <v>4200</v>
      </c>
    </row>
    <row r="1085" spans="1:12" x14ac:dyDescent="0.3">
      <c r="A1085">
        <v>11084</v>
      </c>
      <c r="B1085" s="2">
        <v>45816</v>
      </c>
      <c r="C1085" t="s">
        <v>146</v>
      </c>
      <c r="D1085" t="s">
        <v>147</v>
      </c>
      <c r="E1085" t="s">
        <v>64</v>
      </c>
      <c r="F1085" t="s">
        <v>46</v>
      </c>
      <c r="G1085" t="s">
        <v>113</v>
      </c>
      <c r="H1085" t="s">
        <v>114</v>
      </c>
      <c r="I1085" t="s">
        <v>37</v>
      </c>
      <c r="J1085">
        <v>2</v>
      </c>
      <c r="K1085">
        <v>52000</v>
      </c>
      <c r="L1085">
        <v>104000</v>
      </c>
    </row>
    <row r="1086" spans="1:12" x14ac:dyDescent="0.3">
      <c r="A1086">
        <v>11085</v>
      </c>
      <c r="B1086" s="2">
        <v>46002</v>
      </c>
      <c r="C1086" t="s">
        <v>127</v>
      </c>
      <c r="D1086" t="s">
        <v>128</v>
      </c>
      <c r="E1086" t="s">
        <v>102</v>
      </c>
      <c r="F1086" t="s">
        <v>34</v>
      </c>
      <c r="G1086" t="s">
        <v>187</v>
      </c>
      <c r="H1086" t="s">
        <v>188</v>
      </c>
      <c r="I1086" t="s">
        <v>24</v>
      </c>
      <c r="J1086">
        <v>1</v>
      </c>
      <c r="K1086">
        <v>5500</v>
      </c>
      <c r="L1086">
        <v>5500</v>
      </c>
    </row>
    <row r="1087" spans="1:12" x14ac:dyDescent="0.3">
      <c r="A1087">
        <v>11086</v>
      </c>
      <c r="B1087" s="2">
        <v>45717</v>
      </c>
      <c r="C1087" t="s">
        <v>100</v>
      </c>
      <c r="D1087" t="s">
        <v>101</v>
      </c>
      <c r="E1087" t="s">
        <v>102</v>
      </c>
      <c r="F1087" t="s">
        <v>34</v>
      </c>
      <c r="G1087" t="s">
        <v>152</v>
      </c>
      <c r="H1087" t="s">
        <v>153</v>
      </c>
      <c r="I1087" t="s">
        <v>49</v>
      </c>
      <c r="J1087">
        <v>3</v>
      </c>
      <c r="K1087">
        <v>3200</v>
      </c>
      <c r="L1087">
        <v>9600</v>
      </c>
    </row>
    <row r="1088" spans="1:12" x14ac:dyDescent="0.3">
      <c r="A1088">
        <v>11087</v>
      </c>
      <c r="B1088" s="2">
        <v>45671</v>
      </c>
      <c r="C1088" t="s">
        <v>58</v>
      </c>
      <c r="D1088" t="s">
        <v>59</v>
      </c>
      <c r="E1088" t="s">
        <v>21</v>
      </c>
      <c r="F1088" t="s">
        <v>15</v>
      </c>
      <c r="G1088" t="s">
        <v>129</v>
      </c>
      <c r="H1088" t="s">
        <v>130</v>
      </c>
      <c r="I1088" t="s">
        <v>24</v>
      </c>
      <c r="J1088">
        <v>2</v>
      </c>
      <c r="K1088">
        <v>1400</v>
      </c>
      <c r="L1088">
        <v>2800</v>
      </c>
    </row>
    <row r="1089" spans="1:12" x14ac:dyDescent="0.3">
      <c r="A1089">
        <v>11088</v>
      </c>
      <c r="B1089" s="2">
        <v>45720</v>
      </c>
      <c r="C1089" t="s">
        <v>193</v>
      </c>
      <c r="D1089" t="s">
        <v>194</v>
      </c>
      <c r="E1089" t="s">
        <v>102</v>
      </c>
      <c r="F1089" t="s">
        <v>34</v>
      </c>
      <c r="G1089" t="s">
        <v>109</v>
      </c>
      <c r="H1089" t="s">
        <v>110</v>
      </c>
      <c r="I1089" t="s">
        <v>18</v>
      </c>
      <c r="J1089">
        <v>1</v>
      </c>
      <c r="K1089">
        <v>5000</v>
      </c>
      <c r="L1089">
        <v>5000</v>
      </c>
    </row>
    <row r="1090" spans="1:12" x14ac:dyDescent="0.3">
      <c r="A1090">
        <v>11089</v>
      </c>
      <c r="B1090" s="2">
        <v>45869</v>
      </c>
      <c r="C1090" t="s">
        <v>133</v>
      </c>
      <c r="D1090" t="s">
        <v>134</v>
      </c>
      <c r="E1090" t="s">
        <v>33</v>
      </c>
      <c r="F1090" t="s">
        <v>34</v>
      </c>
      <c r="G1090" t="s">
        <v>131</v>
      </c>
      <c r="H1090" t="s">
        <v>132</v>
      </c>
      <c r="I1090" t="s">
        <v>37</v>
      </c>
      <c r="J1090">
        <v>4</v>
      </c>
      <c r="K1090">
        <v>4500</v>
      </c>
      <c r="L1090">
        <v>18000</v>
      </c>
    </row>
    <row r="1091" spans="1:12" x14ac:dyDescent="0.3">
      <c r="A1091">
        <v>11090</v>
      </c>
      <c r="B1091" s="2">
        <v>45762</v>
      </c>
      <c r="C1091" t="s">
        <v>72</v>
      </c>
      <c r="D1091" t="s">
        <v>73</v>
      </c>
      <c r="E1091" t="s">
        <v>74</v>
      </c>
      <c r="F1091" t="s">
        <v>28</v>
      </c>
      <c r="G1091" t="s">
        <v>96</v>
      </c>
      <c r="H1091" t="s">
        <v>97</v>
      </c>
      <c r="I1091" t="s">
        <v>37</v>
      </c>
      <c r="J1091">
        <v>1</v>
      </c>
      <c r="K1091">
        <v>18000</v>
      </c>
      <c r="L1091">
        <v>18000</v>
      </c>
    </row>
    <row r="1092" spans="1:12" x14ac:dyDescent="0.3">
      <c r="A1092">
        <v>11091</v>
      </c>
      <c r="B1092" s="2">
        <v>45746</v>
      </c>
      <c r="C1092" t="s">
        <v>82</v>
      </c>
      <c r="D1092" t="s">
        <v>83</v>
      </c>
      <c r="E1092" t="s">
        <v>84</v>
      </c>
      <c r="F1092" t="s">
        <v>46</v>
      </c>
      <c r="G1092" t="s">
        <v>109</v>
      </c>
      <c r="H1092" t="s">
        <v>110</v>
      </c>
      <c r="I1092" t="s">
        <v>18</v>
      </c>
      <c r="J1092">
        <v>2</v>
      </c>
      <c r="K1092">
        <v>5000</v>
      </c>
      <c r="L1092">
        <v>10000</v>
      </c>
    </row>
    <row r="1093" spans="1:12" x14ac:dyDescent="0.3">
      <c r="A1093">
        <v>11092</v>
      </c>
      <c r="B1093" s="2">
        <v>45922</v>
      </c>
      <c r="C1093" t="s">
        <v>146</v>
      </c>
      <c r="D1093" t="s">
        <v>147</v>
      </c>
      <c r="E1093" t="s">
        <v>64</v>
      </c>
      <c r="F1093" t="s">
        <v>46</v>
      </c>
      <c r="G1093" t="s">
        <v>16</v>
      </c>
      <c r="H1093" t="s">
        <v>17</v>
      </c>
      <c r="I1093" t="s">
        <v>18</v>
      </c>
      <c r="J1093">
        <v>1</v>
      </c>
      <c r="K1093">
        <v>11000</v>
      </c>
      <c r="L1093">
        <v>11000</v>
      </c>
    </row>
    <row r="1094" spans="1:12" x14ac:dyDescent="0.3">
      <c r="A1094">
        <v>11093</v>
      </c>
      <c r="B1094" s="2">
        <v>45767</v>
      </c>
      <c r="C1094" t="s">
        <v>91</v>
      </c>
      <c r="D1094" t="s">
        <v>92</v>
      </c>
      <c r="E1094" t="s">
        <v>40</v>
      </c>
      <c r="F1094" t="s">
        <v>15</v>
      </c>
      <c r="G1094" t="s">
        <v>65</v>
      </c>
      <c r="H1094" t="s">
        <v>66</v>
      </c>
      <c r="I1094" t="s">
        <v>49</v>
      </c>
      <c r="J1094">
        <v>2</v>
      </c>
      <c r="K1094">
        <v>2400</v>
      </c>
      <c r="L1094">
        <v>4800</v>
      </c>
    </row>
    <row r="1095" spans="1:12" x14ac:dyDescent="0.3">
      <c r="A1095">
        <v>11094</v>
      </c>
      <c r="B1095" s="2">
        <v>45909</v>
      </c>
      <c r="C1095" t="s">
        <v>80</v>
      </c>
      <c r="D1095" t="s">
        <v>81</v>
      </c>
      <c r="E1095" t="s">
        <v>79</v>
      </c>
      <c r="F1095" t="s">
        <v>34</v>
      </c>
      <c r="G1095" t="s">
        <v>47</v>
      </c>
      <c r="H1095" t="s">
        <v>48</v>
      </c>
      <c r="I1095" t="s">
        <v>49</v>
      </c>
      <c r="J1095">
        <v>1</v>
      </c>
      <c r="K1095">
        <v>1600</v>
      </c>
      <c r="L1095">
        <v>1600</v>
      </c>
    </row>
    <row r="1096" spans="1:12" x14ac:dyDescent="0.3">
      <c r="A1096">
        <v>11095</v>
      </c>
      <c r="B1096" s="2">
        <v>45891</v>
      </c>
      <c r="C1096" t="s">
        <v>123</v>
      </c>
      <c r="D1096" t="s">
        <v>124</v>
      </c>
      <c r="E1096" t="s">
        <v>69</v>
      </c>
      <c r="F1096" t="s">
        <v>28</v>
      </c>
      <c r="G1096" t="s">
        <v>70</v>
      </c>
      <c r="H1096" t="s">
        <v>71</v>
      </c>
      <c r="I1096" t="s">
        <v>37</v>
      </c>
      <c r="J1096">
        <v>3</v>
      </c>
      <c r="K1096">
        <v>2200</v>
      </c>
      <c r="L1096">
        <v>6600</v>
      </c>
    </row>
    <row r="1097" spans="1:12" x14ac:dyDescent="0.3">
      <c r="A1097">
        <v>11096</v>
      </c>
      <c r="B1097" s="2">
        <v>46019</v>
      </c>
      <c r="C1097" t="s">
        <v>19</v>
      </c>
      <c r="D1097" t="s">
        <v>20</v>
      </c>
      <c r="E1097" t="s">
        <v>21</v>
      </c>
      <c r="F1097" t="s">
        <v>15</v>
      </c>
      <c r="G1097" t="s">
        <v>35</v>
      </c>
      <c r="H1097" t="s">
        <v>36</v>
      </c>
      <c r="I1097" t="s">
        <v>37</v>
      </c>
      <c r="J1097">
        <v>4</v>
      </c>
      <c r="K1097">
        <v>12000</v>
      </c>
      <c r="L1097">
        <v>48000</v>
      </c>
    </row>
    <row r="1098" spans="1:12" x14ac:dyDescent="0.3">
      <c r="A1098">
        <v>11097</v>
      </c>
      <c r="B1098" s="2">
        <v>45768</v>
      </c>
      <c r="C1098" t="s">
        <v>123</v>
      </c>
      <c r="D1098" t="s">
        <v>124</v>
      </c>
      <c r="E1098" t="s">
        <v>69</v>
      </c>
      <c r="F1098" t="s">
        <v>28</v>
      </c>
      <c r="G1098" t="s">
        <v>22</v>
      </c>
      <c r="H1098" t="s">
        <v>23</v>
      </c>
      <c r="I1098" t="s">
        <v>24</v>
      </c>
      <c r="J1098">
        <v>1</v>
      </c>
      <c r="K1098">
        <v>2400</v>
      </c>
      <c r="L1098">
        <v>2400</v>
      </c>
    </row>
    <row r="1099" spans="1:12" x14ac:dyDescent="0.3">
      <c r="A1099">
        <v>11098</v>
      </c>
      <c r="B1099" s="2">
        <v>45730</v>
      </c>
      <c r="C1099" t="s">
        <v>19</v>
      </c>
      <c r="D1099" t="s">
        <v>20</v>
      </c>
      <c r="E1099" t="s">
        <v>21</v>
      </c>
      <c r="F1099" t="s">
        <v>15</v>
      </c>
      <c r="G1099" t="s">
        <v>16</v>
      </c>
      <c r="H1099" t="s">
        <v>17</v>
      </c>
      <c r="I1099" t="s">
        <v>18</v>
      </c>
      <c r="J1099">
        <v>1</v>
      </c>
      <c r="K1099">
        <v>11000</v>
      </c>
      <c r="L1099">
        <v>11000</v>
      </c>
    </row>
    <row r="1100" spans="1:12" x14ac:dyDescent="0.3">
      <c r="A1100">
        <v>11099</v>
      </c>
      <c r="B1100" s="2">
        <v>45727</v>
      </c>
      <c r="C1100" t="s">
        <v>123</v>
      </c>
      <c r="D1100" t="s">
        <v>124</v>
      </c>
      <c r="E1100" t="s">
        <v>69</v>
      </c>
      <c r="F1100" t="s">
        <v>28</v>
      </c>
      <c r="G1100" t="s">
        <v>52</v>
      </c>
      <c r="H1100" t="s">
        <v>53</v>
      </c>
      <c r="I1100" t="s">
        <v>24</v>
      </c>
      <c r="J1100">
        <v>3</v>
      </c>
      <c r="K1100">
        <v>3500</v>
      </c>
      <c r="L1100">
        <v>10500</v>
      </c>
    </row>
    <row r="1101" spans="1:12" x14ac:dyDescent="0.3">
      <c r="A1101">
        <v>11100</v>
      </c>
      <c r="B1101" s="2">
        <v>45662</v>
      </c>
      <c r="C1101" t="s">
        <v>197</v>
      </c>
      <c r="D1101" t="s">
        <v>198</v>
      </c>
      <c r="E1101" t="s">
        <v>95</v>
      </c>
      <c r="F1101" t="s">
        <v>15</v>
      </c>
      <c r="G1101" t="s">
        <v>41</v>
      </c>
      <c r="H1101" t="s">
        <v>42</v>
      </c>
      <c r="I1101" t="s">
        <v>37</v>
      </c>
      <c r="J1101">
        <v>1</v>
      </c>
      <c r="K1101">
        <v>30000</v>
      </c>
      <c r="L1101">
        <v>30000</v>
      </c>
    </row>
    <row r="1102" spans="1:12" x14ac:dyDescent="0.3">
      <c r="A1102">
        <v>11101</v>
      </c>
      <c r="B1102" s="2">
        <v>45684</v>
      </c>
      <c r="C1102" t="s">
        <v>50</v>
      </c>
      <c r="D1102" t="s">
        <v>51</v>
      </c>
      <c r="E1102" t="s">
        <v>14</v>
      </c>
      <c r="F1102" t="s">
        <v>15</v>
      </c>
      <c r="G1102" t="s">
        <v>16</v>
      </c>
      <c r="H1102" t="s">
        <v>17</v>
      </c>
      <c r="I1102" t="s">
        <v>18</v>
      </c>
      <c r="J1102">
        <v>1</v>
      </c>
      <c r="K1102">
        <v>11000</v>
      </c>
      <c r="L1102">
        <v>11000</v>
      </c>
    </row>
    <row r="1103" spans="1:12" x14ac:dyDescent="0.3">
      <c r="A1103">
        <v>11102</v>
      </c>
      <c r="B1103" s="2">
        <v>45778</v>
      </c>
      <c r="C1103" t="s">
        <v>232</v>
      </c>
      <c r="D1103" t="s">
        <v>233</v>
      </c>
      <c r="E1103" t="s">
        <v>79</v>
      </c>
      <c r="F1103" t="s">
        <v>34</v>
      </c>
      <c r="G1103" t="s">
        <v>70</v>
      </c>
      <c r="H1103" t="s">
        <v>71</v>
      </c>
      <c r="I1103" t="s">
        <v>37</v>
      </c>
      <c r="J1103">
        <v>1</v>
      </c>
      <c r="K1103">
        <v>2200</v>
      </c>
      <c r="L1103">
        <v>2200</v>
      </c>
    </row>
    <row r="1104" spans="1:12" x14ac:dyDescent="0.3">
      <c r="A1104">
        <v>11103</v>
      </c>
      <c r="B1104" s="2">
        <v>45664</v>
      </c>
      <c r="C1104" t="s">
        <v>105</v>
      </c>
      <c r="D1104" t="s">
        <v>106</v>
      </c>
      <c r="E1104" t="s">
        <v>45</v>
      </c>
      <c r="F1104" t="s">
        <v>46</v>
      </c>
      <c r="G1104" t="s">
        <v>144</v>
      </c>
      <c r="H1104" t="s">
        <v>145</v>
      </c>
      <c r="I1104" t="s">
        <v>37</v>
      </c>
      <c r="J1104">
        <v>1</v>
      </c>
      <c r="K1104">
        <v>65000</v>
      </c>
      <c r="L1104">
        <v>65000</v>
      </c>
    </row>
    <row r="1105" spans="1:12" x14ac:dyDescent="0.3">
      <c r="A1105">
        <v>11104</v>
      </c>
      <c r="B1105" s="2">
        <v>45996</v>
      </c>
      <c r="C1105" t="s">
        <v>224</v>
      </c>
      <c r="D1105" t="s">
        <v>225</v>
      </c>
      <c r="E1105" t="s">
        <v>201</v>
      </c>
      <c r="F1105" t="s">
        <v>28</v>
      </c>
      <c r="G1105" t="s">
        <v>65</v>
      </c>
      <c r="H1105" t="s">
        <v>66</v>
      </c>
      <c r="I1105" t="s">
        <v>49</v>
      </c>
      <c r="J1105">
        <v>1</v>
      </c>
      <c r="K1105">
        <v>2400</v>
      </c>
      <c r="L1105">
        <v>2400</v>
      </c>
    </row>
    <row r="1106" spans="1:12" x14ac:dyDescent="0.3">
      <c r="A1106">
        <v>11105</v>
      </c>
      <c r="B1106" s="2">
        <v>45661</v>
      </c>
      <c r="C1106" t="s">
        <v>19</v>
      </c>
      <c r="D1106" t="s">
        <v>20</v>
      </c>
      <c r="E1106" t="s">
        <v>21</v>
      </c>
      <c r="F1106" t="s">
        <v>15</v>
      </c>
      <c r="G1106" t="s">
        <v>144</v>
      </c>
      <c r="H1106" t="s">
        <v>145</v>
      </c>
      <c r="I1106" t="s">
        <v>37</v>
      </c>
      <c r="J1106">
        <v>1</v>
      </c>
      <c r="K1106">
        <v>65000</v>
      </c>
      <c r="L1106">
        <v>65000</v>
      </c>
    </row>
    <row r="1107" spans="1:12" x14ac:dyDescent="0.3">
      <c r="A1107">
        <v>11106</v>
      </c>
      <c r="B1107" s="2">
        <v>45945</v>
      </c>
      <c r="C1107" t="s">
        <v>100</v>
      </c>
      <c r="D1107" t="s">
        <v>101</v>
      </c>
      <c r="E1107" t="s">
        <v>102</v>
      </c>
      <c r="F1107" t="s">
        <v>34</v>
      </c>
      <c r="G1107" t="s">
        <v>47</v>
      </c>
      <c r="H1107" t="s">
        <v>48</v>
      </c>
      <c r="I1107" t="s">
        <v>49</v>
      </c>
      <c r="J1107">
        <v>1</v>
      </c>
      <c r="K1107">
        <v>1600</v>
      </c>
      <c r="L1107">
        <v>1600</v>
      </c>
    </row>
    <row r="1108" spans="1:12" x14ac:dyDescent="0.3">
      <c r="A1108">
        <v>11107</v>
      </c>
      <c r="B1108" s="2">
        <v>45809</v>
      </c>
      <c r="C1108" t="s">
        <v>173</v>
      </c>
      <c r="D1108" t="s">
        <v>174</v>
      </c>
      <c r="E1108" t="s">
        <v>137</v>
      </c>
      <c r="F1108" t="s">
        <v>46</v>
      </c>
      <c r="G1108" t="s">
        <v>16</v>
      </c>
      <c r="H1108" t="s">
        <v>17</v>
      </c>
      <c r="I1108" t="s">
        <v>18</v>
      </c>
      <c r="J1108">
        <v>1</v>
      </c>
      <c r="K1108">
        <v>11000</v>
      </c>
      <c r="L1108">
        <v>11000</v>
      </c>
    </row>
    <row r="1109" spans="1:12" x14ac:dyDescent="0.3">
      <c r="A1109">
        <v>11108</v>
      </c>
      <c r="B1109" s="2">
        <v>45862</v>
      </c>
      <c r="C1109" t="s">
        <v>58</v>
      </c>
      <c r="D1109" t="s">
        <v>59</v>
      </c>
      <c r="E1109" t="s">
        <v>21</v>
      </c>
      <c r="F1109" t="s">
        <v>15</v>
      </c>
      <c r="G1109" t="s">
        <v>70</v>
      </c>
      <c r="H1109" t="s">
        <v>71</v>
      </c>
      <c r="I1109" t="s">
        <v>37</v>
      </c>
      <c r="J1109">
        <v>4</v>
      </c>
      <c r="K1109">
        <v>2200</v>
      </c>
      <c r="L1109">
        <v>8800</v>
      </c>
    </row>
    <row r="1110" spans="1:12" x14ac:dyDescent="0.3">
      <c r="A1110">
        <v>11109</v>
      </c>
      <c r="B1110" s="2">
        <v>45818</v>
      </c>
      <c r="C1110" t="s">
        <v>107</v>
      </c>
      <c r="D1110" t="s">
        <v>108</v>
      </c>
      <c r="E1110" t="s">
        <v>74</v>
      </c>
      <c r="F1110" t="s">
        <v>28</v>
      </c>
      <c r="G1110" t="s">
        <v>65</v>
      </c>
      <c r="H1110" t="s">
        <v>66</v>
      </c>
      <c r="I1110" t="s">
        <v>49</v>
      </c>
      <c r="J1110">
        <v>3</v>
      </c>
      <c r="K1110">
        <v>2400</v>
      </c>
      <c r="L1110">
        <v>7200</v>
      </c>
    </row>
    <row r="1111" spans="1:12" x14ac:dyDescent="0.3">
      <c r="A1111">
        <v>11110</v>
      </c>
      <c r="B1111" s="2">
        <v>45941</v>
      </c>
      <c r="C1111" t="s">
        <v>197</v>
      </c>
      <c r="D1111" t="s">
        <v>198</v>
      </c>
      <c r="E1111" t="s">
        <v>95</v>
      </c>
      <c r="F1111" t="s">
        <v>15</v>
      </c>
      <c r="G1111" t="s">
        <v>35</v>
      </c>
      <c r="H1111" t="s">
        <v>36</v>
      </c>
      <c r="I1111" t="s">
        <v>37</v>
      </c>
      <c r="J1111">
        <v>1</v>
      </c>
      <c r="K1111">
        <v>12000</v>
      </c>
      <c r="L1111">
        <v>12000</v>
      </c>
    </row>
    <row r="1112" spans="1:12" x14ac:dyDescent="0.3">
      <c r="A1112">
        <v>11111</v>
      </c>
      <c r="B1112" s="2">
        <v>45687</v>
      </c>
      <c r="C1112" t="s">
        <v>31</v>
      </c>
      <c r="D1112" t="s">
        <v>32</v>
      </c>
      <c r="E1112" t="s">
        <v>33</v>
      </c>
      <c r="F1112" t="s">
        <v>34</v>
      </c>
      <c r="G1112" t="s">
        <v>60</v>
      </c>
      <c r="H1112" t="s">
        <v>61</v>
      </c>
      <c r="I1112" t="s">
        <v>18</v>
      </c>
      <c r="J1112">
        <v>1</v>
      </c>
      <c r="K1112">
        <v>2200</v>
      </c>
      <c r="L1112">
        <v>2200</v>
      </c>
    </row>
    <row r="1113" spans="1:12" x14ac:dyDescent="0.3">
      <c r="A1113">
        <v>11112</v>
      </c>
      <c r="B1113" s="2">
        <v>45861</v>
      </c>
      <c r="C1113" t="s">
        <v>91</v>
      </c>
      <c r="D1113" t="s">
        <v>92</v>
      </c>
      <c r="E1113" t="s">
        <v>40</v>
      </c>
      <c r="F1113" t="s">
        <v>15</v>
      </c>
      <c r="G1113" t="s">
        <v>125</v>
      </c>
      <c r="H1113" t="s">
        <v>126</v>
      </c>
      <c r="I1113" t="s">
        <v>37</v>
      </c>
      <c r="J1113">
        <v>1</v>
      </c>
      <c r="K1113">
        <v>22000</v>
      </c>
      <c r="L1113">
        <v>22000</v>
      </c>
    </row>
    <row r="1114" spans="1:12" x14ac:dyDescent="0.3">
      <c r="A1114">
        <v>11113</v>
      </c>
      <c r="B1114" s="2">
        <v>45848</v>
      </c>
      <c r="C1114" t="s">
        <v>25</v>
      </c>
      <c r="D1114" t="s">
        <v>26</v>
      </c>
      <c r="E1114" t="s">
        <v>27</v>
      </c>
      <c r="F1114" t="s">
        <v>28</v>
      </c>
      <c r="G1114" t="s">
        <v>89</v>
      </c>
      <c r="H1114" t="s">
        <v>90</v>
      </c>
      <c r="I1114" t="s">
        <v>18</v>
      </c>
      <c r="J1114">
        <v>1</v>
      </c>
      <c r="K1114">
        <v>4200</v>
      </c>
      <c r="L1114">
        <v>4200</v>
      </c>
    </row>
    <row r="1115" spans="1:12" x14ac:dyDescent="0.3">
      <c r="A1115">
        <v>11114</v>
      </c>
      <c r="B1115" s="2">
        <v>45676</v>
      </c>
      <c r="C1115" t="s">
        <v>148</v>
      </c>
      <c r="D1115" t="s">
        <v>149</v>
      </c>
      <c r="E1115" t="s">
        <v>14</v>
      </c>
      <c r="F1115" t="s">
        <v>15</v>
      </c>
      <c r="G1115" t="s">
        <v>70</v>
      </c>
      <c r="H1115" t="s">
        <v>71</v>
      </c>
      <c r="I1115" t="s">
        <v>37</v>
      </c>
      <c r="J1115">
        <v>1</v>
      </c>
      <c r="K1115">
        <v>2200</v>
      </c>
      <c r="L1115">
        <v>2200</v>
      </c>
    </row>
    <row r="1116" spans="1:12" x14ac:dyDescent="0.3">
      <c r="A1116">
        <v>11115</v>
      </c>
      <c r="B1116" s="2">
        <v>45694</v>
      </c>
      <c r="C1116" t="s">
        <v>91</v>
      </c>
      <c r="D1116" t="s">
        <v>92</v>
      </c>
      <c r="E1116" t="s">
        <v>40</v>
      </c>
      <c r="F1116" t="s">
        <v>15</v>
      </c>
      <c r="G1116" t="s">
        <v>179</v>
      </c>
      <c r="H1116" t="s">
        <v>180</v>
      </c>
      <c r="I1116" t="s">
        <v>18</v>
      </c>
      <c r="J1116">
        <v>1</v>
      </c>
      <c r="K1116">
        <v>6500</v>
      </c>
      <c r="L1116">
        <v>6500</v>
      </c>
    </row>
    <row r="1117" spans="1:12" x14ac:dyDescent="0.3">
      <c r="A1117">
        <v>11116</v>
      </c>
      <c r="B1117" s="2">
        <v>45850</v>
      </c>
      <c r="C1117" t="s">
        <v>50</v>
      </c>
      <c r="D1117" t="s">
        <v>51</v>
      </c>
      <c r="E1117" t="s">
        <v>14</v>
      </c>
      <c r="F1117" t="s">
        <v>15</v>
      </c>
      <c r="G1117" t="s">
        <v>16</v>
      </c>
      <c r="H1117" t="s">
        <v>17</v>
      </c>
      <c r="I1117" t="s">
        <v>18</v>
      </c>
      <c r="J1117">
        <v>3</v>
      </c>
      <c r="K1117">
        <v>11000</v>
      </c>
      <c r="L1117">
        <v>33000</v>
      </c>
    </row>
    <row r="1118" spans="1:12" x14ac:dyDescent="0.3">
      <c r="A1118">
        <v>11117</v>
      </c>
      <c r="B1118" s="2">
        <v>45715</v>
      </c>
      <c r="C1118" t="s">
        <v>43</v>
      </c>
      <c r="D1118" t="s">
        <v>44</v>
      </c>
      <c r="E1118" t="s">
        <v>45</v>
      </c>
      <c r="F1118" t="s">
        <v>46</v>
      </c>
      <c r="G1118" t="s">
        <v>41</v>
      </c>
      <c r="H1118" t="s">
        <v>42</v>
      </c>
      <c r="I1118" t="s">
        <v>37</v>
      </c>
      <c r="J1118">
        <v>2</v>
      </c>
      <c r="K1118">
        <v>30000</v>
      </c>
      <c r="L1118">
        <v>60000</v>
      </c>
    </row>
    <row r="1119" spans="1:12" x14ac:dyDescent="0.3">
      <c r="A1119">
        <v>11118</v>
      </c>
      <c r="B1119" s="2">
        <v>45851</v>
      </c>
      <c r="C1119" t="s">
        <v>232</v>
      </c>
      <c r="D1119" t="s">
        <v>233</v>
      </c>
      <c r="E1119" t="s">
        <v>79</v>
      </c>
      <c r="F1119" t="s">
        <v>34</v>
      </c>
      <c r="G1119" t="s">
        <v>41</v>
      </c>
      <c r="H1119" t="s">
        <v>42</v>
      </c>
      <c r="I1119" t="s">
        <v>37</v>
      </c>
      <c r="J1119">
        <v>1</v>
      </c>
      <c r="K1119">
        <v>30000</v>
      </c>
      <c r="L1119">
        <v>30000</v>
      </c>
    </row>
    <row r="1120" spans="1:12" x14ac:dyDescent="0.3">
      <c r="A1120">
        <v>11119</v>
      </c>
      <c r="B1120" s="2">
        <v>45826</v>
      </c>
      <c r="C1120" t="s">
        <v>210</v>
      </c>
      <c r="D1120" t="s">
        <v>211</v>
      </c>
      <c r="E1120" t="s">
        <v>40</v>
      </c>
      <c r="F1120" t="s">
        <v>15</v>
      </c>
      <c r="G1120" t="s">
        <v>96</v>
      </c>
      <c r="H1120" t="s">
        <v>97</v>
      </c>
      <c r="I1120" t="s">
        <v>37</v>
      </c>
      <c r="J1120">
        <v>2</v>
      </c>
      <c r="K1120">
        <v>18000</v>
      </c>
      <c r="L1120">
        <v>36000</v>
      </c>
    </row>
    <row r="1121" spans="1:12" x14ac:dyDescent="0.3">
      <c r="A1121">
        <v>11120</v>
      </c>
      <c r="B1121" s="2">
        <v>45967</v>
      </c>
      <c r="C1121" t="s">
        <v>191</v>
      </c>
      <c r="D1121" t="s">
        <v>192</v>
      </c>
      <c r="E1121" t="s">
        <v>27</v>
      </c>
      <c r="F1121" t="s">
        <v>28</v>
      </c>
      <c r="G1121" t="s">
        <v>152</v>
      </c>
      <c r="H1121" t="s">
        <v>153</v>
      </c>
      <c r="I1121" t="s">
        <v>49</v>
      </c>
      <c r="J1121">
        <v>3</v>
      </c>
      <c r="K1121">
        <v>3200</v>
      </c>
      <c r="L1121">
        <v>9600</v>
      </c>
    </row>
    <row r="1122" spans="1:12" x14ac:dyDescent="0.3">
      <c r="A1122">
        <v>11121</v>
      </c>
      <c r="B1122" s="2">
        <v>45664</v>
      </c>
      <c r="C1122" t="s">
        <v>195</v>
      </c>
      <c r="D1122" t="s">
        <v>196</v>
      </c>
      <c r="E1122" t="s">
        <v>102</v>
      </c>
      <c r="F1122" t="s">
        <v>34</v>
      </c>
      <c r="G1122" t="s">
        <v>29</v>
      </c>
      <c r="H1122" t="s">
        <v>30</v>
      </c>
      <c r="I1122" t="s">
        <v>18</v>
      </c>
      <c r="J1122">
        <v>3</v>
      </c>
      <c r="K1122">
        <v>15000</v>
      </c>
      <c r="L1122">
        <v>45000</v>
      </c>
    </row>
    <row r="1123" spans="1:12" x14ac:dyDescent="0.3">
      <c r="A1123">
        <v>11122</v>
      </c>
      <c r="B1123" s="2">
        <v>45899</v>
      </c>
      <c r="C1123" t="s">
        <v>87</v>
      </c>
      <c r="D1123" t="s">
        <v>88</v>
      </c>
      <c r="E1123" t="s">
        <v>64</v>
      </c>
      <c r="F1123" t="s">
        <v>46</v>
      </c>
      <c r="G1123" t="s">
        <v>16</v>
      </c>
      <c r="H1123" t="s">
        <v>17</v>
      </c>
      <c r="I1123" t="s">
        <v>18</v>
      </c>
      <c r="J1123">
        <v>3</v>
      </c>
      <c r="K1123">
        <v>11000</v>
      </c>
      <c r="L1123">
        <v>33000</v>
      </c>
    </row>
    <row r="1124" spans="1:12" x14ac:dyDescent="0.3">
      <c r="A1124">
        <v>11123</v>
      </c>
      <c r="B1124" s="2">
        <v>45687</v>
      </c>
      <c r="C1124" t="s">
        <v>226</v>
      </c>
      <c r="D1124" t="s">
        <v>227</v>
      </c>
      <c r="E1124" t="s">
        <v>79</v>
      </c>
      <c r="F1124" t="s">
        <v>34</v>
      </c>
      <c r="G1124" t="s">
        <v>96</v>
      </c>
      <c r="H1124" t="s">
        <v>97</v>
      </c>
      <c r="I1124" t="s">
        <v>37</v>
      </c>
      <c r="J1124">
        <v>1</v>
      </c>
      <c r="K1124">
        <v>18000</v>
      </c>
      <c r="L1124">
        <v>18000</v>
      </c>
    </row>
    <row r="1125" spans="1:12" x14ac:dyDescent="0.3">
      <c r="A1125">
        <v>11124</v>
      </c>
      <c r="B1125" s="2">
        <v>45830</v>
      </c>
      <c r="C1125" t="s">
        <v>146</v>
      </c>
      <c r="D1125" t="s">
        <v>147</v>
      </c>
      <c r="E1125" t="s">
        <v>64</v>
      </c>
      <c r="F1125" t="s">
        <v>46</v>
      </c>
      <c r="G1125" t="s">
        <v>96</v>
      </c>
      <c r="H1125" t="s">
        <v>97</v>
      </c>
      <c r="I1125" t="s">
        <v>37</v>
      </c>
      <c r="J1125">
        <v>3</v>
      </c>
      <c r="K1125">
        <v>18000</v>
      </c>
      <c r="L1125">
        <v>54000</v>
      </c>
    </row>
    <row r="1126" spans="1:12" x14ac:dyDescent="0.3">
      <c r="A1126">
        <v>11125</v>
      </c>
      <c r="B1126" s="2">
        <v>45720</v>
      </c>
      <c r="C1126" t="s">
        <v>175</v>
      </c>
      <c r="D1126" t="s">
        <v>176</v>
      </c>
      <c r="E1126" t="s">
        <v>84</v>
      </c>
      <c r="F1126" t="s">
        <v>46</v>
      </c>
      <c r="G1126" t="s">
        <v>47</v>
      </c>
      <c r="H1126" t="s">
        <v>48</v>
      </c>
      <c r="I1126" t="s">
        <v>49</v>
      </c>
      <c r="J1126">
        <v>2</v>
      </c>
      <c r="K1126">
        <v>1600</v>
      </c>
      <c r="L1126">
        <v>3200</v>
      </c>
    </row>
    <row r="1127" spans="1:12" x14ac:dyDescent="0.3">
      <c r="A1127">
        <v>11126</v>
      </c>
      <c r="B1127" s="2">
        <v>45780</v>
      </c>
      <c r="C1127" t="s">
        <v>133</v>
      </c>
      <c r="D1127" t="s">
        <v>134</v>
      </c>
      <c r="E1127" t="s">
        <v>33</v>
      </c>
      <c r="F1127" t="s">
        <v>34</v>
      </c>
      <c r="G1127" t="s">
        <v>121</v>
      </c>
      <c r="H1127" t="s">
        <v>122</v>
      </c>
      <c r="I1127" t="s">
        <v>49</v>
      </c>
      <c r="J1127">
        <v>3</v>
      </c>
      <c r="K1127">
        <v>4800</v>
      </c>
      <c r="L1127">
        <v>14400</v>
      </c>
    </row>
    <row r="1128" spans="1:12" x14ac:dyDescent="0.3">
      <c r="A1128">
        <v>11127</v>
      </c>
      <c r="B1128" s="2">
        <v>45836</v>
      </c>
      <c r="C1128" t="s">
        <v>173</v>
      </c>
      <c r="D1128" t="s">
        <v>174</v>
      </c>
      <c r="E1128" t="s">
        <v>137</v>
      </c>
      <c r="F1128" t="s">
        <v>46</v>
      </c>
      <c r="G1128" t="s">
        <v>65</v>
      </c>
      <c r="H1128" t="s">
        <v>66</v>
      </c>
      <c r="I1128" t="s">
        <v>49</v>
      </c>
      <c r="J1128">
        <v>5</v>
      </c>
      <c r="K1128">
        <v>2400</v>
      </c>
      <c r="L1128">
        <v>12000</v>
      </c>
    </row>
    <row r="1129" spans="1:12" x14ac:dyDescent="0.3">
      <c r="A1129">
        <v>11128</v>
      </c>
      <c r="B1129" s="2">
        <v>45662</v>
      </c>
      <c r="C1129" t="s">
        <v>183</v>
      </c>
      <c r="D1129" t="s">
        <v>184</v>
      </c>
      <c r="E1129" t="s">
        <v>27</v>
      </c>
      <c r="F1129" t="s">
        <v>28</v>
      </c>
      <c r="G1129" t="s">
        <v>41</v>
      </c>
      <c r="H1129" t="s">
        <v>42</v>
      </c>
      <c r="I1129" t="s">
        <v>37</v>
      </c>
      <c r="J1129">
        <v>2</v>
      </c>
      <c r="K1129">
        <v>30000</v>
      </c>
      <c r="L1129">
        <v>60000</v>
      </c>
    </row>
    <row r="1130" spans="1:12" x14ac:dyDescent="0.3">
      <c r="A1130">
        <v>11129</v>
      </c>
      <c r="B1130" s="2">
        <v>45764</v>
      </c>
      <c r="C1130" t="s">
        <v>43</v>
      </c>
      <c r="D1130" t="s">
        <v>44</v>
      </c>
      <c r="E1130" t="s">
        <v>45</v>
      </c>
      <c r="F1130" t="s">
        <v>46</v>
      </c>
      <c r="G1130" t="s">
        <v>60</v>
      </c>
      <c r="H1130" t="s">
        <v>61</v>
      </c>
      <c r="I1130" t="s">
        <v>18</v>
      </c>
      <c r="J1130">
        <v>2</v>
      </c>
      <c r="K1130">
        <v>2200</v>
      </c>
      <c r="L1130">
        <v>4400</v>
      </c>
    </row>
    <row r="1131" spans="1:12" x14ac:dyDescent="0.3">
      <c r="A1131">
        <v>11130</v>
      </c>
      <c r="B1131" s="2">
        <v>45977</v>
      </c>
      <c r="C1131" t="s">
        <v>19</v>
      </c>
      <c r="D1131" t="s">
        <v>20</v>
      </c>
      <c r="E1131" t="s">
        <v>21</v>
      </c>
      <c r="F1131" t="s">
        <v>15</v>
      </c>
      <c r="G1131" t="s">
        <v>35</v>
      </c>
      <c r="H1131" t="s">
        <v>36</v>
      </c>
      <c r="I1131" t="s">
        <v>37</v>
      </c>
      <c r="J1131">
        <v>2</v>
      </c>
      <c r="K1131">
        <v>12000</v>
      </c>
      <c r="L1131">
        <v>24000</v>
      </c>
    </row>
    <row r="1132" spans="1:12" x14ac:dyDescent="0.3">
      <c r="A1132">
        <v>11131</v>
      </c>
      <c r="B1132" s="2">
        <v>45989</v>
      </c>
      <c r="C1132" t="s">
        <v>80</v>
      </c>
      <c r="D1132" t="s">
        <v>81</v>
      </c>
      <c r="E1132" t="s">
        <v>79</v>
      </c>
      <c r="F1132" t="s">
        <v>34</v>
      </c>
      <c r="G1132" t="s">
        <v>144</v>
      </c>
      <c r="H1132" t="s">
        <v>145</v>
      </c>
      <c r="I1132" t="s">
        <v>37</v>
      </c>
      <c r="J1132">
        <v>1</v>
      </c>
      <c r="K1132">
        <v>65000</v>
      </c>
      <c r="L1132">
        <v>65000</v>
      </c>
    </row>
    <row r="1133" spans="1:12" x14ac:dyDescent="0.3">
      <c r="A1133">
        <v>11132</v>
      </c>
      <c r="B1133" s="2">
        <v>45706</v>
      </c>
      <c r="C1133" t="s">
        <v>67</v>
      </c>
      <c r="D1133" t="s">
        <v>68</v>
      </c>
      <c r="E1133" t="s">
        <v>69</v>
      </c>
      <c r="F1133" t="s">
        <v>28</v>
      </c>
      <c r="G1133" t="s">
        <v>163</v>
      </c>
      <c r="H1133" t="s">
        <v>164</v>
      </c>
      <c r="I1133" t="s">
        <v>49</v>
      </c>
      <c r="J1133">
        <v>2</v>
      </c>
      <c r="K1133">
        <v>4200</v>
      </c>
      <c r="L1133">
        <v>8400</v>
      </c>
    </row>
    <row r="1134" spans="1:12" x14ac:dyDescent="0.3">
      <c r="A1134">
        <v>11133</v>
      </c>
      <c r="B1134" s="2">
        <v>45911</v>
      </c>
      <c r="C1134" t="s">
        <v>216</v>
      </c>
      <c r="D1134" t="s">
        <v>217</v>
      </c>
      <c r="E1134" t="s">
        <v>21</v>
      </c>
      <c r="F1134" t="s">
        <v>15</v>
      </c>
      <c r="G1134" t="s">
        <v>131</v>
      </c>
      <c r="H1134" t="s">
        <v>132</v>
      </c>
      <c r="I1134" t="s">
        <v>37</v>
      </c>
      <c r="J1134">
        <v>1</v>
      </c>
      <c r="K1134">
        <v>4500</v>
      </c>
      <c r="L1134">
        <v>4500</v>
      </c>
    </row>
    <row r="1135" spans="1:12" x14ac:dyDescent="0.3">
      <c r="A1135">
        <v>11134</v>
      </c>
      <c r="B1135" s="2">
        <v>45996</v>
      </c>
      <c r="C1135" t="s">
        <v>133</v>
      </c>
      <c r="D1135" t="s">
        <v>134</v>
      </c>
      <c r="E1135" t="s">
        <v>33</v>
      </c>
      <c r="F1135" t="s">
        <v>34</v>
      </c>
      <c r="G1135" t="s">
        <v>65</v>
      </c>
      <c r="H1135" t="s">
        <v>66</v>
      </c>
      <c r="I1135" t="s">
        <v>49</v>
      </c>
      <c r="J1135">
        <v>2</v>
      </c>
      <c r="K1135">
        <v>2400</v>
      </c>
      <c r="L1135">
        <v>4800</v>
      </c>
    </row>
    <row r="1136" spans="1:12" x14ac:dyDescent="0.3">
      <c r="A1136">
        <v>11135</v>
      </c>
      <c r="B1136" s="2">
        <v>45804</v>
      </c>
      <c r="C1136" t="s">
        <v>146</v>
      </c>
      <c r="D1136" t="s">
        <v>147</v>
      </c>
      <c r="E1136" t="s">
        <v>64</v>
      </c>
      <c r="F1136" t="s">
        <v>46</v>
      </c>
      <c r="G1136" t="s">
        <v>152</v>
      </c>
      <c r="H1136" t="s">
        <v>153</v>
      </c>
      <c r="I1136" t="s">
        <v>49</v>
      </c>
      <c r="J1136">
        <v>4</v>
      </c>
      <c r="K1136">
        <v>3200</v>
      </c>
      <c r="L1136">
        <v>12800</v>
      </c>
    </row>
    <row r="1137" spans="1:12" x14ac:dyDescent="0.3">
      <c r="A1137">
        <v>11136</v>
      </c>
      <c r="B1137" s="2">
        <v>45774</v>
      </c>
      <c r="C1137" t="s">
        <v>148</v>
      </c>
      <c r="D1137" t="s">
        <v>149</v>
      </c>
      <c r="E1137" t="s">
        <v>14</v>
      </c>
      <c r="F1137" t="s">
        <v>15</v>
      </c>
      <c r="G1137" t="s">
        <v>103</v>
      </c>
      <c r="H1137" t="s">
        <v>104</v>
      </c>
      <c r="I1137" t="s">
        <v>37</v>
      </c>
      <c r="J1137">
        <v>2</v>
      </c>
      <c r="K1137">
        <v>28000</v>
      </c>
      <c r="L1137">
        <v>56000</v>
      </c>
    </row>
    <row r="1138" spans="1:12" x14ac:dyDescent="0.3">
      <c r="A1138">
        <v>11137</v>
      </c>
      <c r="B1138" s="2">
        <v>45918</v>
      </c>
      <c r="C1138" t="s">
        <v>210</v>
      </c>
      <c r="D1138" t="s">
        <v>211</v>
      </c>
      <c r="E1138" t="s">
        <v>40</v>
      </c>
      <c r="F1138" t="s">
        <v>15</v>
      </c>
      <c r="G1138" t="s">
        <v>152</v>
      </c>
      <c r="H1138" t="s">
        <v>153</v>
      </c>
      <c r="I1138" t="s">
        <v>49</v>
      </c>
      <c r="J1138">
        <v>2</v>
      </c>
      <c r="K1138">
        <v>3200</v>
      </c>
      <c r="L1138">
        <v>6400</v>
      </c>
    </row>
    <row r="1139" spans="1:12" x14ac:dyDescent="0.3">
      <c r="A1139">
        <v>11138</v>
      </c>
      <c r="B1139" s="2">
        <v>45878</v>
      </c>
      <c r="C1139" t="s">
        <v>19</v>
      </c>
      <c r="D1139" t="s">
        <v>20</v>
      </c>
      <c r="E1139" t="s">
        <v>21</v>
      </c>
      <c r="F1139" t="s">
        <v>15</v>
      </c>
      <c r="G1139" t="s">
        <v>109</v>
      </c>
      <c r="H1139" t="s">
        <v>110</v>
      </c>
      <c r="I1139" t="s">
        <v>18</v>
      </c>
      <c r="J1139">
        <v>1</v>
      </c>
      <c r="K1139">
        <v>5000</v>
      </c>
      <c r="L1139">
        <v>5000</v>
      </c>
    </row>
    <row r="1140" spans="1:12" x14ac:dyDescent="0.3">
      <c r="A1140">
        <v>11139</v>
      </c>
      <c r="B1140" s="2">
        <v>45693</v>
      </c>
      <c r="C1140" t="s">
        <v>146</v>
      </c>
      <c r="D1140" t="s">
        <v>147</v>
      </c>
      <c r="E1140" t="s">
        <v>64</v>
      </c>
      <c r="F1140" t="s">
        <v>46</v>
      </c>
      <c r="G1140" t="s">
        <v>144</v>
      </c>
      <c r="H1140" t="s">
        <v>145</v>
      </c>
      <c r="I1140" t="s">
        <v>37</v>
      </c>
      <c r="J1140">
        <v>1</v>
      </c>
      <c r="K1140">
        <v>65000</v>
      </c>
      <c r="L1140">
        <v>65000</v>
      </c>
    </row>
    <row r="1141" spans="1:12" x14ac:dyDescent="0.3">
      <c r="A1141">
        <v>11140</v>
      </c>
      <c r="B1141" s="2">
        <v>46013</v>
      </c>
      <c r="C1141" t="s">
        <v>142</v>
      </c>
      <c r="D1141" t="s">
        <v>143</v>
      </c>
      <c r="E1141" t="s">
        <v>14</v>
      </c>
      <c r="F1141" t="s">
        <v>15</v>
      </c>
      <c r="G1141" t="s">
        <v>89</v>
      </c>
      <c r="H1141" t="s">
        <v>90</v>
      </c>
      <c r="I1141" t="s">
        <v>18</v>
      </c>
      <c r="J1141">
        <v>1</v>
      </c>
      <c r="K1141">
        <v>4200</v>
      </c>
      <c r="L1141">
        <v>4200</v>
      </c>
    </row>
    <row r="1142" spans="1:12" x14ac:dyDescent="0.3">
      <c r="A1142">
        <v>11141</v>
      </c>
      <c r="B1142" s="2">
        <v>45683</v>
      </c>
      <c r="C1142" t="s">
        <v>105</v>
      </c>
      <c r="D1142" t="s">
        <v>106</v>
      </c>
      <c r="E1142" t="s">
        <v>45</v>
      </c>
      <c r="F1142" t="s">
        <v>46</v>
      </c>
      <c r="G1142" t="s">
        <v>152</v>
      </c>
      <c r="H1142" t="s">
        <v>153</v>
      </c>
      <c r="I1142" t="s">
        <v>49</v>
      </c>
      <c r="J1142">
        <v>1</v>
      </c>
      <c r="K1142">
        <v>3200</v>
      </c>
      <c r="L1142">
        <v>3200</v>
      </c>
    </row>
    <row r="1143" spans="1:12" x14ac:dyDescent="0.3">
      <c r="A1143">
        <v>11142</v>
      </c>
      <c r="B1143" s="2">
        <v>45831</v>
      </c>
      <c r="C1143" t="s">
        <v>133</v>
      </c>
      <c r="D1143" t="s">
        <v>134</v>
      </c>
      <c r="E1143" t="s">
        <v>33</v>
      </c>
      <c r="F1143" t="s">
        <v>34</v>
      </c>
      <c r="G1143" t="s">
        <v>177</v>
      </c>
      <c r="H1143" t="s">
        <v>178</v>
      </c>
      <c r="I1143" t="s">
        <v>37</v>
      </c>
      <c r="J1143">
        <v>1</v>
      </c>
      <c r="K1143">
        <v>2500</v>
      </c>
      <c r="L1143">
        <v>2500</v>
      </c>
    </row>
    <row r="1144" spans="1:12" x14ac:dyDescent="0.3">
      <c r="A1144">
        <v>11143</v>
      </c>
      <c r="B1144" s="2">
        <v>45826</v>
      </c>
      <c r="C1144" t="s">
        <v>91</v>
      </c>
      <c r="D1144" t="s">
        <v>92</v>
      </c>
      <c r="E1144" t="s">
        <v>40</v>
      </c>
      <c r="F1144" t="s">
        <v>15</v>
      </c>
      <c r="G1144" t="s">
        <v>125</v>
      </c>
      <c r="H1144" t="s">
        <v>126</v>
      </c>
      <c r="I1144" t="s">
        <v>37</v>
      </c>
      <c r="J1144">
        <v>3</v>
      </c>
      <c r="K1144">
        <v>22000</v>
      </c>
      <c r="L1144">
        <v>66000</v>
      </c>
    </row>
    <row r="1145" spans="1:12" x14ac:dyDescent="0.3">
      <c r="A1145">
        <v>11144</v>
      </c>
      <c r="B1145" s="2">
        <v>46019</v>
      </c>
      <c r="C1145" t="s">
        <v>93</v>
      </c>
      <c r="D1145" t="s">
        <v>94</v>
      </c>
      <c r="E1145" t="s">
        <v>95</v>
      </c>
      <c r="F1145" t="s">
        <v>15</v>
      </c>
      <c r="G1145" t="s">
        <v>121</v>
      </c>
      <c r="H1145" t="s">
        <v>122</v>
      </c>
      <c r="I1145" t="s">
        <v>49</v>
      </c>
      <c r="J1145">
        <v>3</v>
      </c>
      <c r="K1145">
        <v>4800</v>
      </c>
      <c r="L1145">
        <v>14400</v>
      </c>
    </row>
    <row r="1146" spans="1:12" x14ac:dyDescent="0.3">
      <c r="A1146">
        <v>11145</v>
      </c>
      <c r="B1146" s="2">
        <v>45989</v>
      </c>
      <c r="C1146" t="s">
        <v>224</v>
      </c>
      <c r="D1146" t="s">
        <v>225</v>
      </c>
      <c r="E1146" t="s">
        <v>201</v>
      </c>
      <c r="F1146" t="s">
        <v>28</v>
      </c>
      <c r="G1146" t="s">
        <v>35</v>
      </c>
      <c r="H1146" t="s">
        <v>36</v>
      </c>
      <c r="I1146" t="s">
        <v>37</v>
      </c>
      <c r="J1146">
        <v>1</v>
      </c>
      <c r="K1146">
        <v>12000</v>
      </c>
      <c r="L1146">
        <v>12000</v>
      </c>
    </row>
    <row r="1147" spans="1:12" x14ac:dyDescent="0.3">
      <c r="A1147">
        <v>11146</v>
      </c>
      <c r="B1147" s="2">
        <v>45994</v>
      </c>
      <c r="C1147" t="s">
        <v>171</v>
      </c>
      <c r="D1147" t="s">
        <v>172</v>
      </c>
      <c r="E1147" t="s">
        <v>45</v>
      </c>
      <c r="F1147" t="s">
        <v>46</v>
      </c>
      <c r="G1147" t="s">
        <v>60</v>
      </c>
      <c r="H1147" t="s">
        <v>61</v>
      </c>
      <c r="I1147" t="s">
        <v>18</v>
      </c>
      <c r="J1147">
        <v>3</v>
      </c>
      <c r="K1147">
        <v>2200</v>
      </c>
      <c r="L1147">
        <v>6600</v>
      </c>
    </row>
    <row r="1148" spans="1:12" x14ac:dyDescent="0.3">
      <c r="A1148">
        <v>11147</v>
      </c>
      <c r="B1148" s="2">
        <v>45675</v>
      </c>
      <c r="C1148" t="s">
        <v>85</v>
      </c>
      <c r="D1148" t="s">
        <v>86</v>
      </c>
      <c r="E1148" t="s">
        <v>45</v>
      </c>
      <c r="F1148" t="s">
        <v>46</v>
      </c>
      <c r="G1148" t="s">
        <v>98</v>
      </c>
      <c r="H1148" t="s">
        <v>99</v>
      </c>
      <c r="I1148" t="s">
        <v>24</v>
      </c>
      <c r="J1148">
        <v>1</v>
      </c>
      <c r="K1148">
        <v>2000</v>
      </c>
      <c r="L1148">
        <v>2000</v>
      </c>
    </row>
    <row r="1149" spans="1:12" x14ac:dyDescent="0.3">
      <c r="A1149">
        <v>11148</v>
      </c>
      <c r="B1149" s="2">
        <v>45670</v>
      </c>
      <c r="C1149" t="s">
        <v>148</v>
      </c>
      <c r="D1149" t="s">
        <v>149</v>
      </c>
      <c r="E1149" t="s">
        <v>14</v>
      </c>
      <c r="F1149" t="s">
        <v>15</v>
      </c>
      <c r="G1149" t="s">
        <v>35</v>
      </c>
      <c r="H1149" t="s">
        <v>36</v>
      </c>
      <c r="I1149" t="s">
        <v>37</v>
      </c>
      <c r="J1149">
        <v>3</v>
      </c>
      <c r="K1149">
        <v>12000</v>
      </c>
      <c r="L1149">
        <v>36000</v>
      </c>
    </row>
    <row r="1150" spans="1:12" x14ac:dyDescent="0.3">
      <c r="A1150">
        <v>11149</v>
      </c>
      <c r="B1150" s="2">
        <v>45879</v>
      </c>
      <c r="C1150" t="s">
        <v>138</v>
      </c>
      <c r="D1150" t="s">
        <v>139</v>
      </c>
      <c r="E1150" t="s">
        <v>79</v>
      </c>
      <c r="F1150" t="s">
        <v>34</v>
      </c>
      <c r="G1150" t="s">
        <v>41</v>
      </c>
      <c r="H1150" t="s">
        <v>42</v>
      </c>
      <c r="I1150" t="s">
        <v>37</v>
      </c>
      <c r="J1150">
        <v>1</v>
      </c>
      <c r="K1150">
        <v>30000</v>
      </c>
      <c r="L1150">
        <v>30000</v>
      </c>
    </row>
    <row r="1151" spans="1:12" x14ac:dyDescent="0.3">
      <c r="A1151">
        <v>11150</v>
      </c>
      <c r="B1151" s="2">
        <v>45877</v>
      </c>
      <c r="C1151" t="s">
        <v>123</v>
      </c>
      <c r="D1151" t="s">
        <v>124</v>
      </c>
      <c r="E1151" t="s">
        <v>69</v>
      </c>
      <c r="F1151" t="s">
        <v>28</v>
      </c>
      <c r="G1151" t="s">
        <v>89</v>
      </c>
      <c r="H1151" t="s">
        <v>90</v>
      </c>
      <c r="I1151" t="s">
        <v>18</v>
      </c>
      <c r="J1151">
        <v>1</v>
      </c>
      <c r="K1151">
        <v>4200</v>
      </c>
      <c r="L1151">
        <v>4200</v>
      </c>
    </row>
    <row r="1152" spans="1:12" x14ac:dyDescent="0.3">
      <c r="A1152">
        <v>11151</v>
      </c>
      <c r="B1152" s="2">
        <v>45672</v>
      </c>
      <c r="C1152" t="s">
        <v>117</v>
      </c>
      <c r="D1152" t="s">
        <v>118</v>
      </c>
      <c r="E1152" t="s">
        <v>95</v>
      </c>
      <c r="F1152" t="s">
        <v>15</v>
      </c>
      <c r="G1152" t="s">
        <v>140</v>
      </c>
      <c r="H1152" t="s">
        <v>141</v>
      </c>
      <c r="I1152" t="s">
        <v>18</v>
      </c>
      <c r="J1152">
        <v>1</v>
      </c>
      <c r="K1152">
        <v>3000</v>
      </c>
      <c r="L1152">
        <v>3000</v>
      </c>
    </row>
    <row r="1153" spans="1:12" x14ac:dyDescent="0.3">
      <c r="A1153">
        <v>11152</v>
      </c>
      <c r="B1153" s="2">
        <v>45985</v>
      </c>
      <c r="C1153" t="s">
        <v>216</v>
      </c>
      <c r="D1153" t="s">
        <v>217</v>
      </c>
      <c r="E1153" t="s">
        <v>21</v>
      </c>
      <c r="F1153" t="s">
        <v>15</v>
      </c>
      <c r="G1153" t="s">
        <v>144</v>
      </c>
      <c r="H1153" t="s">
        <v>145</v>
      </c>
      <c r="I1153" t="s">
        <v>37</v>
      </c>
      <c r="J1153">
        <v>2</v>
      </c>
      <c r="K1153">
        <v>65000</v>
      </c>
      <c r="L1153">
        <v>130000</v>
      </c>
    </row>
    <row r="1154" spans="1:12" x14ac:dyDescent="0.3">
      <c r="A1154">
        <v>11153</v>
      </c>
      <c r="B1154" s="2">
        <v>45774</v>
      </c>
      <c r="C1154" t="s">
        <v>105</v>
      </c>
      <c r="D1154" t="s">
        <v>106</v>
      </c>
      <c r="E1154" t="s">
        <v>45</v>
      </c>
      <c r="F1154" t="s">
        <v>46</v>
      </c>
      <c r="G1154" t="s">
        <v>29</v>
      </c>
      <c r="H1154" t="s">
        <v>30</v>
      </c>
      <c r="I1154" t="s">
        <v>18</v>
      </c>
      <c r="J1154">
        <v>1</v>
      </c>
      <c r="K1154">
        <v>15000</v>
      </c>
      <c r="L1154">
        <v>15000</v>
      </c>
    </row>
    <row r="1155" spans="1:12" x14ac:dyDescent="0.3">
      <c r="A1155">
        <v>11154</v>
      </c>
      <c r="B1155" s="2">
        <v>45912</v>
      </c>
      <c r="C1155" t="s">
        <v>222</v>
      </c>
      <c r="D1155" t="s">
        <v>223</v>
      </c>
      <c r="E1155" t="s">
        <v>21</v>
      </c>
      <c r="F1155" t="s">
        <v>15</v>
      </c>
      <c r="G1155" t="s">
        <v>56</v>
      </c>
      <c r="H1155" t="s">
        <v>57</v>
      </c>
      <c r="I1155" t="s">
        <v>18</v>
      </c>
      <c r="J1155">
        <v>3</v>
      </c>
      <c r="K1155">
        <v>9000</v>
      </c>
      <c r="L1155">
        <v>27000</v>
      </c>
    </row>
    <row r="1156" spans="1:12" x14ac:dyDescent="0.3">
      <c r="A1156">
        <v>11155</v>
      </c>
      <c r="B1156" s="2">
        <v>45787</v>
      </c>
      <c r="C1156" t="s">
        <v>148</v>
      </c>
      <c r="D1156" t="s">
        <v>149</v>
      </c>
      <c r="E1156" t="s">
        <v>14</v>
      </c>
      <c r="F1156" t="s">
        <v>15</v>
      </c>
      <c r="G1156" t="s">
        <v>41</v>
      </c>
      <c r="H1156" t="s">
        <v>42</v>
      </c>
      <c r="I1156" t="s">
        <v>37</v>
      </c>
      <c r="J1156">
        <v>1</v>
      </c>
      <c r="K1156">
        <v>30000</v>
      </c>
      <c r="L1156">
        <v>30000</v>
      </c>
    </row>
    <row r="1157" spans="1:12" x14ac:dyDescent="0.3">
      <c r="A1157">
        <v>11156</v>
      </c>
      <c r="B1157" s="2">
        <v>45976</v>
      </c>
      <c r="C1157" t="s">
        <v>230</v>
      </c>
      <c r="D1157" t="s">
        <v>231</v>
      </c>
      <c r="E1157" t="s">
        <v>84</v>
      </c>
      <c r="F1157" t="s">
        <v>46</v>
      </c>
      <c r="G1157" t="s">
        <v>35</v>
      </c>
      <c r="H1157" t="s">
        <v>36</v>
      </c>
      <c r="I1157" t="s">
        <v>37</v>
      </c>
      <c r="J1157">
        <v>1</v>
      </c>
      <c r="K1157">
        <v>12000</v>
      </c>
      <c r="L1157">
        <v>12000</v>
      </c>
    </row>
    <row r="1158" spans="1:12" x14ac:dyDescent="0.3">
      <c r="A1158">
        <v>11157</v>
      </c>
      <c r="B1158" s="2">
        <v>45852</v>
      </c>
      <c r="C1158" t="s">
        <v>80</v>
      </c>
      <c r="D1158" t="s">
        <v>81</v>
      </c>
      <c r="E1158" t="s">
        <v>79</v>
      </c>
      <c r="F1158" t="s">
        <v>34</v>
      </c>
      <c r="G1158" t="s">
        <v>167</v>
      </c>
      <c r="H1158" t="s">
        <v>168</v>
      </c>
      <c r="I1158" t="s">
        <v>49</v>
      </c>
      <c r="J1158">
        <v>1</v>
      </c>
      <c r="K1158">
        <v>3800</v>
      </c>
      <c r="L1158">
        <v>3800</v>
      </c>
    </row>
    <row r="1159" spans="1:12" x14ac:dyDescent="0.3">
      <c r="A1159">
        <v>11158</v>
      </c>
      <c r="B1159" s="2">
        <v>45972</v>
      </c>
      <c r="C1159" t="s">
        <v>214</v>
      </c>
      <c r="D1159" t="s">
        <v>215</v>
      </c>
      <c r="E1159" t="s">
        <v>137</v>
      </c>
      <c r="F1159" t="s">
        <v>46</v>
      </c>
      <c r="G1159" t="s">
        <v>29</v>
      </c>
      <c r="H1159" t="s">
        <v>30</v>
      </c>
      <c r="I1159" t="s">
        <v>18</v>
      </c>
      <c r="J1159">
        <v>1</v>
      </c>
      <c r="K1159">
        <v>15000</v>
      </c>
      <c r="L1159">
        <v>15000</v>
      </c>
    </row>
    <row r="1160" spans="1:12" x14ac:dyDescent="0.3">
      <c r="A1160">
        <v>11159</v>
      </c>
      <c r="B1160" s="2">
        <v>45681</v>
      </c>
      <c r="C1160" t="s">
        <v>161</v>
      </c>
      <c r="D1160" t="s">
        <v>162</v>
      </c>
      <c r="E1160" t="s">
        <v>33</v>
      </c>
      <c r="F1160" t="s">
        <v>34</v>
      </c>
      <c r="G1160" t="s">
        <v>129</v>
      </c>
      <c r="H1160" t="s">
        <v>130</v>
      </c>
      <c r="I1160" t="s">
        <v>24</v>
      </c>
      <c r="J1160">
        <v>2</v>
      </c>
      <c r="K1160">
        <v>1400</v>
      </c>
      <c r="L1160">
        <v>2800</v>
      </c>
    </row>
    <row r="1161" spans="1:12" x14ac:dyDescent="0.3">
      <c r="A1161">
        <v>11160</v>
      </c>
      <c r="B1161" s="2">
        <v>45864</v>
      </c>
      <c r="C1161" t="s">
        <v>191</v>
      </c>
      <c r="D1161" t="s">
        <v>192</v>
      </c>
      <c r="E1161" t="s">
        <v>27</v>
      </c>
      <c r="F1161" t="s">
        <v>28</v>
      </c>
      <c r="G1161" t="s">
        <v>65</v>
      </c>
      <c r="H1161" t="s">
        <v>66</v>
      </c>
      <c r="I1161" t="s">
        <v>49</v>
      </c>
      <c r="J1161">
        <v>2</v>
      </c>
      <c r="K1161">
        <v>2400</v>
      </c>
      <c r="L1161">
        <v>4800</v>
      </c>
    </row>
    <row r="1162" spans="1:12" x14ac:dyDescent="0.3">
      <c r="A1162">
        <v>11161</v>
      </c>
      <c r="B1162" s="2">
        <v>45670</v>
      </c>
      <c r="C1162" t="s">
        <v>202</v>
      </c>
      <c r="D1162" t="s">
        <v>203</v>
      </c>
      <c r="E1162" t="s">
        <v>64</v>
      </c>
      <c r="F1162" t="s">
        <v>46</v>
      </c>
      <c r="G1162" t="s">
        <v>47</v>
      </c>
      <c r="H1162" t="s">
        <v>48</v>
      </c>
      <c r="I1162" t="s">
        <v>49</v>
      </c>
      <c r="J1162">
        <v>2</v>
      </c>
      <c r="K1162">
        <v>1600</v>
      </c>
      <c r="L1162">
        <v>3200</v>
      </c>
    </row>
    <row r="1163" spans="1:12" x14ac:dyDescent="0.3">
      <c r="A1163">
        <v>11162</v>
      </c>
      <c r="B1163" s="2">
        <v>45956</v>
      </c>
      <c r="C1163" t="s">
        <v>123</v>
      </c>
      <c r="D1163" t="s">
        <v>124</v>
      </c>
      <c r="E1163" t="s">
        <v>69</v>
      </c>
      <c r="F1163" t="s">
        <v>28</v>
      </c>
      <c r="G1163" t="s">
        <v>56</v>
      </c>
      <c r="H1163" t="s">
        <v>57</v>
      </c>
      <c r="I1163" t="s">
        <v>18</v>
      </c>
      <c r="J1163">
        <v>1</v>
      </c>
      <c r="K1163">
        <v>9000</v>
      </c>
      <c r="L1163">
        <v>9000</v>
      </c>
    </row>
    <row r="1164" spans="1:12" x14ac:dyDescent="0.3">
      <c r="A1164">
        <v>11163</v>
      </c>
      <c r="B1164" s="2">
        <v>45717</v>
      </c>
      <c r="C1164" t="s">
        <v>91</v>
      </c>
      <c r="D1164" t="s">
        <v>92</v>
      </c>
      <c r="E1164" t="s">
        <v>40</v>
      </c>
      <c r="F1164" t="s">
        <v>15</v>
      </c>
      <c r="G1164" t="s">
        <v>56</v>
      </c>
      <c r="H1164" t="s">
        <v>57</v>
      </c>
      <c r="I1164" t="s">
        <v>18</v>
      </c>
      <c r="J1164">
        <v>1</v>
      </c>
      <c r="K1164">
        <v>9000</v>
      </c>
      <c r="L1164">
        <v>9000</v>
      </c>
    </row>
    <row r="1165" spans="1:12" x14ac:dyDescent="0.3">
      <c r="A1165">
        <v>11164</v>
      </c>
      <c r="B1165" s="2">
        <v>45679</v>
      </c>
      <c r="C1165" t="s">
        <v>208</v>
      </c>
      <c r="D1165" t="s">
        <v>209</v>
      </c>
      <c r="E1165" t="s">
        <v>95</v>
      </c>
      <c r="F1165" t="s">
        <v>15</v>
      </c>
      <c r="G1165" t="s">
        <v>65</v>
      </c>
      <c r="H1165" t="s">
        <v>66</v>
      </c>
      <c r="I1165" t="s">
        <v>49</v>
      </c>
      <c r="J1165">
        <v>1</v>
      </c>
      <c r="K1165">
        <v>2400</v>
      </c>
      <c r="L1165">
        <v>2400</v>
      </c>
    </row>
    <row r="1166" spans="1:12" x14ac:dyDescent="0.3">
      <c r="A1166">
        <v>11165</v>
      </c>
      <c r="B1166" s="2">
        <v>45896</v>
      </c>
      <c r="C1166" t="s">
        <v>105</v>
      </c>
      <c r="D1166" t="s">
        <v>106</v>
      </c>
      <c r="E1166" t="s">
        <v>45</v>
      </c>
      <c r="F1166" t="s">
        <v>46</v>
      </c>
      <c r="G1166" t="s">
        <v>70</v>
      </c>
      <c r="H1166" t="s">
        <v>71</v>
      </c>
      <c r="I1166" t="s">
        <v>37</v>
      </c>
      <c r="J1166">
        <v>2</v>
      </c>
      <c r="K1166">
        <v>2200</v>
      </c>
      <c r="L1166">
        <v>4400</v>
      </c>
    </row>
    <row r="1167" spans="1:12" x14ac:dyDescent="0.3">
      <c r="A1167">
        <v>11166</v>
      </c>
      <c r="B1167" s="2">
        <v>45675</v>
      </c>
      <c r="C1167" t="s">
        <v>169</v>
      </c>
      <c r="D1167" t="s">
        <v>170</v>
      </c>
      <c r="E1167" t="s">
        <v>64</v>
      </c>
      <c r="F1167" t="s">
        <v>46</v>
      </c>
      <c r="G1167" t="s">
        <v>121</v>
      </c>
      <c r="H1167" t="s">
        <v>122</v>
      </c>
      <c r="I1167" t="s">
        <v>49</v>
      </c>
      <c r="J1167">
        <v>1</v>
      </c>
      <c r="K1167">
        <v>4800</v>
      </c>
      <c r="L1167">
        <v>4800</v>
      </c>
    </row>
    <row r="1168" spans="1:12" x14ac:dyDescent="0.3">
      <c r="A1168">
        <v>11167</v>
      </c>
      <c r="B1168" s="2">
        <v>45791</v>
      </c>
      <c r="C1168" t="s">
        <v>202</v>
      </c>
      <c r="D1168" t="s">
        <v>203</v>
      </c>
      <c r="E1168" t="s">
        <v>64</v>
      </c>
      <c r="F1168" t="s">
        <v>46</v>
      </c>
      <c r="G1168" t="s">
        <v>129</v>
      </c>
      <c r="H1168" t="s">
        <v>130</v>
      </c>
      <c r="I1168" t="s">
        <v>24</v>
      </c>
      <c r="J1168">
        <v>1</v>
      </c>
      <c r="K1168">
        <v>1400</v>
      </c>
      <c r="L1168">
        <v>1400</v>
      </c>
    </row>
    <row r="1169" spans="1:12" x14ac:dyDescent="0.3">
      <c r="A1169">
        <v>11168</v>
      </c>
      <c r="B1169" s="2">
        <v>45714</v>
      </c>
      <c r="C1169" t="s">
        <v>117</v>
      </c>
      <c r="D1169" t="s">
        <v>118</v>
      </c>
      <c r="E1169" t="s">
        <v>95</v>
      </c>
      <c r="F1169" t="s">
        <v>15</v>
      </c>
      <c r="G1169" t="s">
        <v>131</v>
      </c>
      <c r="H1169" t="s">
        <v>132</v>
      </c>
      <c r="I1169" t="s">
        <v>37</v>
      </c>
      <c r="J1169">
        <v>1</v>
      </c>
      <c r="K1169">
        <v>4500</v>
      </c>
      <c r="L1169">
        <v>4500</v>
      </c>
    </row>
    <row r="1170" spans="1:12" x14ac:dyDescent="0.3">
      <c r="A1170">
        <v>11169</v>
      </c>
      <c r="B1170" s="2">
        <v>45830</v>
      </c>
      <c r="C1170" t="s">
        <v>31</v>
      </c>
      <c r="D1170" t="s">
        <v>32</v>
      </c>
      <c r="E1170" t="s">
        <v>33</v>
      </c>
      <c r="F1170" t="s">
        <v>34</v>
      </c>
      <c r="G1170" t="s">
        <v>144</v>
      </c>
      <c r="H1170" t="s">
        <v>145</v>
      </c>
      <c r="I1170" t="s">
        <v>37</v>
      </c>
      <c r="J1170">
        <v>1</v>
      </c>
      <c r="K1170">
        <v>65000</v>
      </c>
      <c r="L1170">
        <v>65000</v>
      </c>
    </row>
    <row r="1171" spans="1:12" x14ac:dyDescent="0.3">
      <c r="A1171">
        <v>11170</v>
      </c>
      <c r="B1171" s="2">
        <v>45784</v>
      </c>
      <c r="C1171" t="s">
        <v>31</v>
      </c>
      <c r="D1171" t="s">
        <v>32</v>
      </c>
      <c r="E1171" t="s">
        <v>33</v>
      </c>
      <c r="F1171" t="s">
        <v>34</v>
      </c>
      <c r="G1171" t="s">
        <v>35</v>
      </c>
      <c r="H1171" t="s">
        <v>36</v>
      </c>
      <c r="I1171" t="s">
        <v>37</v>
      </c>
      <c r="J1171">
        <v>1</v>
      </c>
      <c r="K1171">
        <v>12000</v>
      </c>
      <c r="L1171">
        <v>12000</v>
      </c>
    </row>
    <row r="1172" spans="1:12" x14ac:dyDescent="0.3">
      <c r="A1172">
        <v>11171</v>
      </c>
      <c r="B1172" s="2">
        <v>45996</v>
      </c>
      <c r="C1172" t="s">
        <v>210</v>
      </c>
      <c r="D1172" t="s">
        <v>211</v>
      </c>
      <c r="E1172" t="s">
        <v>40</v>
      </c>
      <c r="F1172" t="s">
        <v>15</v>
      </c>
      <c r="G1172" t="s">
        <v>152</v>
      </c>
      <c r="H1172" t="s">
        <v>153</v>
      </c>
      <c r="I1172" t="s">
        <v>49</v>
      </c>
      <c r="J1172">
        <v>3</v>
      </c>
      <c r="K1172">
        <v>3200</v>
      </c>
      <c r="L1172">
        <v>9600</v>
      </c>
    </row>
    <row r="1173" spans="1:12" x14ac:dyDescent="0.3">
      <c r="A1173">
        <v>11172</v>
      </c>
      <c r="B1173" s="2">
        <v>45764</v>
      </c>
      <c r="C1173" t="s">
        <v>19</v>
      </c>
      <c r="D1173" t="s">
        <v>20</v>
      </c>
      <c r="E1173" t="s">
        <v>21</v>
      </c>
      <c r="F1173" t="s">
        <v>15</v>
      </c>
      <c r="G1173" t="s">
        <v>187</v>
      </c>
      <c r="H1173" t="s">
        <v>188</v>
      </c>
      <c r="I1173" t="s">
        <v>24</v>
      </c>
      <c r="J1173">
        <v>1</v>
      </c>
      <c r="K1173">
        <v>5500</v>
      </c>
      <c r="L1173">
        <v>5500</v>
      </c>
    </row>
    <row r="1174" spans="1:12" x14ac:dyDescent="0.3">
      <c r="A1174">
        <v>11173</v>
      </c>
      <c r="B1174" s="2">
        <v>45973</v>
      </c>
      <c r="C1174" t="s">
        <v>210</v>
      </c>
      <c r="D1174" t="s">
        <v>211</v>
      </c>
      <c r="E1174" t="s">
        <v>40</v>
      </c>
      <c r="F1174" t="s">
        <v>15</v>
      </c>
      <c r="G1174" t="s">
        <v>179</v>
      </c>
      <c r="H1174" t="s">
        <v>180</v>
      </c>
      <c r="I1174" t="s">
        <v>18</v>
      </c>
      <c r="J1174">
        <v>1</v>
      </c>
      <c r="K1174">
        <v>6500</v>
      </c>
      <c r="L1174">
        <v>6500</v>
      </c>
    </row>
    <row r="1175" spans="1:12" x14ac:dyDescent="0.3">
      <c r="A1175">
        <v>11174</v>
      </c>
      <c r="B1175" s="2">
        <v>45979</v>
      </c>
      <c r="C1175" t="s">
        <v>115</v>
      </c>
      <c r="D1175" t="s">
        <v>116</v>
      </c>
      <c r="E1175" t="s">
        <v>33</v>
      </c>
      <c r="F1175" t="s">
        <v>34</v>
      </c>
      <c r="G1175" t="s">
        <v>140</v>
      </c>
      <c r="H1175" t="s">
        <v>141</v>
      </c>
      <c r="I1175" t="s">
        <v>18</v>
      </c>
      <c r="J1175">
        <v>1</v>
      </c>
      <c r="K1175">
        <v>3000</v>
      </c>
      <c r="L1175">
        <v>3000</v>
      </c>
    </row>
    <row r="1176" spans="1:12" x14ac:dyDescent="0.3">
      <c r="A1176">
        <v>11175</v>
      </c>
      <c r="B1176" s="2">
        <v>45727</v>
      </c>
      <c r="C1176" t="s">
        <v>218</v>
      </c>
      <c r="D1176" t="s">
        <v>219</v>
      </c>
      <c r="E1176" t="s">
        <v>160</v>
      </c>
      <c r="F1176" t="s">
        <v>34</v>
      </c>
      <c r="G1176" t="s">
        <v>41</v>
      </c>
      <c r="H1176" t="s">
        <v>42</v>
      </c>
      <c r="I1176" t="s">
        <v>37</v>
      </c>
      <c r="J1176">
        <v>1</v>
      </c>
      <c r="K1176">
        <v>30000</v>
      </c>
      <c r="L1176">
        <v>30000</v>
      </c>
    </row>
    <row r="1177" spans="1:12" x14ac:dyDescent="0.3">
      <c r="A1177">
        <v>11176</v>
      </c>
      <c r="B1177" s="2">
        <v>45677</v>
      </c>
      <c r="C1177" t="s">
        <v>100</v>
      </c>
      <c r="D1177" t="s">
        <v>101</v>
      </c>
      <c r="E1177" t="s">
        <v>102</v>
      </c>
      <c r="F1177" t="s">
        <v>34</v>
      </c>
      <c r="G1177" t="s">
        <v>41</v>
      </c>
      <c r="H1177" t="s">
        <v>42</v>
      </c>
      <c r="I1177" t="s">
        <v>37</v>
      </c>
      <c r="J1177">
        <v>3</v>
      </c>
      <c r="K1177">
        <v>30000</v>
      </c>
      <c r="L1177">
        <v>90000</v>
      </c>
    </row>
    <row r="1178" spans="1:12" x14ac:dyDescent="0.3">
      <c r="A1178">
        <v>11177</v>
      </c>
      <c r="B1178" s="2">
        <v>45854</v>
      </c>
      <c r="C1178" t="s">
        <v>117</v>
      </c>
      <c r="D1178" t="s">
        <v>118</v>
      </c>
      <c r="E1178" t="s">
        <v>95</v>
      </c>
      <c r="F1178" t="s">
        <v>15</v>
      </c>
      <c r="G1178" t="s">
        <v>109</v>
      </c>
      <c r="H1178" t="s">
        <v>110</v>
      </c>
      <c r="I1178" t="s">
        <v>18</v>
      </c>
      <c r="J1178">
        <v>2</v>
      </c>
      <c r="K1178">
        <v>5000</v>
      </c>
      <c r="L1178">
        <v>10000</v>
      </c>
    </row>
    <row r="1179" spans="1:12" x14ac:dyDescent="0.3">
      <c r="A1179">
        <v>11178</v>
      </c>
      <c r="B1179" s="2">
        <v>45948</v>
      </c>
      <c r="C1179" t="s">
        <v>93</v>
      </c>
      <c r="D1179" t="s">
        <v>94</v>
      </c>
      <c r="E1179" t="s">
        <v>95</v>
      </c>
      <c r="F1179" t="s">
        <v>15</v>
      </c>
      <c r="G1179" t="s">
        <v>29</v>
      </c>
      <c r="H1179" t="s">
        <v>30</v>
      </c>
      <c r="I1179" t="s">
        <v>18</v>
      </c>
      <c r="J1179">
        <v>1</v>
      </c>
      <c r="K1179">
        <v>15000</v>
      </c>
      <c r="L1179">
        <v>15000</v>
      </c>
    </row>
    <row r="1180" spans="1:12" x14ac:dyDescent="0.3">
      <c r="A1180">
        <v>11179</v>
      </c>
      <c r="B1180" s="2">
        <v>45858</v>
      </c>
      <c r="C1180" t="s">
        <v>50</v>
      </c>
      <c r="D1180" t="s">
        <v>51</v>
      </c>
      <c r="E1180" t="s">
        <v>14</v>
      </c>
      <c r="F1180" t="s">
        <v>15</v>
      </c>
      <c r="G1180" t="s">
        <v>56</v>
      </c>
      <c r="H1180" t="s">
        <v>57</v>
      </c>
      <c r="I1180" t="s">
        <v>18</v>
      </c>
      <c r="J1180">
        <v>2</v>
      </c>
      <c r="K1180">
        <v>9000</v>
      </c>
      <c r="L1180">
        <v>18000</v>
      </c>
    </row>
    <row r="1181" spans="1:12" x14ac:dyDescent="0.3">
      <c r="A1181">
        <v>11180</v>
      </c>
      <c r="B1181" s="2">
        <v>45768</v>
      </c>
      <c r="C1181" t="s">
        <v>50</v>
      </c>
      <c r="D1181" t="s">
        <v>51</v>
      </c>
      <c r="E1181" t="s">
        <v>14</v>
      </c>
      <c r="F1181" t="s">
        <v>15</v>
      </c>
      <c r="G1181" t="s">
        <v>60</v>
      </c>
      <c r="H1181" t="s">
        <v>61</v>
      </c>
      <c r="I1181" t="s">
        <v>18</v>
      </c>
      <c r="J1181">
        <v>1</v>
      </c>
      <c r="K1181">
        <v>2200</v>
      </c>
      <c r="L1181">
        <v>2200</v>
      </c>
    </row>
    <row r="1182" spans="1:12" x14ac:dyDescent="0.3">
      <c r="A1182">
        <v>11181</v>
      </c>
      <c r="B1182" s="2">
        <v>45747</v>
      </c>
      <c r="C1182" t="s">
        <v>50</v>
      </c>
      <c r="D1182" t="s">
        <v>51</v>
      </c>
      <c r="E1182" t="s">
        <v>14</v>
      </c>
      <c r="F1182" t="s">
        <v>15</v>
      </c>
      <c r="G1182" t="s">
        <v>89</v>
      </c>
      <c r="H1182" t="s">
        <v>90</v>
      </c>
      <c r="I1182" t="s">
        <v>18</v>
      </c>
      <c r="J1182">
        <v>2</v>
      </c>
      <c r="K1182">
        <v>4200</v>
      </c>
      <c r="L1182">
        <v>8400</v>
      </c>
    </row>
    <row r="1183" spans="1:12" x14ac:dyDescent="0.3">
      <c r="A1183">
        <v>11182</v>
      </c>
      <c r="B1183" s="2">
        <v>45904</v>
      </c>
      <c r="C1183" t="s">
        <v>138</v>
      </c>
      <c r="D1183" t="s">
        <v>139</v>
      </c>
      <c r="E1183" t="s">
        <v>79</v>
      </c>
      <c r="F1183" t="s">
        <v>34</v>
      </c>
      <c r="G1183" t="s">
        <v>96</v>
      </c>
      <c r="H1183" t="s">
        <v>97</v>
      </c>
      <c r="I1183" t="s">
        <v>37</v>
      </c>
      <c r="J1183">
        <v>1</v>
      </c>
      <c r="K1183">
        <v>18000</v>
      </c>
      <c r="L1183">
        <v>18000</v>
      </c>
    </row>
    <row r="1184" spans="1:12" x14ac:dyDescent="0.3">
      <c r="A1184">
        <v>11183</v>
      </c>
      <c r="B1184" s="2">
        <v>45703</v>
      </c>
      <c r="C1184" t="s">
        <v>87</v>
      </c>
      <c r="D1184" t="s">
        <v>88</v>
      </c>
      <c r="E1184" t="s">
        <v>64</v>
      </c>
      <c r="F1184" t="s">
        <v>46</v>
      </c>
      <c r="G1184" t="s">
        <v>56</v>
      </c>
      <c r="H1184" t="s">
        <v>57</v>
      </c>
      <c r="I1184" t="s">
        <v>18</v>
      </c>
      <c r="J1184">
        <v>1</v>
      </c>
      <c r="K1184">
        <v>9000</v>
      </c>
      <c r="L1184">
        <v>9000</v>
      </c>
    </row>
    <row r="1185" spans="1:12" x14ac:dyDescent="0.3">
      <c r="A1185">
        <v>11184</v>
      </c>
      <c r="B1185" s="2">
        <v>45778</v>
      </c>
      <c r="C1185" t="s">
        <v>146</v>
      </c>
      <c r="D1185" t="s">
        <v>147</v>
      </c>
      <c r="E1185" t="s">
        <v>64</v>
      </c>
      <c r="F1185" t="s">
        <v>46</v>
      </c>
      <c r="G1185" t="s">
        <v>163</v>
      </c>
      <c r="H1185" t="s">
        <v>164</v>
      </c>
      <c r="I1185" t="s">
        <v>49</v>
      </c>
      <c r="J1185">
        <v>3</v>
      </c>
      <c r="K1185">
        <v>4200</v>
      </c>
      <c r="L1185">
        <v>12600</v>
      </c>
    </row>
    <row r="1186" spans="1:12" x14ac:dyDescent="0.3">
      <c r="A1186">
        <v>11185</v>
      </c>
      <c r="B1186" s="2">
        <v>45676</v>
      </c>
      <c r="C1186" t="s">
        <v>12</v>
      </c>
      <c r="D1186" t="s">
        <v>13</v>
      </c>
      <c r="E1186" t="s">
        <v>14</v>
      </c>
      <c r="F1186" t="s">
        <v>15</v>
      </c>
      <c r="G1186" t="s">
        <v>47</v>
      </c>
      <c r="H1186" t="s">
        <v>48</v>
      </c>
      <c r="I1186" t="s">
        <v>49</v>
      </c>
      <c r="J1186">
        <v>1</v>
      </c>
      <c r="K1186">
        <v>1600</v>
      </c>
      <c r="L1186">
        <v>1600</v>
      </c>
    </row>
    <row r="1187" spans="1:12" x14ac:dyDescent="0.3">
      <c r="A1187">
        <v>11186</v>
      </c>
      <c r="B1187" s="2">
        <v>46016</v>
      </c>
      <c r="C1187" t="s">
        <v>107</v>
      </c>
      <c r="D1187" t="s">
        <v>108</v>
      </c>
      <c r="E1187" t="s">
        <v>74</v>
      </c>
      <c r="F1187" t="s">
        <v>28</v>
      </c>
      <c r="G1187" t="s">
        <v>96</v>
      </c>
      <c r="H1187" t="s">
        <v>97</v>
      </c>
      <c r="I1187" t="s">
        <v>37</v>
      </c>
      <c r="J1187">
        <v>2</v>
      </c>
      <c r="K1187">
        <v>18000</v>
      </c>
      <c r="L1187">
        <v>36000</v>
      </c>
    </row>
    <row r="1188" spans="1:12" x14ac:dyDescent="0.3">
      <c r="A1188">
        <v>11187</v>
      </c>
      <c r="B1188" s="2">
        <v>45858</v>
      </c>
      <c r="C1188" t="s">
        <v>138</v>
      </c>
      <c r="D1188" t="s">
        <v>139</v>
      </c>
      <c r="E1188" t="s">
        <v>79</v>
      </c>
      <c r="F1188" t="s">
        <v>34</v>
      </c>
      <c r="G1188" t="s">
        <v>187</v>
      </c>
      <c r="H1188" t="s">
        <v>188</v>
      </c>
      <c r="I1188" t="s">
        <v>24</v>
      </c>
      <c r="J1188">
        <v>2</v>
      </c>
      <c r="K1188">
        <v>5500</v>
      </c>
      <c r="L1188">
        <v>11000</v>
      </c>
    </row>
    <row r="1189" spans="1:12" x14ac:dyDescent="0.3">
      <c r="A1189">
        <v>11188</v>
      </c>
      <c r="B1189" s="2">
        <v>45890</v>
      </c>
      <c r="C1189" t="s">
        <v>93</v>
      </c>
      <c r="D1189" t="s">
        <v>94</v>
      </c>
      <c r="E1189" t="s">
        <v>95</v>
      </c>
      <c r="F1189" t="s">
        <v>15</v>
      </c>
      <c r="G1189" t="s">
        <v>75</v>
      </c>
      <c r="H1189" t="s">
        <v>76</v>
      </c>
      <c r="I1189" t="s">
        <v>49</v>
      </c>
      <c r="J1189">
        <v>2</v>
      </c>
      <c r="K1189">
        <v>3000</v>
      </c>
      <c r="L1189">
        <v>6000</v>
      </c>
    </row>
    <row r="1190" spans="1:12" x14ac:dyDescent="0.3">
      <c r="A1190">
        <v>11189</v>
      </c>
      <c r="B1190" s="2">
        <v>45778</v>
      </c>
      <c r="C1190" t="s">
        <v>156</v>
      </c>
      <c r="D1190" t="s">
        <v>157</v>
      </c>
      <c r="E1190" t="s">
        <v>95</v>
      </c>
      <c r="F1190" t="s">
        <v>15</v>
      </c>
      <c r="G1190" t="s">
        <v>103</v>
      </c>
      <c r="H1190" t="s">
        <v>104</v>
      </c>
      <c r="I1190" t="s">
        <v>37</v>
      </c>
      <c r="J1190">
        <v>2</v>
      </c>
      <c r="K1190">
        <v>28000</v>
      </c>
      <c r="L1190">
        <v>56000</v>
      </c>
    </row>
    <row r="1191" spans="1:12" x14ac:dyDescent="0.3">
      <c r="A1191">
        <v>11190</v>
      </c>
      <c r="B1191" s="2">
        <v>45794</v>
      </c>
      <c r="C1191" t="s">
        <v>87</v>
      </c>
      <c r="D1191" t="s">
        <v>88</v>
      </c>
      <c r="E1191" t="s">
        <v>64</v>
      </c>
      <c r="F1191" t="s">
        <v>46</v>
      </c>
      <c r="G1191" t="s">
        <v>96</v>
      </c>
      <c r="H1191" t="s">
        <v>97</v>
      </c>
      <c r="I1191" t="s">
        <v>37</v>
      </c>
      <c r="J1191">
        <v>1</v>
      </c>
      <c r="K1191">
        <v>18000</v>
      </c>
      <c r="L1191">
        <v>18000</v>
      </c>
    </row>
    <row r="1192" spans="1:12" x14ac:dyDescent="0.3">
      <c r="A1192">
        <v>11191</v>
      </c>
      <c r="B1192" s="2">
        <v>46012</v>
      </c>
      <c r="C1192" t="s">
        <v>85</v>
      </c>
      <c r="D1192" t="s">
        <v>86</v>
      </c>
      <c r="E1192" t="s">
        <v>45</v>
      </c>
      <c r="F1192" t="s">
        <v>46</v>
      </c>
      <c r="G1192" t="s">
        <v>22</v>
      </c>
      <c r="H1192" t="s">
        <v>23</v>
      </c>
      <c r="I1192" t="s">
        <v>24</v>
      </c>
      <c r="J1192">
        <v>1</v>
      </c>
      <c r="K1192">
        <v>2400</v>
      </c>
      <c r="L1192">
        <v>2400</v>
      </c>
    </row>
    <row r="1193" spans="1:12" x14ac:dyDescent="0.3">
      <c r="A1193">
        <v>11192</v>
      </c>
      <c r="B1193" s="2">
        <v>45741</v>
      </c>
      <c r="C1193" t="s">
        <v>31</v>
      </c>
      <c r="D1193" t="s">
        <v>32</v>
      </c>
      <c r="E1193" t="s">
        <v>33</v>
      </c>
      <c r="F1193" t="s">
        <v>34</v>
      </c>
      <c r="G1193" t="s">
        <v>179</v>
      </c>
      <c r="H1193" t="s">
        <v>180</v>
      </c>
      <c r="I1193" t="s">
        <v>18</v>
      </c>
      <c r="J1193">
        <v>2</v>
      </c>
      <c r="K1193">
        <v>6500</v>
      </c>
      <c r="L1193">
        <v>13000</v>
      </c>
    </row>
    <row r="1194" spans="1:12" x14ac:dyDescent="0.3">
      <c r="A1194">
        <v>11193</v>
      </c>
      <c r="B1194" s="2">
        <v>45999</v>
      </c>
      <c r="C1194" t="s">
        <v>87</v>
      </c>
      <c r="D1194" t="s">
        <v>88</v>
      </c>
      <c r="E1194" t="s">
        <v>64</v>
      </c>
      <c r="F1194" t="s">
        <v>46</v>
      </c>
      <c r="G1194" t="s">
        <v>41</v>
      </c>
      <c r="H1194" t="s">
        <v>42</v>
      </c>
      <c r="I1194" t="s">
        <v>37</v>
      </c>
      <c r="J1194">
        <v>1</v>
      </c>
      <c r="K1194">
        <v>30000</v>
      </c>
      <c r="L1194">
        <v>30000</v>
      </c>
    </row>
    <row r="1195" spans="1:12" x14ac:dyDescent="0.3">
      <c r="A1195">
        <v>11194</v>
      </c>
      <c r="B1195" s="2">
        <v>45866</v>
      </c>
      <c r="C1195" t="s">
        <v>77</v>
      </c>
      <c r="D1195" t="s">
        <v>78</v>
      </c>
      <c r="E1195" t="s">
        <v>79</v>
      </c>
      <c r="F1195" t="s">
        <v>34</v>
      </c>
      <c r="G1195" t="s">
        <v>22</v>
      </c>
      <c r="H1195" t="s">
        <v>23</v>
      </c>
      <c r="I1195" t="s">
        <v>24</v>
      </c>
      <c r="J1195">
        <v>1</v>
      </c>
      <c r="K1195">
        <v>2400</v>
      </c>
      <c r="L1195">
        <v>2400</v>
      </c>
    </row>
    <row r="1196" spans="1:12" x14ac:dyDescent="0.3">
      <c r="A1196">
        <v>11195</v>
      </c>
      <c r="B1196" s="2">
        <v>45713</v>
      </c>
      <c r="C1196" t="s">
        <v>146</v>
      </c>
      <c r="D1196" t="s">
        <v>147</v>
      </c>
      <c r="E1196" t="s">
        <v>64</v>
      </c>
      <c r="F1196" t="s">
        <v>46</v>
      </c>
      <c r="G1196" t="s">
        <v>16</v>
      </c>
      <c r="H1196" t="s">
        <v>17</v>
      </c>
      <c r="I1196" t="s">
        <v>18</v>
      </c>
      <c r="J1196">
        <v>1</v>
      </c>
      <c r="K1196">
        <v>11000</v>
      </c>
      <c r="L1196">
        <v>11000</v>
      </c>
    </row>
    <row r="1197" spans="1:12" x14ac:dyDescent="0.3">
      <c r="A1197">
        <v>11196</v>
      </c>
      <c r="B1197" s="2">
        <v>45874</v>
      </c>
      <c r="C1197" t="s">
        <v>12</v>
      </c>
      <c r="D1197" t="s">
        <v>13</v>
      </c>
      <c r="E1197" t="s">
        <v>14</v>
      </c>
      <c r="F1197" t="s">
        <v>15</v>
      </c>
      <c r="G1197" t="s">
        <v>152</v>
      </c>
      <c r="H1197" t="s">
        <v>153</v>
      </c>
      <c r="I1197" t="s">
        <v>49</v>
      </c>
      <c r="J1197">
        <v>3</v>
      </c>
      <c r="K1197">
        <v>3200</v>
      </c>
      <c r="L1197">
        <v>9600</v>
      </c>
    </row>
    <row r="1198" spans="1:12" x14ac:dyDescent="0.3">
      <c r="A1198">
        <v>11197</v>
      </c>
      <c r="B1198" s="2">
        <v>45894</v>
      </c>
      <c r="C1198" t="s">
        <v>100</v>
      </c>
      <c r="D1198" t="s">
        <v>101</v>
      </c>
      <c r="E1198" t="s">
        <v>102</v>
      </c>
      <c r="F1198" t="s">
        <v>34</v>
      </c>
      <c r="G1198" t="s">
        <v>113</v>
      </c>
      <c r="H1198" t="s">
        <v>114</v>
      </c>
      <c r="I1198" t="s">
        <v>37</v>
      </c>
      <c r="J1198">
        <v>2</v>
      </c>
      <c r="K1198">
        <v>52000</v>
      </c>
      <c r="L1198">
        <v>104000</v>
      </c>
    </row>
    <row r="1199" spans="1:12" x14ac:dyDescent="0.3">
      <c r="A1199">
        <v>11198</v>
      </c>
      <c r="B1199" s="2">
        <v>45989</v>
      </c>
      <c r="C1199" t="s">
        <v>31</v>
      </c>
      <c r="D1199" t="s">
        <v>32</v>
      </c>
      <c r="E1199" t="s">
        <v>33</v>
      </c>
      <c r="F1199" t="s">
        <v>34</v>
      </c>
      <c r="G1199" t="s">
        <v>41</v>
      </c>
      <c r="H1199" t="s">
        <v>42</v>
      </c>
      <c r="I1199" t="s">
        <v>37</v>
      </c>
      <c r="J1199">
        <v>1</v>
      </c>
      <c r="K1199">
        <v>30000</v>
      </c>
      <c r="L1199">
        <v>30000</v>
      </c>
    </row>
    <row r="1200" spans="1:12" x14ac:dyDescent="0.3">
      <c r="A1200">
        <v>11199</v>
      </c>
      <c r="B1200" s="2">
        <v>45693</v>
      </c>
      <c r="C1200" t="s">
        <v>158</v>
      </c>
      <c r="D1200" t="s">
        <v>159</v>
      </c>
      <c r="E1200" t="s">
        <v>160</v>
      </c>
      <c r="F1200" t="s">
        <v>34</v>
      </c>
      <c r="G1200" t="s">
        <v>70</v>
      </c>
      <c r="H1200" t="s">
        <v>71</v>
      </c>
      <c r="I1200" t="s">
        <v>37</v>
      </c>
      <c r="J1200">
        <v>2</v>
      </c>
      <c r="K1200">
        <v>2200</v>
      </c>
      <c r="L1200">
        <v>4400</v>
      </c>
    </row>
    <row r="1201" spans="1:12" x14ac:dyDescent="0.3">
      <c r="A1201">
        <v>11200</v>
      </c>
      <c r="B1201" s="2">
        <v>45684</v>
      </c>
      <c r="C1201" t="s">
        <v>189</v>
      </c>
      <c r="D1201" t="s">
        <v>190</v>
      </c>
      <c r="E1201" t="s">
        <v>160</v>
      </c>
      <c r="F1201" t="s">
        <v>34</v>
      </c>
      <c r="G1201" t="s">
        <v>140</v>
      </c>
      <c r="H1201" t="s">
        <v>141</v>
      </c>
      <c r="I1201" t="s">
        <v>18</v>
      </c>
      <c r="J1201">
        <v>2</v>
      </c>
      <c r="K1201">
        <v>3000</v>
      </c>
      <c r="L1201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2A0B-FEAC-479B-85B2-6BA2047F436B}">
  <dimension ref="A3:G384"/>
  <sheetViews>
    <sheetView tabSelected="1" topLeftCell="A361" workbookViewId="0">
      <selection activeCell="G380" sqref="G380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8" bestFit="1" customWidth="1"/>
    <col min="4" max="4" width="10" bestFit="1" customWidth="1"/>
    <col min="5" max="5" width="14.77734375" bestFit="1" customWidth="1"/>
    <col min="6" max="6" width="10.77734375" bestFit="1" customWidth="1"/>
    <col min="7" max="7" width="15.109375" bestFit="1" customWidth="1"/>
    <col min="8" max="8" width="14.88671875" bestFit="1" customWidth="1"/>
    <col min="9" max="9" width="15.109375" bestFit="1" customWidth="1"/>
    <col min="10" max="10" width="14.88671875" bestFit="1" customWidth="1"/>
    <col min="11" max="11" width="15.109375" bestFit="1" customWidth="1"/>
    <col min="12" max="12" width="14.88671875" bestFit="1" customWidth="1"/>
    <col min="13" max="13" width="15.109375" bestFit="1" customWidth="1"/>
    <col min="14" max="14" width="14.88671875" bestFit="1" customWidth="1"/>
    <col min="15" max="15" width="15.109375" bestFit="1" customWidth="1"/>
    <col min="16" max="16" width="14.88671875" bestFit="1" customWidth="1"/>
    <col min="17" max="17" width="15.109375" bestFit="1" customWidth="1"/>
    <col min="18" max="18" width="14.88671875" bestFit="1" customWidth="1"/>
    <col min="19" max="19" width="15.109375" bestFit="1" customWidth="1"/>
    <col min="20" max="20" width="14.88671875" bestFit="1" customWidth="1"/>
    <col min="21" max="21" width="15.109375" bestFit="1" customWidth="1"/>
    <col min="22" max="22" width="14.88671875" bestFit="1" customWidth="1"/>
    <col min="23" max="23" width="15.109375" bestFit="1" customWidth="1"/>
    <col min="24" max="24" width="14.88671875" bestFit="1" customWidth="1"/>
    <col min="25" max="25" width="15.109375" bestFit="1" customWidth="1"/>
    <col min="26" max="26" width="14.88671875" bestFit="1" customWidth="1"/>
    <col min="27" max="27" width="15.109375" bestFit="1" customWidth="1"/>
    <col min="28" max="28" width="14.88671875" bestFit="1" customWidth="1"/>
    <col min="29" max="29" width="15.109375" bestFit="1" customWidth="1"/>
    <col min="30" max="30" width="14.88671875" bestFit="1" customWidth="1"/>
    <col min="31" max="31" width="15.109375" bestFit="1" customWidth="1"/>
    <col min="32" max="32" width="14.88671875" bestFit="1" customWidth="1"/>
    <col min="33" max="33" width="15.109375" bestFit="1" customWidth="1"/>
    <col min="34" max="34" width="14.88671875" bestFit="1" customWidth="1"/>
    <col min="35" max="35" width="15.109375" bestFit="1" customWidth="1"/>
    <col min="36" max="36" width="14.88671875" bestFit="1" customWidth="1"/>
    <col min="37" max="37" width="15.109375" bestFit="1" customWidth="1"/>
    <col min="38" max="38" width="14.88671875" bestFit="1" customWidth="1"/>
    <col min="39" max="39" width="15.109375" bestFit="1" customWidth="1"/>
    <col min="40" max="40" width="14.88671875" bestFit="1" customWidth="1"/>
    <col min="41" max="41" width="15.109375" bestFit="1" customWidth="1"/>
    <col min="42" max="42" width="14.88671875" bestFit="1" customWidth="1"/>
    <col min="43" max="43" width="15.109375" bestFit="1" customWidth="1"/>
    <col min="44" max="44" width="14.88671875" bestFit="1" customWidth="1"/>
    <col min="45" max="45" width="15.109375" bestFit="1" customWidth="1"/>
    <col min="46" max="46" width="14.88671875" bestFit="1" customWidth="1"/>
    <col min="47" max="47" width="15.109375" bestFit="1" customWidth="1"/>
    <col min="48" max="48" width="14.88671875" bestFit="1" customWidth="1"/>
    <col min="49" max="49" width="15.109375" bestFit="1" customWidth="1"/>
    <col min="50" max="50" width="14.88671875" bestFit="1" customWidth="1"/>
    <col min="51" max="51" width="15.109375" bestFit="1" customWidth="1"/>
    <col min="52" max="52" width="14.88671875" bestFit="1" customWidth="1"/>
    <col min="53" max="53" width="15.109375" bestFit="1" customWidth="1"/>
    <col min="54" max="54" width="19.6640625" bestFit="1" customWidth="1"/>
    <col min="55" max="55" width="19.88671875" bestFit="1" customWidth="1"/>
    <col min="56" max="76" width="6" bestFit="1" customWidth="1"/>
    <col min="77" max="77" width="9.6640625" bestFit="1" customWidth="1"/>
    <col min="78" max="78" width="7" bestFit="1" customWidth="1"/>
    <col min="79" max="113" width="6" bestFit="1" customWidth="1"/>
    <col min="114" max="114" width="9.6640625" bestFit="1" customWidth="1"/>
    <col min="115" max="115" width="7" bestFit="1" customWidth="1"/>
    <col min="116" max="192" width="6" bestFit="1" customWidth="1"/>
    <col min="193" max="193" width="9.6640625" bestFit="1" customWidth="1"/>
    <col min="194" max="194" width="7" bestFit="1" customWidth="1"/>
    <col min="195" max="258" width="6" bestFit="1" customWidth="1"/>
    <col min="259" max="259" width="9.6640625" bestFit="1" customWidth="1"/>
    <col min="260" max="260" width="7" bestFit="1" customWidth="1"/>
    <col min="261" max="300" width="6" bestFit="1" customWidth="1"/>
    <col min="301" max="301" width="9.6640625" bestFit="1" customWidth="1"/>
    <col min="302" max="302" width="7" bestFit="1" customWidth="1"/>
    <col min="303" max="378" width="6" bestFit="1" customWidth="1"/>
    <col min="379" max="379" width="9.6640625" bestFit="1" customWidth="1"/>
    <col min="380" max="380" width="7" bestFit="1" customWidth="1"/>
    <col min="381" max="418" width="6" bestFit="1" customWidth="1"/>
    <col min="419" max="419" width="9.6640625" bestFit="1" customWidth="1"/>
    <col min="420" max="420" width="7" bestFit="1" customWidth="1"/>
    <col min="421" max="454" width="6" bestFit="1" customWidth="1"/>
    <col min="455" max="455" width="9.6640625" bestFit="1" customWidth="1"/>
    <col min="456" max="456" width="7" bestFit="1" customWidth="1"/>
    <col min="457" max="494" width="6" bestFit="1" customWidth="1"/>
    <col min="495" max="495" width="9.6640625" bestFit="1" customWidth="1"/>
    <col min="496" max="496" width="7" bestFit="1" customWidth="1"/>
    <col min="497" max="562" width="6" bestFit="1" customWidth="1"/>
    <col min="563" max="563" width="9.6640625" bestFit="1" customWidth="1"/>
    <col min="564" max="564" width="7" bestFit="1" customWidth="1"/>
    <col min="565" max="612" width="6" bestFit="1" customWidth="1"/>
    <col min="613" max="613" width="9.6640625" bestFit="1" customWidth="1"/>
    <col min="614" max="614" width="7" bestFit="1" customWidth="1"/>
    <col min="615" max="656" width="6" bestFit="1" customWidth="1"/>
    <col min="657" max="657" width="9.6640625" bestFit="1" customWidth="1"/>
    <col min="658" max="658" width="7" bestFit="1" customWidth="1"/>
    <col min="659" max="692" width="6" bestFit="1" customWidth="1"/>
    <col min="693" max="693" width="9.6640625" bestFit="1" customWidth="1"/>
    <col min="694" max="694" width="7" bestFit="1" customWidth="1"/>
    <col min="695" max="718" width="6" bestFit="1" customWidth="1"/>
    <col min="719" max="719" width="9.6640625" bestFit="1" customWidth="1"/>
    <col min="720" max="720" width="7" bestFit="1" customWidth="1"/>
    <col min="721" max="749" width="6" bestFit="1" customWidth="1"/>
    <col min="750" max="750" width="9.6640625" bestFit="1" customWidth="1"/>
    <col min="751" max="751" width="7" bestFit="1" customWidth="1"/>
    <col min="752" max="789" width="6" bestFit="1" customWidth="1"/>
    <col min="790" max="790" width="9.6640625" bestFit="1" customWidth="1"/>
    <col min="791" max="791" width="8" bestFit="1" customWidth="1"/>
    <col min="792" max="834" width="6" bestFit="1" customWidth="1"/>
    <col min="835" max="835" width="10.6640625" bestFit="1" customWidth="1"/>
    <col min="836" max="836" width="8" bestFit="1" customWidth="1"/>
    <col min="837" max="879" width="6" bestFit="1" customWidth="1"/>
    <col min="880" max="880" width="10.6640625" bestFit="1" customWidth="1"/>
    <col min="881" max="881" width="8" bestFit="1" customWidth="1"/>
    <col min="882" max="920" width="6" bestFit="1" customWidth="1"/>
    <col min="921" max="921" width="10.6640625" bestFit="1" customWidth="1"/>
    <col min="922" max="922" width="8" bestFit="1" customWidth="1"/>
    <col min="923" max="980" width="6" bestFit="1" customWidth="1"/>
    <col min="981" max="981" width="10.6640625" bestFit="1" customWidth="1"/>
    <col min="982" max="982" width="8" bestFit="1" customWidth="1"/>
    <col min="983" max="1024" width="6" bestFit="1" customWidth="1"/>
    <col min="1025" max="1025" width="10.6640625" bestFit="1" customWidth="1"/>
    <col min="1026" max="1026" width="8" bestFit="1" customWidth="1"/>
    <col min="1027" max="1032" width="6" bestFit="1" customWidth="1"/>
    <col min="1033" max="1033" width="7" bestFit="1" customWidth="1"/>
    <col min="1034" max="1052" width="6" bestFit="1" customWidth="1"/>
    <col min="1053" max="1054" width="7" bestFit="1" customWidth="1"/>
    <col min="1055" max="1072" width="6" bestFit="1" customWidth="1"/>
    <col min="1073" max="1073" width="10.6640625" bestFit="1" customWidth="1"/>
    <col min="1074" max="1074" width="8" bestFit="1" customWidth="1"/>
    <col min="1075" max="1078" width="6" bestFit="1" customWidth="1"/>
    <col min="1079" max="1080" width="7" bestFit="1" customWidth="1"/>
    <col min="1081" max="1092" width="6" bestFit="1" customWidth="1"/>
    <col min="1093" max="1093" width="7" bestFit="1" customWidth="1"/>
    <col min="1094" max="1095" width="6" bestFit="1" customWidth="1"/>
    <col min="1096" max="1096" width="7" bestFit="1" customWidth="1"/>
    <col min="1097" max="1126" width="6" bestFit="1" customWidth="1"/>
    <col min="1127" max="1127" width="10.6640625" bestFit="1" customWidth="1"/>
    <col min="1128" max="1128" width="8" bestFit="1" customWidth="1"/>
    <col min="1129" max="1130" width="6" bestFit="1" customWidth="1"/>
    <col min="1131" max="1134" width="7" bestFit="1" customWidth="1"/>
    <col min="1135" max="1135" width="6" bestFit="1" customWidth="1"/>
    <col min="1136" max="1136" width="7" bestFit="1" customWidth="1"/>
    <col min="1137" max="1137" width="6" bestFit="1" customWidth="1"/>
    <col min="1138" max="1139" width="7" bestFit="1" customWidth="1"/>
    <col min="1140" max="1143" width="6" bestFit="1" customWidth="1"/>
    <col min="1144" max="1147" width="7" bestFit="1" customWidth="1"/>
    <col min="1148" max="1148" width="6" bestFit="1" customWidth="1"/>
    <col min="1149" max="1150" width="7" bestFit="1" customWidth="1"/>
    <col min="1151" max="1153" width="6" bestFit="1" customWidth="1"/>
    <col min="1154" max="1154" width="7" bestFit="1" customWidth="1"/>
    <col min="1155" max="1158" width="6" bestFit="1" customWidth="1"/>
    <col min="1159" max="1161" width="7" bestFit="1" customWidth="1"/>
    <col min="1162" max="1164" width="6" bestFit="1" customWidth="1"/>
    <col min="1165" max="1165" width="7" bestFit="1" customWidth="1"/>
    <col min="1166" max="1166" width="6" bestFit="1" customWidth="1"/>
    <col min="1167" max="1167" width="7" bestFit="1" customWidth="1"/>
    <col min="1168" max="1168" width="6" bestFit="1" customWidth="1"/>
    <col min="1169" max="1169" width="7" bestFit="1" customWidth="1"/>
    <col min="1170" max="1172" width="6" bestFit="1" customWidth="1"/>
    <col min="1173" max="1174" width="7" bestFit="1" customWidth="1"/>
    <col min="1175" max="1175" width="10.6640625" bestFit="1" customWidth="1"/>
    <col min="1176" max="1176" width="8" bestFit="1" customWidth="1"/>
    <col min="1177" max="1177" width="6" bestFit="1" customWidth="1"/>
    <col min="1178" max="1179" width="7" bestFit="1" customWidth="1"/>
    <col min="1180" max="1180" width="6" bestFit="1" customWidth="1"/>
    <col min="1181" max="1181" width="7" bestFit="1" customWidth="1"/>
    <col min="1182" max="1183" width="6" bestFit="1" customWidth="1"/>
    <col min="1184" max="1185" width="7" bestFit="1" customWidth="1"/>
    <col min="1186" max="1187" width="6" bestFit="1" customWidth="1"/>
    <col min="1188" max="1188" width="7" bestFit="1" customWidth="1"/>
    <col min="1189" max="1191" width="6" bestFit="1" customWidth="1"/>
    <col min="1192" max="1192" width="7" bestFit="1" customWidth="1"/>
    <col min="1193" max="1194" width="6" bestFit="1" customWidth="1"/>
    <col min="1195" max="1196" width="7" bestFit="1" customWidth="1"/>
    <col min="1197" max="1199" width="6" bestFit="1" customWidth="1"/>
    <col min="1200" max="1200" width="7" bestFit="1" customWidth="1"/>
    <col min="1201" max="1203" width="6" bestFit="1" customWidth="1"/>
    <col min="1204" max="1204" width="7" bestFit="1" customWidth="1"/>
    <col min="1205" max="1207" width="6" bestFit="1" customWidth="1"/>
    <col min="1208" max="1209" width="7" bestFit="1" customWidth="1"/>
    <col min="1210" max="1213" width="6" bestFit="1" customWidth="1"/>
    <col min="1214" max="1216" width="7" bestFit="1" customWidth="1"/>
    <col min="1217" max="1217" width="6" bestFit="1" customWidth="1"/>
    <col min="1218" max="1218" width="7" bestFit="1" customWidth="1"/>
    <col min="1219" max="1224" width="6" bestFit="1" customWidth="1"/>
    <col min="1225" max="1225" width="7" bestFit="1" customWidth="1"/>
    <col min="1226" max="1226" width="6" bestFit="1" customWidth="1"/>
    <col min="1227" max="1227" width="10.6640625" bestFit="1" customWidth="1"/>
    <col min="1228" max="1228" width="10.77734375" bestFit="1" customWidth="1"/>
  </cols>
  <sheetData>
    <row r="3" spans="1:4" x14ac:dyDescent="0.3">
      <c r="A3" s="6" t="s">
        <v>259</v>
      </c>
      <c r="B3" t="s">
        <v>261</v>
      </c>
    </row>
    <row r="4" spans="1:4" x14ac:dyDescent="0.3">
      <c r="A4" s="7" t="s">
        <v>15</v>
      </c>
      <c r="B4" s="8">
        <v>8984100</v>
      </c>
    </row>
    <row r="5" spans="1:4" x14ac:dyDescent="0.3">
      <c r="A5" s="7" t="s">
        <v>46</v>
      </c>
      <c r="B5" s="8">
        <v>6935400</v>
      </c>
    </row>
    <row r="6" spans="1:4" x14ac:dyDescent="0.3">
      <c r="A6" s="7" t="s">
        <v>34</v>
      </c>
      <c r="B6" s="8">
        <v>5333900</v>
      </c>
    </row>
    <row r="7" spans="1:4" x14ac:dyDescent="0.3">
      <c r="A7" s="7" t="s">
        <v>28</v>
      </c>
      <c r="B7" s="8">
        <v>4660300</v>
      </c>
    </row>
    <row r="8" spans="1:4" x14ac:dyDescent="0.3">
      <c r="A8" s="7" t="s">
        <v>260</v>
      </c>
      <c r="B8" s="8">
        <v>25913700</v>
      </c>
    </row>
    <row r="16" spans="1:4" x14ac:dyDescent="0.3">
      <c r="A16" s="6" t="s">
        <v>259</v>
      </c>
      <c r="B16" t="s">
        <v>263</v>
      </c>
      <c r="C16" t="s">
        <v>261</v>
      </c>
      <c r="D16" t="s">
        <v>257</v>
      </c>
    </row>
    <row r="17" spans="1:4" x14ac:dyDescent="0.3">
      <c r="A17" s="7" t="s">
        <v>15</v>
      </c>
      <c r="B17" s="8">
        <v>379</v>
      </c>
      <c r="C17" s="8">
        <v>8984100</v>
      </c>
      <c r="D17">
        <f>C17/B17</f>
        <v>23704.749340369392</v>
      </c>
    </row>
    <row r="18" spans="1:4" x14ac:dyDescent="0.3">
      <c r="A18" s="7" t="s">
        <v>46</v>
      </c>
      <c r="B18" s="8">
        <v>330</v>
      </c>
      <c r="C18" s="8">
        <v>6935400</v>
      </c>
      <c r="D18">
        <f t="shared" ref="D18:D20" si="0">C18/B18</f>
        <v>21016.363636363636</v>
      </c>
    </row>
    <row r="19" spans="1:4" x14ac:dyDescent="0.3">
      <c r="A19" s="7" t="s">
        <v>28</v>
      </c>
      <c r="B19" s="8">
        <v>217</v>
      </c>
      <c r="C19" s="8">
        <v>4660300</v>
      </c>
      <c r="D19">
        <f t="shared" si="0"/>
        <v>21476.036866359445</v>
      </c>
    </row>
    <row r="20" spans="1:4" x14ac:dyDescent="0.3">
      <c r="A20" s="7" t="s">
        <v>34</v>
      </c>
      <c r="B20" s="8">
        <v>274</v>
      </c>
      <c r="C20" s="8">
        <v>5333900</v>
      </c>
      <c r="D20">
        <f t="shared" si="0"/>
        <v>19466.788321167882</v>
      </c>
    </row>
    <row r="21" spans="1:4" x14ac:dyDescent="0.3">
      <c r="A21" s="7" t="s">
        <v>260</v>
      </c>
      <c r="B21" s="8">
        <v>1200</v>
      </c>
      <c r="C21" s="8">
        <v>25913700</v>
      </c>
    </row>
    <row r="27" spans="1:4" x14ac:dyDescent="0.3">
      <c r="A27" s="6" t="s">
        <v>259</v>
      </c>
      <c r="B27" t="s">
        <v>261</v>
      </c>
    </row>
    <row r="28" spans="1:4" x14ac:dyDescent="0.3">
      <c r="A28" s="7" t="s">
        <v>37</v>
      </c>
      <c r="B28" s="8">
        <v>20019500</v>
      </c>
      <c r="C28" s="9">
        <f>20019500/25913700</f>
        <v>0.77254502444652828</v>
      </c>
    </row>
    <row r="29" spans="1:4" x14ac:dyDescent="0.3">
      <c r="A29" s="7" t="s">
        <v>18</v>
      </c>
      <c r="B29" s="8">
        <v>3464000</v>
      </c>
    </row>
    <row r="30" spans="1:4" x14ac:dyDescent="0.3">
      <c r="A30" s="7" t="s">
        <v>49</v>
      </c>
      <c r="B30" s="8">
        <v>1693400</v>
      </c>
    </row>
    <row r="31" spans="1:4" x14ac:dyDescent="0.3">
      <c r="A31" s="7" t="s">
        <v>24</v>
      </c>
      <c r="B31" s="8">
        <v>736800</v>
      </c>
    </row>
    <row r="32" spans="1:4" x14ac:dyDescent="0.3">
      <c r="A32" s="7" t="s">
        <v>260</v>
      </c>
      <c r="B32" s="8">
        <v>25913700</v>
      </c>
    </row>
    <row r="38" spans="1:7" x14ac:dyDescent="0.3">
      <c r="A38" s="6" t="s">
        <v>261</v>
      </c>
      <c r="B38" s="6" t="s">
        <v>264</v>
      </c>
    </row>
    <row r="39" spans="1:7" x14ac:dyDescent="0.3">
      <c r="A39" s="6" t="s">
        <v>259</v>
      </c>
      <c r="B39" t="s">
        <v>24</v>
      </c>
      <c r="C39" t="s">
        <v>49</v>
      </c>
      <c r="D39" t="s">
        <v>37</v>
      </c>
      <c r="E39" t="s">
        <v>18</v>
      </c>
      <c r="F39" t="s">
        <v>260</v>
      </c>
      <c r="G39" t="s">
        <v>265</v>
      </c>
    </row>
    <row r="40" spans="1:7" x14ac:dyDescent="0.3">
      <c r="A40" s="7" t="s">
        <v>15</v>
      </c>
      <c r="B40" s="8">
        <v>208700</v>
      </c>
      <c r="C40" s="8">
        <v>530800</v>
      </c>
      <c r="D40" s="8">
        <v>7121400</v>
      </c>
      <c r="E40" s="8">
        <v>1123200</v>
      </c>
      <c r="F40" s="8">
        <v>8984100</v>
      </c>
      <c r="G40" s="9">
        <f>D40/F40</f>
        <v>0.79266704511303299</v>
      </c>
    </row>
    <row r="41" spans="1:7" x14ac:dyDescent="0.3">
      <c r="A41" s="7" t="s">
        <v>46</v>
      </c>
      <c r="B41" s="8">
        <v>237800</v>
      </c>
      <c r="C41" s="8">
        <v>415000</v>
      </c>
      <c r="D41" s="8">
        <v>5435200</v>
      </c>
      <c r="E41" s="8">
        <v>847400</v>
      </c>
      <c r="F41" s="8">
        <v>6935400</v>
      </c>
    </row>
    <row r="42" spans="1:7" x14ac:dyDescent="0.3">
      <c r="A42" s="7" t="s">
        <v>28</v>
      </c>
      <c r="B42" s="8">
        <v>106900</v>
      </c>
      <c r="C42" s="8">
        <v>302000</v>
      </c>
      <c r="D42" s="8">
        <v>3473300</v>
      </c>
      <c r="E42" s="8">
        <v>778100</v>
      </c>
      <c r="F42" s="8">
        <v>4660300</v>
      </c>
    </row>
    <row r="43" spans="1:7" x14ac:dyDescent="0.3">
      <c r="A43" s="7" t="s">
        <v>34</v>
      </c>
      <c r="B43" s="8">
        <v>183400</v>
      </c>
      <c r="C43" s="8">
        <v>445600</v>
      </c>
      <c r="D43" s="8">
        <v>3989600</v>
      </c>
      <c r="E43" s="8">
        <v>715300</v>
      </c>
      <c r="F43" s="8">
        <v>5333900</v>
      </c>
    </row>
    <row r="44" spans="1:7" x14ac:dyDescent="0.3">
      <c r="A44" s="7" t="s">
        <v>260</v>
      </c>
      <c r="B44" s="8">
        <v>736800</v>
      </c>
      <c r="C44" s="8">
        <v>1693400</v>
      </c>
      <c r="D44" s="8">
        <v>20019500</v>
      </c>
      <c r="E44" s="8">
        <v>3464000</v>
      </c>
      <c r="F44" s="8">
        <v>25913700</v>
      </c>
    </row>
    <row r="49" spans="1:4" x14ac:dyDescent="0.3">
      <c r="A49" s="6" t="s">
        <v>259</v>
      </c>
      <c r="B49" t="s">
        <v>261</v>
      </c>
      <c r="C49" t="s">
        <v>266</v>
      </c>
    </row>
    <row r="50" spans="1:4" x14ac:dyDescent="0.3">
      <c r="A50" s="7" t="s">
        <v>51</v>
      </c>
      <c r="B50" s="8">
        <v>1194100</v>
      </c>
      <c r="C50">
        <f>SUM(B50:B59)</f>
        <v>8036800</v>
      </c>
      <c r="D50" s="9">
        <f>C50/GETPIVOTDATA("Revenue",$A$49)</f>
        <v>0.31013710894237412</v>
      </c>
    </row>
    <row r="51" spans="1:4" x14ac:dyDescent="0.3">
      <c r="A51" s="7" t="s">
        <v>13</v>
      </c>
      <c r="B51" s="8">
        <v>891400</v>
      </c>
    </row>
    <row r="52" spans="1:4" x14ac:dyDescent="0.3">
      <c r="A52" s="7" t="s">
        <v>44</v>
      </c>
      <c r="B52" s="8">
        <v>849900</v>
      </c>
    </row>
    <row r="53" spans="1:4" x14ac:dyDescent="0.3">
      <c r="A53" s="7" t="s">
        <v>149</v>
      </c>
      <c r="B53" s="8">
        <v>819000</v>
      </c>
    </row>
    <row r="54" spans="1:4" x14ac:dyDescent="0.3">
      <c r="A54" s="7" t="s">
        <v>86</v>
      </c>
      <c r="B54" s="8">
        <v>792500</v>
      </c>
    </row>
    <row r="55" spans="1:4" x14ac:dyDescent="0.3">
      <c r="A55" s="7" t="s">
        <v>211</v>
      </c>
      <c r="B55" s="8">
        <v>725200</v>
      </c>
    </row>
    <row r="56" spans="1:4" x14ac:dyDescent="0.3">
      <c r="A56" s="7" t="s">
        <v>147</v>
      </c>
      <c r="B56" s="8">
        <v>709800</v>
      </c>
    </row>
    <row r="57" spans="1:4" x14ac:dyDescent="0.3">
      <c r="A57" s="7" t="s">
        <v>106</v>
      </c>
      <c r="B57" s="8">
        <v>701900</v>
      </c>
    </row>
    <row r="58" spans="1:4" x14ac:dyDescent="0.3">
      <c r="A58" s="7" t="s">
        <v>134</v>
      </c>
      <c r="B58" s="8">
        <v>697900</v>
      </c>
    </row>
    <row r="59" spans="1:4" x14ac:dyDescent="0.3">
      <c r="A59" s="7" t="s">
        <v>92</v>
      </c>
      <c r="B59" s="8">
        <v>655100</v>
      </c>
    </row>
    <row r="60" spans="1:4" x14ac:dyDescent="0.3">
      <c r="A60" s="7" t="s">
        <v>73</v>
      </c>
      <c r="B60" s="8">
        <v>641500</v>
      </c>
    </row>
    <row r="61" spans="1:4" x14ac:dyDescent="0.3">
      <c r="A61" s="7" t="s">
        <v>143</v>
      </c>
      <c r="B61" s="8">
        <v>620900</v>
      </c>
    </row>
    <row r="62" spans="1:4" x14ac:dyDescent="0.3">
      <c r="A62" s="7" t="s">
        <v>136</v>
      </c>
      <c r="B62" s="8">
        <v>597700</v>
      </c>
    </row>
    <row r="63" spans="1:4" x14ac:dyDescent="0.3">
      <c r="A63" s="7" t="s">
        <v>200</v>
      </c>
      <c r="B63" s="8">
        <v>535300</v>
      </c>
    </row>
    <row r="64" spans="1:4" x14ac:dyDescent="0.3">
      <c r="A64" s="7" t="s">
        <v>120</v>
      </c>
      <c r="B64" s="8">
        <v>527700</v>
      </c>
    </row>
    <row r="65" spans="1:2" x14ac:dyDescent="0.3">
      <c r="A65" s="7" t="s">
        <v>20</v>
      </c>
      <c r="B65" s="8">
        <v>485700</v>
      </c>
    </row>
    <row r="66" spans="1:2" x14ac:dyDescent="0.3">
      <c r="A66" s="7" t="s">
        <v>101</v>
      </c>
      <c r="B66" s="8">
        <v>482700</v>
      </c>
    </row>
    <row r="67" spans="1:2" x14ac:dyDescent="0.3">
      <c r="A67" s="7" t="s">
        <v>118</v>
      </c>
      <c r="B67" s="8">
        <v>472100</v>
      </c>
    </row>
    <row r="68" spans="1:2" x14ac:dyDescent="0.3">
      <c r="A68" s="7" t="s">
        <v>198</v>
      </c>
      <c r="B68" s="8">
        <v>469900</v>
      </c>
    </row>
    <row r="69" spans="1:2" x14ac:dyDescent="0.3">
      <c r="A69" s="7" t="s">
        <v>81</v>
      </c>
      <c r="B69" s="8">
        <v>414900</v>
      </c>
    </row>
    <row r="70" spans="1:2" x14ac:dyDescent="0.3">
      <c r="A70" s="7" t="s">
        <v>184</v>
      </c>
      <c r="B70" s="8">
        <v>382900</v>
      </c>
    </row>
    <row r="71" spans="1:2" x14ac:dyDescent="0.3">
      <c r="A71" s="7" t="s">
        <v>172</v>
      </c>
      <c r="B71" s="8">
        <v>378200</v>
      </c>
    </row>
    <row r="72" spans="1:2" x14ac:dyDescent="0.3">
      <c r="A72" s="7" t="s">
        <v>32</v>
      </c>
      <c r="B72" s="8">
        <v>372300</v>
      </c>
    </row>
    <row r="73" spans="1:2" x14ac:dyDescent="0.3">
      <c r="A73" s="7" t="s">
        <v>157</v>
      </c>
      <c r="B73" s="8">
        <v>368700</v>
      </c>
    </row>
    <row r="74" spans="1:2" x14ac:dyDescent="0.3">
      <c r="A74" s="7" t="s">
        <v>88</v>
      </c>
      <c r="B74" s="8">
        <v>363500</v>
      </c>
    </row>
    <row r="75" spans="1:2" x14ac:dyDescent="0.3">
      <c r="A75" s="7" t="s">
        <v>207</v>
      </c>
      <c r="B75" s="8">
        <v>338900</v>
      </c>
    </row>
    <row r="76" spans="1:2" x14ac:dyDescent="0.3">
      <c r="A76" s="7" t="s">
        <v>94</v>
      </c>
      <c r="B76" s="8">
        <v>336100</v>
      </c>
    </row>
    <row r="77" spans="1:2" x14ac:dyDescent="0.3">
      <c r="A77" s="7" t="s">
        <v>26</v>
      </c>
      <c r="B77" s="8">
        <v>335600</v>
      </c>
    </row>
    <row r="78" spans="1:2" x14ac:dyDescent="0.3">
      <c r="A78" s="7" t="s">
        <v>186</v>
      </c>
      <c r="B78" s="8">
        <v>330500</v>
      </c>
    </row>
    <row r="79" spans="1:2" x14ac:dyDescent="0.3">
      <c r="A79" s="7" t="s">
        <v>227</v>
      </c>
      <c r="B79" s="8">
        <v>327100</v>
      </c>
    </row>
    <row r="80" spans="1:2" x14ac:dyDescent="0.3">
      <c r="A80" s="7" t="s">
        <v>223</v>
      </c>
      <c r="B80" s="8">
        <v>323700</v>
      </c>
    </row>
    <row r="81" spans="1:2" x14ac:dyDescent="0.3">
      <c r="A81" s="7" t="s">
        <v>83</v>
      </c>
      <c r="B81" s="8">
        <v>318900</v>
      </c>
    </row>
    <row r="82" spans="1:2" x14ac:dyDescent="0.3">
      <c r="A82" s="7" t="s">
        <v>155</v>
      </c>
      <c r="B82" s="8">
        <v>315700</v>
      </c>
    </row>
    <row r="83" spans="1:2" x14ac:dyDescent="0.3">
      <c r="A83" s="7" t="s">
        <v>205</v>
      </c>
      <c r="B83" s="8">
        <v>303400</v>
      </c>
    </row>
    <row r="84" spans="1:2" x14ac:dyDescent="0.3">
      <c r="A84" s="7" t="s">
        <v>151</v>
      </c>
      <c r="B84" s="8">
        <v>302800</v>
      </c>
    </row>
    <row r="85" spans="1:2" x14ac:dyDescent="0.3">
      <c r="A85" s="7" t="s">
        <v>68</v>
      </c>
      <c r="B85" s="8">
        <v>298900</v>
      </c>
    </row>
    <row r="86" spans="1:2" x14ac:dyDescent="0.3">
      <c r="A86" s="7" t="s">
        <v>170</v>
      </c>
      <c r="B86" s="8">
        <v>296200</v>
      </c>
    </row>
    <row r="87" spans="1:2" x14ac:dyDescent="0.3">
      <c r="A87" s="7" t="s">
        <v>176</v>
      </c>
      <c r="B87" s="8">
        <v>296100</v>
      </c>
    </row>
    <row r="88" spans="1:2" x14ac:dyDescent="0.3">
      <c r="A88" s="7" t="s">
        <v>213</v>
      </c>
      <c r="B88" s="8">
        <v>282700</v>
      </c>
    </row>
    <row r="89" spans="1:2" x14ac:dyDescent="0.3">
      <c r="A89" s="7" t="s">
        <v>39</v>
      </c>
      <c r="B89" s="8">
        <v>282600</v>
      </c>
    </row>
    <row r="90" spans="1:2" x14ac:dyDescent="0.3">
      <c r="A90" s="7" t="s">
        <v>162</v>
      </c>
      <c r="B90" s="8">
        <v>282000</v>
      </c>
    </row>
    <row r="91" spans="1:2" x14ac:dyDescent="0.3">
      <c r="A91" s="7" t="s">
        <v>174</v>
      </c>
      <c r="B91" s="8">
        <v>280300</v>
      </c>
    </row>
    <row r="92" spans="1:2" x14ac:dyDescent="0.3">
      <c r="A92" s="7" t="s">
        <v>192</v>
      </c>
      <c r="B92" s="8">
        <v>279800</v>
      </c>
    </row>
    <row r="93" spans="1:2" x14ac:dyDescent="0.3">
      <c r="A93" s="7" t="s">
        <v>63</v>
      </c>
      <c r="B93" s="8">
        <v>273100</v>
      </c>
    </row>
    <row r="94" spans="1:2" x14ac:dyDescent="0.3">
      <c r="A94" s="7" t="s">
        <v>159</v>
      </c>
      <c r="B94" s="8">
        <v>265000</v>
      </c>
    </row>
    <row r="95" spans="1:2" x14ac:dyDescent="0.3">
      <c r="A95" s="7" t="s">
        <v>78</v>
      </c>
      <c r="B95" s="8">
        <v>264800</v>
      </c>
    </row>
    <row r="96" spans="1:2" x14ac:dyDescent="0.3">
      <c r="A96" s="7" t="s">
        <v>112</v>
      </c>
      <c r="B96" s="8">
        <v>253300</v>
      </c>
    </row>
    <row r="97" spans="1:2" x14ac:dyDescent="0.3">
      <c r="A97" s="7" t="s">
        <v>194</v>
      </c>
      <c r="B97" s="8">
        <v>251600</v>
      </c>
    </row>
    <row r="98" spans="1:2" x14ac:dyDescent="0.3">
      <c r="A98" s="7" t="s">
        <v>219</v>
      </c>
      <c r="B98" s="8">
        <v>247000</v>
      </c>
    </row>
    <row r="99" spans="1:2" x14ac:dyDescent="0.3">
      <c r="A99" s="7" t="s">
        <v>139</v>
      </c>
      <c r="B99" s="8">
        <v>241200</v>
      </c>
    </row>
    <row r="100" spans="1:2" x14ac:dyDescent="0.3">
      <c r="A100" s="7" t="s">
        <v>237</v>
      </c>
      <c r="B100" s="8">
        <v>235900</v>
      </c>
    </row>
    <row r="101" spans="1:2" x14ac:dyDescent="0.3">
      <c r="A101" s="7" t="s">
        <v>217</v>
      </c>
      <c r="B101" s="8">
        <v>227100</v>
      </c>
    </row>
    <row r="102" spans="1:2" x14ac:dyDescent="0.3">
      <c r="A102" s="7" t="s">
        <v>116</v>
      </c>
      <c r="B102" s="8">
        <v>226700</v>
      </c>
    </row>
    <row r="103" spans="1:2" x14ac:dyDescent="0.3">
      <c r="A103" s="7" t="s">
        <v>59</v>
      </c>
      <c r="B103" s="8">
        <v>194200</v>
      </c>
    </row>
    <row r="104" spans="1:2" x14ac:dyDescent="0.3">
      <c r="A104" s="7" t="s">
        <v>108</v>
      </c>
      <c r="B104" s="8">
        <v>188700</v>
      </c>
    </row>
    <row r="105" spans="1:2" x14ac:dyDescent="0.3">
      <c r="A105" s="7" t="s">
        <v>196</v>
      </c>
      <c r="B105" s="8">
        <v>187300</v>
      </c>
    </row>
    <row r="106" spans="1:2" x14ac:dyDescent="0.3">
      <c r="A106" s="7" t="s">
        <v>55</v>
      </c>
      <c r="B106" s="8">
        <v>185000</v>
      </c>
    </row>
    <row r="107" spans="1:2" x14ac:dyDescent="0.3">
      <c r="A107" s="7" t="s">
        <v>215</v>
      </c>
      <c r="B107" s="8">
        <v>167200</v>
      </c>
    </row>
    <row r="108" spans="1:2" x14ac:dyDescent="0.3">
      <c r="A108" s="7" t="s">
        <v>203</v>
      </c>
      <c r="B108" s="8">
        <v>164100</v>
      </c>
    </row>
    <row r="109" spans="1:2" x14ac:dyDescent="0.3">
      <c r="A109" s="7" t="s">
        <v>209</v>
      </c>
      <c r="B109" s="8">
        <v>161900</v>
      </c>
    </row>
    <row r="110" spans="1:2" x14ac:dyDescent="0.3">
      <c r="A110" s="7" t="s">
        <v>124</v>
      </c>
      <c r="B110" s="8">
        <v>158300</v>
      </c>
    </row>
    <row r="111" spans="1:2" x14ac:dyDescent="0.3">
      <c r="A111" s="7" t="s">
        <v>128</v>
      </c>
      <c r="B111" s="8">
        <v>156800</v>
      </c>
    </row>
    <row r="112" spans="1:2" x14ac:dyDescent="0.3">
      <c r="A112" s="7" t="s">
        <v>221</v>
      </c>
      <c r="B112" s="8">
        <v>156100</v>
      </c>
    </row>
    <row r="113" spans="1:2" x14ac:dyDescent="0.3">
      <c r="A113" s="7" t="s">
        <v>190</v>
      </c>
      <c r="B113" s="8">
        <v>153800</v>
      </c>
    </row>
    <row r="114" spans="1:2" x14ac:dyDescent="0.3">
      <c r="A114" s="7" t="s">
        <v>182</v>
      </c>
      <c r="B114" s="8">
        <v>146800</v>
      </c>
    </row>
    <row r="115" spans="1:2" x14ac:dyDescent="0.3">
      <c r="A115" s="7" t="s">
        <v>239</v>
      </c>
      <c r="B115" s="8">
        <v>125600</v>
      </c>
    </row>
    <row r="116" spans="1:2" x14ac:dyDescent="0.3">
      <c r="A116" s="7" t="s">
        <v>231</v>
      </c>
      <c r="B116" s="8">
        <v>113100</v>
      </c>
    </row>
    <row r="117" spans="1:2" x14ac:dyDescent="0.3">
      <c r="A117" s="7" t="s">
        <v>225</v>
      </c>
      <c r="B117" s="8">
        <v>106800</v>
      </c>
    </row>
    <row r="118" spans="1:2" x14ac:dyDescent="0.3">
      <c r="A118" s="7" t="s">
        <v>229</v>
      </c>
      <c r="B118" s="8">
        <v>104500</v>
      </c>
    </row>
    <row r="119" spans="1:2" x14ac:dyDescent="0.3">
      <c r="A119" s="7" t="s">
        <v>235</v>
      </c>
      <c r="B119" s="8">
        <v>84900</v>
      </c>
    </row>
    <row r="120" spans="1:2" x14ac:dyDescent="0.3">
      <c r="A120" s="7" t="s">
        <v>233</v>
      </c>
      <c r="B120" s="8">
        <v>82800</v>
      </c>
    </row>
    <row r="121" spans="1:2" x14ac:dyDescent="0.3">
      <c r="A121" s="7" t="s">
        <v>166</v>
      </c>
      <c r="B121" s="8">
        <v>57500</v>
      </c>
    </row>
    <row r="122" spans="1:2" x14ac:dyDescent="0.3">
      <c r="A122" s="7" t="s">
        <v>243</v>
      </c>
      <c r="B122" s="8">
        <v>25800</v>
      </c>
    </row>
    <row r="123" spans="1:2" x14ac:dyDescent="0.3">
      <c r="A123" s="7" t="s">
        <v>245</v>
      </c>
      <c r="B123" s="8">
        <v>15100</v>
      </c>
    </row>
    <row r="124" spans="1:2" x14ac:dyDescent="0.3">
      <c r="A124" s="7" t="s">
        <v>241</v>
      </c>
      <c r="B124" s="8">
        <v>9600</v>
      </c>
    </row>
    <row r="125" spans="1:2" x14ac:dyDescent="0.3">
      <c r="A125" s="7" t="s">
        <v>260</v>
      </c>
      <c r="B125" s="8">
        <v>25913700</v>
      </c>
    </row>
    <row r="133" spans="1:4" x14ac:dyDescent="0.3">
      <c r="A133" s="6" t="s">
        <v>259</v>
      </c>
      <c r="B133" t="s">
        <v>263</v>
      </c>
      <c r="C133" t="s">
        <v>261</v>
      </c>
      <c r="D133" t="s">
        <v>257</v>
      </c>
    </row>
    <row r="134" spans="1:4" x14ac:dyDescent="0.3">
      <c r="A134" s="7" t="s">
        <v>92</v>
      </c>
      <c r="B134" s="8">
        <v>48</v>
      </c>
      <c r="C134" s="8">
        <v>655100</v>
      </c>
      <c r="D134" s="4">
        <f>C134/B134</f>
        <v>13647.916666666666</v>
      </c>
    </row>
    <row r="135" spans="1:4" x14ac:dyDescent="0.3">
      <c r="A135" s="7" t="s">
        <v>134</v>
      </c>
      <c r="B135" s="8">
        <v>44</v>
      </c>
      <c r="C135" s="8">
        <v>697900</v>
      </c>
      <c r="D135" s="4">
        <f t="shared" ref="D135:D198" si="1">C135/B135</f>
        <v>15861.363636363636</v>
      </c>
    </row>
    <row r="136" spans="1:4" x14ac:dyDescent="0.3">
      <c r="A136" s="7" t="s">
        <v>106</v>
      </c>
      <c r="B136" s="8">
        <v>43</v>
      </c>
      <c r="C136" s="8">
        <v>701900</v>
      </c>
      <c r="D136" s="4">
        <f t="shared" si="1"/>
        <v>16323.255813953489</v>
      </c>
    </row>
    <row r="137" spans="1:4" x14ac:dyDescent="0.3">
      <c r="A137" s="7" t="s">
        <v>147</v>
      </c>
      <c r="B137" s="8">
        <v>42</v>
      </c>
      <c r="C137" s="8">
        <v>709800</v>
      </c>
      <c r="D137" s="4">
        <f t="shared" si="1"/>
        <v>16900</v>
      </c>
    </row>
    <row r="138" spans="1:4" x14ac:dyDescent="0.3">
      <c r="A138" s="7" t="s">
        <v>51</v>
      </c>
      <c r="B138" s="8">
        <v>41</v>
      </c>
      <c r="C138" s="8">
        <v>1194100</v>
      </c>
      <c r="D138" s="4">
        <f t="shared" si="1"/>
        <v>29124.390243902439</v>
      </c>
    </row>
    <row r="139" spans="1:4" x14ac:dyDescent="0.3">
      <c r="A139" s="7" t="s">
        <v>44</v>
      </c>
      <c r="B139" s="8">
        <v>33</v>
      </c>
      <c r="C139" s="8">
        <v>849900</v>
      </c>
      <c r="D139" s="4">
        <f t="shared" si="1"/>
        <v>25754.545454545456</v>
      </c>
    </row>
    <row r="140" spans="1:4" x14ac:dyDescent="0.3">
      <c r="A140" s="7" t="s">
        <v>118</v>
      </c>
      <c r="B140" s="8">
        <v>31</v>
      </c>
      <c r="C140" s="8">
        <v>472100</v>
      </c>
      <c r="D140" s="4">
        <f t="shared" si="1"/>
        <v>15229.032258064517</v>
      </c>
    </row>
    <row r="141" spans="1:4" x14ac:dyDescent="0.3">
      <c r="A141" s="7" t="s">
        <v>13</v>
      </c>
      <c r="B141" s="8">
        <v>28</v>
      </c>
      <c r="C141" s="8">
        <v>891400</v>
      </c>
      <c r="D141" s="4">
        <f t="shared" si="1"/>
        <v>31835.714285714286</v>
      </c>
    </row>
    <row r="142" spans="1:4" x14ac:dyDescent="0.3">
      <c r="A142" s="7" t="s">
        <v>73</v>
      </c>
      <c r="B142" s="8">
        <v>27</v>
      </c>
      <c r="C142" s="8">
        <v>641500</v>
      </c>
      <c r="D142" s="4">
        <f t="shared" si="1"/>
        <v>23759.259259259259</v>
      </c>
    </row>
    <row r="143" spans="1:4" x14ac:dyDescent="0.3">
      <c r="A143" s="7" t="s">
        <v>149</v>
      </c>
      <c r="B143" s="8">
        <v>25</v>
      </c>
      <c r="C143" s="8">
        <v>819000</v>
      </c>
      <c r="D143" s="4">
        <f t="shared" si="1"/>
        <v>32760</v>
      </c>
    </row>
    <row r="144" spans="1:4" x14ac:dyDescent="0.3">
      <c r="A144" s="7" t="s">
        <v>94</v>
      </c>
      <c r="B144" s="8">
        <v>23</v>
      </c>
      <c r="C144" s="8">
        <v>336100</v>
      </c>
      <c r="D144" s="4">
        <f t="shared" si="1"/>
        <v>14613.04347826087</v>
      </c>
    </row>
    <row r="145" spans="1:4" x14ac:dyDescent="0.3">
      <c r="A145" s="7" t="s">
        <v>83</v>
      </c>
      <c r="B145" s="8">
        <v>23</v>
      </c>
      <c r="C145" s="8">
        <v>318900</v>
      </c>
      <c r="D145" s="4">
        <f t="shared" si="1"/>
        <v>13865.217391304348</v>
      </c>
    </row>
    <row r="146" spans="1:4" x14ac:dyDescent="0.3">
      <c r="A146" s="7" t="s">
        <v>86</v>
      </c>
      <c r="B146" s="8">
        <v>23</v>
      </c>
      <c r="C146" s="8">
        <v>792500</v>
      </c>
      <c r="D146" s="4">
        <f t="shared" si="1"/>
        <v>34456.521739130432</v>
      </c>
    </row>
    <row r="147" spans="1:4" x14ac:dyDescent="0.3">
      <c r="A147" s="7" t="s">
        <v>20</v>
      </c>
      <c r="B147" s="8">
        <v>23</v>
      </c>
      <c r="C147" s="8">
        <v>485700</v>
      </c>
      <c r="D147" s="4">
        <f t="shared" si="1"/>
        <v>21117.391304347828</v>
      </c>
    </row>
    <row r="148" spans="1:4" x14ac:dyDescent="0.3">
      <c r="A148" s="7" t="s">
        <v>32</v>
      </c>
      <c r="B148" s="8">
        <v>22</v>
      </c>
      <c r="C148" s="8">
        <v>372300</v>
      </c>
      <c r="D148" s="4">
        <f t="shared" si="1"/>
        <v>16922.727272727272</v>
      </c>
    </row>
    <row r="149" spans="1:4" x14ac:dyDescent="0.3">
      <c r="A149" s="7" t="s">
        <v>184</v>
      </c>
      <c r="B149" s="8">
        <v>21</v>
      </c>
      <c r="C149" s="8">
        <v>382900</v>
      </c>
      <c r="D149" s="4">
        <f t="shared" si="1"/>
        <v>18233.333333333332</v>
      </c>
    </row>
    <row r="150" spans="1:4" x14ac:dyDescent="0.3">
      <c r="A150" s="7" t="s">
        <v>108</v>
      </c>
      <c r="B150" s="8">
        <v>21</v>
      </c>
      <c r="C150" s="8">
        <v>188700</v>
      </c>
      <c r="D150" s="4">
        <f t="shared" si="1"/>
        <v>8985.7142857142862</v>
      </c>
    </row>
    <row r="151" spans="1:4" x14ac:dyDescent="0.3">
      <c r="A151" s="7" t="s">
        <v>88</v>
      </c>
      <c r="B151" s="8">
        <v>21</v>
      </c>
      <c r="C151" s="8">
        <v>363500</v>
      </c>
      <c r="D151" s="4">
        <f t="shared" si="1"/>
        <v>17309.523809523809</v>
      </c>
    </row>
    <row r="152" spans="1:4" x14ac:dyDescent="0.3">
      <c r="A152" s="7" t="s">
        <v>194</v>
      </c>
      <c r="B152" s="8">
        <v>19</v>
      </c>
      <c r="C152" s="8">
        <v>251600</v>
      </c>
      <c r="D152" s="4">
        <f t="shared" si="1"/>
        <v>13242.105263157895</v>
      </c>
    </row>
    <row r="153" spans="1:4" x14ac:dyDescent="0.3">
      <c r="A153" s="7" t="s">
        <v>59</v>
      </c>
      <c r="B153" s="8">
        <v>19</v>
      </c>
      <c r="C153" s="8">
        <v>194200</v>
      </c>
      <c r="D153" s="4">
        <f t="shared" si="1"/>
        <v>10221.052631578947</v>
      </c>
    </row>
    <row r="154" spans="1:4" x14ac:dyDescent="0.3">
      <c r="A154" s="7" t="s">
        <v>39</v>
      </c>
      <c r="B154" s="8">
        <v>18</v>
      </c>
      <c r="C154" s="8">
        <v>282600</v>
      </c>
      <c r="D154" s="4">
        <f t="shared" si="1"/>
        <v>15700</v>
      </c>
    </row>
    <row r="155" spans="1:4" x14ac:dyDescent="0.3">
      <c r="A155" s="7" t="s">
        <v>116</v>
      </c>
      <c r="B155" s="8">
        <v>18</v>
      </c>
      <c r="C155" s="8">
        <v>226700</v>
      </c>
      <c r="D155" s="4">
        <f t="shared" si="1"/>
        <v>12594.444444444445</v>
      </c>
    </row>
    <row r="156" spans="1:4" x14ac:dyDescent="0.3">
      <c r="A156" s="7" t="s">
        <v>101</v>
      </c>
      <c r="B156" s="8">
        <v>18</v>
      </c>
      <c r="C156" s="8">
        <v>482700</v>
      </c>
      <c r="D156" s="4">
        <f t="shared" si="1"/>
        <v>26816.666666666668</v>
      </c>
    </row>
    <row r="157" spans="1:4" x14ac:dyDescent="0.3">
      <c r="A157" s="7" t="s">
        <v>136</v>
      </c>
      <c r="B157" s="8">
        <v>17</v>
      </c>
      <c r="C157" s="8">
        <v>597700</v>
      </c>
      <c r="D157" s="4">
        <f t="shared" si="1"/>
        <v>35158.823529411762</v>
      </c>
    </row>
    <row r="158" spans="1:4" x14ac:dyDescent="0.3">
      <c r="A158" s="7" t="s">
        <v>176</v>
      </c>
      <c r="B158" s="8">
        <v>17</v>
      </c>
      <c r="C158" s="8">
        <v>296100</v>
      </c>
      <c r="D158" s="4">
        <f t="shared" si="1"/>
        <v>17417.647058823528</v>
      </c>
    </row>
    <row r="159" spans="1:4" x14ac:dyDescent="0.3">
      <c r="A159" s="7" t="s">
        <v>139</v>
      </c>
      <c r="B159" s="8">
        <v>16</v>
      </c>
      <c r="C159" s="8">
        <v>241200</v>
      </c>
      <c r="D159" s="4">
        <f t="shared" si="1"/>
        <v>15075</v>
      </c>
    </row>
    <row r="160" spans="1:4" x14ac:dyDescent="0.3">
      <c r="A160" s="7" t="s">
        <v>124</v>
      </c>
      <c r="B160" s="8">
        <v>16</v>
      </c>
      <c r="C160" s="8">
        <v>158300</v>
      </c>
      <c r="D160" s="4">
        <f t="shared" si="1"/>
        <v>9893.75</v>
      </c>
    </row>
    <row r="161" spans="1:4" x14ac:dyDescent="0.3">
      <c r="A161" s="7" t="s">
        <v>128</v>
      </c>
      <c r="B161" s="8">
        <v>16</v>
      </c>
      <c r="C161" s="8">
        <v>156800</v>
      </c>
      <c r="D161" s="4">
        <f t="shared" si="1"/>
        <v>9800</v>
      </c>
    </row>
    <row r="162" spans="1:4" x14ac:dyDescent="0.3">
      <c r="A162" s="7" t="s">
        <v>198</v>
      </c>
      <c r="B162" s="8">
        <v>16</v>
      </c>
      <c r="C162" s="8">
        <v>469900</v>
      </c>
      <c r="D162" s="4">
        <f t="shared" si="1"/>
        <v>29368.75</v>
      </c>
    </row>
    <row r="163" spans="1:4" x14ac:dyDescent="0.3">
      <c r="A163" s="7" t="s">
        <v>81</v>
      </c>
      <c r="B163" s="8">
        <v>16</v>
      </c>
      <c r="C163" s="8">
        <v>414900</v>
      </c>
      <c r="D163" s="4">
        <f t="shared" si="1"/>
        <v>25931.25</v>
      </c>
    </row>
    <row r="164" spans="1:4" x14ac:dyDescent="0.3">
      <c r="A164" s="7" t="s">
        <v>221</v>
      </c>
      <c r="B164" s="8">
        <v>15</v>
      </c>
      <c r="C164" s="8">
        <v>156100</v>
      </c>
      <c r="D164" s="4">
        <f t="shared" si="1"/>
        <v>10406.666666666666</v>
      </c>
    </row>
    <row r="165" spans="1:4" x14ac:dyDescent="0.3">
      <c r="A165" s="7" t="s">
        <v>120</v>
      </c>
      <c r="B165" s="8">
        <v>15</v>
      </c>
      <c r="C165" s="8">
        <v>527700</v>
      </c>
      <c r="D165" s="4">
        <f t="shared" si="1"/>
        <v>35180</v>
      </c>
    </row>
    <row r="166" spans="1:4" x14ac:dyDescent="0.3">
      <c r="A166" s="7" t="s">
        <v>26</v>
      </c>
      <c r="B166" s="8">
        <v>15</v>
      </c>
      <c r="C166" s="8">
        <v>335600</v>
      </c>
      <c r="D166" s="4">
        <f t="shared" si="1"/>
        <v>22373.333333333332</v>
      </c>
    </row>
    <row r="167" spans="1:4" x14ac:dyDescent="0.3">
      <c r="A167" s="7" t="s">
        <v>174</v>
      </c>
      <c r="B167" s="8">
        <v>15</v>
      </c>
      <c r="C167" s="8">
        <v>280300</v>
      </c>
      <c r="D167" s="4">
        <f t="shared" si="1"/>
        <v>18686.666666666668</v>
      </c>
    </row>
    <row r="168" spans="1:4" x14ac:dyDescent="0.3">
      <c r="A168" s="7" t="s">
        <v>211</v>
      </c>
      <c r="B168" s="8">
        <v>14</v>
      </c>
      <c r="C168" s="8">
        <v>725200</v>
      </c>
      <c r="D168" s="4">
        <f t="shared" si="1"/>
        <v>51800</v>
      </c>
    </row>
    <row r="169" spans="1:4" x14ac:dyDescent="0.3">
      <c r="A169" s="7" t="s">
        <v>157</v>
      </c>
      <c r="B169" s="8">
        <v>14</v>
      </c>
      <c r="C169" s="8">
        <v>368700</v>
      </c>
      <c r="D169" s="4">
        <f t="shared" si="1"/>
        <v>26335.714285714286</v>
      </c>
    </row>
    <row r="170" spans="1:4" x14ac:dyDescent="0.3">
      <c r="A170" s="7" t="s">
        <v>192</v>
      </c>
      <c r="B170" s="8">
        <v>14</v>
      </c>
      <c r="C170" s="8">
        <v>279800</v>
      </c>
      <c r="D170" s="4">
        <f t="shared" si="1"/>
        <v>19985.714285714286</v>
      </c>
    </row>
    <row r="171" spans="1:4" x14ac:dyDescent="0.3">
      <c r="A171" s="7" t="s">
        <v>68</v>
      </c>
      <c r="B171" s="8">
        <v>13</v>
      </c>
      <c r="C171" s="8">
        <v>298900</v>
      </c>
      <c r="D171" s="4">
        <f t="shared" si="1"/>
        <v>22992.307692307691</v>
      </c>
    </row>
    <row r="172" spans="1:4" x14ac:dyDescent="0.3">
      <c r="A172" s="7" t="s">
        <v>170</v>
      </c>
      <c r="B172" s="8">
        <v>13</v>
      </c>
      <c r="C172" s="8">
        <v>296200</v>
      </c>
      <c r="D172" s="4">
        <f t="shared" si="1"/>
        <v>22784.615384615383</v>
      </c>
    </row>
    <row r="173" spans="1:4" x14ac:dyDescent="0.3">
      <c r="A173" s="7" t="s">
        <v>182</v>
      </c>
      <c r="B173" s="8">
        <v>13</v>
      </c>
      <c r="C173" s="8">
        <v>146800</v>
      </c>
      <c r="D173" s="4">
        <f t="shared" si="1"/>
        <v>11292.307692307691</v>
      </c>
    </row>
    <row r="174" spans="1:4" x14ac:dyDescent="0.3">
      <c r="A174" s="7" t="s">
        <v>172</v>
      </c>
      <c r="B174" s="8">
        <v>12</v>
      </c>
      <c r="C174" s="8">
        <v>378200</v>
      </c>
      <c r="D174" s="4">
        <f t="shared" si="1"/>
        <v>31516.666666666668</v>
      </c>
    </row>
    <row r="175" spans="1:4" x14ac:dyDescent="0.3">
      <c r="A175" s="7" t="s">
        <v>237</v>
      </c>
      <c r="B175" s="8">
        <v>12</v>
      </c>
      <c r="C175" s="8">
        <v>235900</v>
      </c>
      <c r="D175" s="4">
        <f t="shared" si="1"/>
        <v>19658.333333333332</v>
      </c>
    </row>
    <row r="176" spans="1:4" x14ac:dyDescent="0.3">
      <c r="A176" s="7" t="s">
        <v>143</v>
      </c>
      <c r="B176" s="8">
        <v>12</v>
      </c>
      <c r="C176" s="8">
        <v>620900</v>
      </c>
      <c r="D176" s="4">
        <f t="shared" si="1"/>
        <v>51741.666666666664</v>
      </c>
    </row>
    <row r="177" spans="1:4" x14ac:dyDescent="0.3">
      <c r="A177" s="7" t="s">
        <v>186</v>
      </c>
      <c r="B177" s="8">
        <v>12</v>
      </c>
      <c r="C177" s="8">
        <v>330500</v>
      </c>
      <c r="D177" s="4">
        <f t="shared" si="1"/>
        <v>27541.666666666668</v>
      </c>
    </row>
    <row r="178" spans="1:4" x14ac:dyDescent="0.3">
      <c r="A178" s="7" t="s">
        <v>63</v>
      </c>
      <c r="B178" s="8">
        <v>12</v>
      </c>
      <c r="C178" s="8">
        <v>273100</v>
      </c>
      <c r="D178" s="4">
        <f t="shared" si="1"/>
        <v>22758.333333333332</v>
      </c>
    </row>
    <row r="179" spans="1:4" x14ac:dyDescent="0.3">
      <c r="A179" s="7" t="s">
        <v>223</v>
      </c>
      <c r="B179" s="8">
        <v>12</v>
      </c>
      <c r="C179" s="8">
        <v>323700</v>
      </c>
      <c r="D179" s="4">
        <f t="shared" si="1"/>
        <v>26975</v>
      </c>
    </row>
    <row r="180" spans="1:4" x14ac:dyDescent="0.3">
      <c r="A180" s="7" t="s">
        <v>213</v>
      </c>
      <c r="B180" s="8">
        <v>12</v>
      </c>
      <c r="C180" s="8">
        <v>282700</v>
      </c>
      <c r="D180" s="4">
        <f t="shared" si="1"/>
        <v>23558.333333333332</v>
      </c>
    </row>
    <row r="181" spans="1:4" x14ac:dyDescent="0.3">
      <c r="A181" s="7" t="s">
        <v>225</v>
      </c>
      <c r="B181" s="8">
        <v>12</v>
      </c>
      <c r="C181" s="8">
        <v>106800</v>
      </c>
      <c r="D181" s="4">
        <f t="shared" si="1"/>
        <v>8900</v>
      </c>
    </row>
    <row r="182" spans="1:4" x14ac:dyDescent="0.3">
      <c r="A182" s="7" t="s">
        <v>207</v>
      </c>
      <c r="B182" s="8">
        <v>12</v>
      </c>
      <c r="C182" s="8">
        <v>338900</v>
      </c>
      <c r="D182" s="4">
        <f t="shared" si="1"/>
        <v>28241.666666666668</v>
      </c>
    </row>
    <row r="183" spans="1:4" x14ac:dyDescent="0.3">
      <c r="A183" s="7" t="s">
        <v>205</v>
      </c>
      <c r="B183" s="8">
        <v>12</v>
      </c>
      <c r="C183" s="8">
        <v>303400</v>
      </c>
      <c r="D183" s="4">
        <f t="shared" si="1"/>
        <v>25283.333333333332</v>
      </c>
    </row>
    <row r="184" spans="1:4" x14ac:dyDescent="0.3">
      <c r="A184" s="7" t="s">
        <v>190</v>
      </c>
      <c r="B184" s="8">
        <v>12</v>
      </c>
      <c r="C184" s="8">
        <v>153800</v>
      </c>
      <c r="D184" s="4">
        <f t="shared" si="1"/>
        <v>12816.666666666666</v>
      </c>
    </row>
    <row r="185" spans="1:4" x14ac:dyDescent="0.3">
      <c r="A185" s="7" t="s">
        <v>203</v>
      </c>
      <c r="B185" s="8">
        <v>11</v>
      </c>
      <c r="C185" s="8">
        <v>164100</v>
      </c>
      <c r="D185" s="4">
        <f t="shared" si="1"/>
        <v>14918.181818181818</v>
      </c>
    </row>
    <row r="186" spans="1:4" x14ac:dyDescent="0.3">
      <c r="A186" s="7" t="s">
        <v>78</v>
      </c>
      <c r="B186" s="8">
        <v>11</v>
      </c>
      <c r="C186" s="8">
        <v>264800</v>
      </c>
      <c r="D186" s="4">
        <f t="shared" si="1"/>
        <v>24072.727272727272</v>
      </c>
    </row>
    <row r="187" spans="1:4" x14ac:dyDescent="0.3">
      <c r="A187" s="7" t="s">
        <v>155</v>
      </c>
      <c r="B187" s="8">
        <v>11</v>
      </c>
      <c r="C187" s="8">
        <v>315700</v>
      </c>
      <c r="D187" s="4">
        <f t="shared" si="1"/>
        <v>28700</v>
      </c>
    </row>
    <row r="188" spans="1:4" x14ac:dyDescent="0.3">
      <c r="A188" s="7" t="s">
        <v>209</v>
      </c>
      <c r="B188" s="8">
        <v>11</v>
      </c>
      <c r="C188" s="8">
        <v>161900</v>
      </c>
      <c r="D188" s="4">
        <f t="shared" si="1"/>
        <v>14718.181818181818</v>
      </c>
    </row>
    <row r="189" spans="1:4" x14ac:dyDescent="0.3">
      <c r="A189" s="7" t="s">
        <v>215</v>
      </c>
      <c r="B189" s="8">
        <v>10</v>
      </c>
      <c r="C189" s="8">
        <v>167200</v>
      </c>
      <c r="D189" s="4">
        <f t="shared" si="1"/>
        <v>16720</v>
      </c>
    </row>
    <row r="190" spans="1:4" x14ac:dyDescent="0.3">
      <c r="A190" s="7" t="s">
        <v>162</v>
      </c>
      <c r="B190" s="8">
        <v>9</v>
      </c>
      <c r="C190" s="8">
        <v>282000</v>
      </c>
      <c r="D190" s="4">
        <f t="shared" si="1"/>
        <v>31333.333333333332</v>
      </c>
    </row>
    <row r="191" spans="1:4" x14ac:dyDescent="0.3">
      <c r="A191" s="7" t="s">
        <v>217</v>
      </c>
      <c r="B191" s="8">
        <v>9</v>
      </c>
      <c r="C191" s="8">
        <v>227100</v>
      </c>
      <c r="D191" s="4">
        <f t="shared" si="1"/>
        <v>25233.333333333332</v>
      </c>
    </row>
    <row r="192" spans="1:4" x14ac:dyDescent="0.3">
      <c r="A192" s="7" t="s">
        <v>200</v>
      </c>
      <c r="B192" s="8">
        <v>9</v>
      </c>
      <c r="C192" s="8">
        <v>535300</v>
      </c>
      <c r="D192" s="4">
        <f t="shared" si="1"/>
        <v>59477.777777777781</v>
      </c>
    </row>
    <row r="193" spans="1:4" x14ac:dyDescent="0.3">
      <c r="A193" s="7" t="s">
        <v>227</v>
      </c>
      <c r="B193" s="8">
        <v>9</v>
      </c>
      <c r="C193" s="8">
        <v>327100</v>
      </c>
      <c r="D193" s="4">
        <f t="shared" si="1"/>
        <v>36344.444444444445</v>
      </c>
    </row>
    <row r="194" spans="1:4" x14ac:dyDescent="0.3">
      <c r="A194" s="7" t="s">
        <v>219</v>
      </c>
      <c r="B194" s="8">
        <v>8</v>
      </c>
      <c r="C194" s="8">
        <v>247000</v>
      </c>
      <c r="D194" s="4">
        <f t="shared" si="1"/>
        <v>30875</v>
      </c>
    </row>
    <row r="195" spans="1:4" x14ac:dyDescent="0.3">
      <c r="A195" s="7" t="s">
        <v>159</v>
      </c>
      <c r="B195" s="8">
        <v>8</v>
      </c>
      <c r="C195" s="8">
        <v>265000</v>
      </c>
      <c r="D195" s="4">
        <f t="shared" si="1"/>
        <v>33125</v>
      </c>
    </row>
    <row r="196" spans="1:4" x14ac:dyDescent="0.3">
      <c r="A196" s="7" t="s">
        <v>239</v>
      </c>
      <c r="B196" s="8">
        <v>8</v>
      </c>
      <c r="C196" s="8">
        <v>125600</v>
      </c>
      <c r="D196" s="4">
        <f t="shared" si="1"/>
        <v>15700</v>
      </c>
    </row>
    <row r="197" spans="1:4" x14ac:dyDescent="0.3">
      <c r="A197" s="7" t="s">
        <v>196</v>
      </c>
      <c r="B197" s="8">
        <v>8</v>
      </c>
      <c r="C197" s="8">
        <v>187300</v>
      </c>
      <c r="D197" s="4">
        <f t="shared" si="1"/>
        <v>23412.5</v>
      </c>
    </row>
    <row r="198" spans="1:4" x14ac:dyDescent="0.3">
      <c r="A198" s="7" t="s">
        <v>151</v>
      </c>
      <c r="B198" s="8">
        <v>8</v>
      </c>
      <c r="C198" s="8">
        <v>302800</v>
      </c>
      <c r="D198" s="4">
        <f t="shared" si="1"/>
        <v>37850</v>
      </c>
    </row>
    <row r="199" spans="1:4" x14ac:dyDescent="0.3">
      <c r="A199" s="7" t="s">
        <v>112</v>
      </c>
      <c r="B199" s="8">
        <v>7</v>
      </c>
      <c r="C199" s="8">
        <v>253300</v>
      </c>
      <c r="D199" s="4">
        <f t="shared" ref="D199:D208" si="2">C199/B199</f>
        <v>36185.714285714283</v>
      </c>
    </row>
    <row r="200" spans="1:4" x14ac:dyDescent="0.3">
      <c r="A200" s="7" t="s">
        <v>233</v>
      </c>
      <c r="B200" s="8">
        <v>7</v>
      </c>
      <c r="C200" s="8">
        <v>82800</v>
      </c>
      <c r="D200" s="4">
        <f t="shared" si="2"/>
        <v>11828.571428571429</v>
      </c>
    </row>
    <row r="201" spans="1:4" x14ac:dyDescent="0.3">
      <c r="A201" s="7" t="s">
        <v>229</v>
      </c>
      <c r="B201" s="8">
        <v>6</v>
      </c>
      <c r="C201" s="8">
        <v>104500</v>
      </c>
      <c r="D201" s="4">
        <f t="shared" si="2"/>
        <v>17416.666666666668</v>
      </c>
    </row>
    <row r="202" spans="1:4" x14ac:dyDescent="0.3">
      <c r="A202" s="7" t="s">
        <v>166</v>
      </c>
      <c r="B202" s="8">
        <v>6</v>
      </c>
      <c r="C202" s="8">
        <v>57500</v>
      </c>
      <c r="D202" s="4">
        <f t="shared" si="2"/>
        <v>9583.3333333333339</v>
      </c>
    </row>
    <row r="203" spans="1:4" x14ac:dyDescent="0.3">
      <c r="A203" s="7" t="s">
        <v>55</v>
      </c>
      <c r="B203" s="8">
        <v>6</v>
      </c>
      <c r="C203" s="8">
        <v>185000</v>
      </c>
      <c r="D203" s="4">
        <f t="shared" si="2"/>
        <v>30833.333333333332</v>
      </c>
    </row>
    <row r="204" spans="1:4" x14ac:dyDescent="0.3">
      <c r="A204" s="7" t="s">
        <v>231</v>
      </c>
      <c r="B204" s="8">
        <v>6</v>
      </c>
      <c r="C204" s="8">
        <v>113100</v>
      </c>
      <c r="D204" s="4">
        <f t="shared" si="2"/>
        <v>18850</v>
      </c>
    </row>
    <row r="205" spans="1:4" x14ac:dyDescent="0.3">
      <c r="A205" s="7" t="s">
        <v>245</v>
      </c>
      <c r="B205" s="8">
        <v>5</v>
      </c>
      <c r="C205" s="8">
        <v>15100</v>
      </c>
      <c r="D205" s="4">
        <f t="shared" si="2"/>
        <v>3020</v>
      </c>
    </row>
    <row r="206" spans="1:4" x14ac:dyDescent="0.3">
      <c r="A206" s="7" t="s">
        <v>235</v>
      </c>
      <c r="B206" s="8">
        <v>5</v>
      </c>
      <c r="C206" s="8">
        <v>84900</v>
      </c>
      <c r="D206" s="4">
        <f t="shared" si="2"/>
        <v>16980</v>
      </c>
    </row>
    <row r="207" spans="1:4" x14ac:dyDescent="0.3">
      <c r="A207" s="7" t="s">
        <v>243</v>
      </c>
      <c r="B207" s="8">
        <v>3</v>
      </c>
      <c r="C207" s="8">
        <v>25800</v>
      </c>
      <c r="D207" s="4">
        <f t="shared" si="2"/>
        <v>8600</v>
      </c>
    </row>
    <row r="208" spans="1:4" x14ac:dyDescent="0.3">
      <c r="A208" s="7" t="s">
        <v>241</v>
      </c>
      <c r="B208" s="8">
        <v>1</v>
      </c>
      <c r="C208" s="8">
        <v>9600</v>
      </c>
      <c r="D208" s="4">
        <f t="shared" si="2"/>
        <v>9600</v>
      </c>
    </row>
    <row r="209" spans="1:3" x14ac:dyDescent="0.3">
      <c r="A209" s="7" t="s">
        <v>260</v>
      </c>
      <c r="B209" s="8">
        <v>1200</v>
      </c>
      <c r="C209" s="8">
        <v>25913700</v>
      </c>
    </row>
    <row r="216" spans="1:3" x14ac:dyDescent="0.3">
      <c r="A216" s="6" t="s">
        <v>259</v>
      </c>
      <c r="B216" t="s">
        <v>261</v>
      </c>
      <c r="C216" t="s">
        <v>267</v>
      </c>
    </row>
    <row r="217" spans="1:3" x14ac:dyDescent="0.3">
      <c r="A217" s="7" t="s">
        <v>145</v>
      </c>
      <c r="B217" s="8">
        <v>5330000</v>
      </c>
      <c r="C217" s="8">
        <v>82</v>
      </c>
    </row>
    <row r="218" spans="1:3" x14ac:dyDescent="0.3">
      <c r="A218" s="7" t="s">
        <v>114</v>
      </c>
      <c r="B218" s="8">
        <v>4160000</v>
      </c>
      <c r="C218" s="8">
        <v>80</v>
      </c>
    </row>
    <row r="219" spans="1:3" x14ac:dyDescent="0.3">
      <c r="A219" s="7" t="s">
        <v>42</v>
      </c>
      <c r="B219" s="8">
        <v>3060000</v>
      </c>
      <c r="C219" s="8">
        <v>102</v>
      </c>
    </row>
    <row r="220" spans="1:3" x14ac:dyDescent="0.3">
      <c r="A220" s="7" t="s">
        <v>104</v>
      </c>
      <c r="B220" s="8">
        <v>2240000</v>
      </c>
      <c r="C220" s="8">
        <v>80</v>
      </c>
    </row>
    <row r="221" spans="1:3" x14ac:dyDescent="0.3">
      <c r="A221" s="7" t="s">
        <v>97</v>
      </c>
      <c r="B221" s="8">
        <v>1926000</v>
      </c>
      <c r="C221" s="8">
        <v>107</v>
      </c>
    </row>
    <row r="222" spans="1:3" x14ac:dyDescent="0.3">
      <c r="A222" s="7" t="s">
        <v>126</v>
      </c>
      <c r="B222" s="8">
        <v>1716000</v>
      </c>
      <c r="C222" s="8">
        <v>78</v>
      </c>
    </row>
    <row r="223" spans="1:3" x14ac:dyDescent="0.3">
      <c r="A223" s="7" t="s">
        <v>30</v>
      </c>
      <c r="B223" s="8">
        <v>1035000</v>
      </c>
      <c r="C223" s="8">
        <v>69</v>
      </c>
    </row>
    <row r="224" spans="1:3" x14ac:dyDescent="0.3">
      <c r="A224" s="7" t="s">
        <v>36</v>
      </c>
      <c r="B224" s="8">
        <v>888000</v>
      </c>
      <c r="C224" s="8">
        <v>74</v>
      </c>
    </row>
    <row r="225" spans="1:3" x14ac:dyDescent="0.3">
      <c r="A225" s="7" t="s">
        <v>17</v>
      </c>
      <c r="B225" s="8">
        <v>836000</v>
      </c>
      <c r="C225" s="8">
        <v>76</v>
      </c>
    </row>
    <row r="226" spans="1:3" x14ac:dyDescent="0.3">
      <c r="A226" s="7" t="s">
        <v>57</v>
      </c>
      <c r="B226" s="8">
        <v>540000</v>
      </c>
      <c r="C226" s="8">
        <v>60</v>
      </c>
    </row>
    <row r="227" spans="1:3" x14ac:dyDescent="0.3">
      <c r="A227" s="7" t="s">
        <v>132</v>
      </c>
      <c r="B227" s="8">
        <v>355500</v>
      </c>
      <c r="C227" s="8">
        <v>79</v>
      </c>
    </row>
    <row r="228" spans="1:3" x14ac:dyDescent="0.3">
      <c r="A228" s="7" t="s">
        <v>122</v>
      </c>
      <c r="B228" s="8">
        <v>326400</v>
      </c>
      <c r="C228" s="8">
        <v>68</v>
      </c>
    </row>
    <row r="229" spans="1:3" x14ac:dyDescent="0.3">
      <c r="A229" s="7" t="s">
        <v>180</v>
      </c>
      <c r="B229" s="8">
        <v>325000</v>
      </c>
      <c r="C229" s="8">
        <v>50</v>
      </c>
    </row>
    <row r="230" spans="1:3" x14ac:dyDescent="0.3">
      <c r="A230" s="7" t="s">
        <v>164</v>
      </c>
      <c r="B230" s="8">
        <v>315000</v>
      </c>
      <c r="C230" s="8">
        <v>75</v>
      </c>
    </row>
    <row r="231" spans="1:3" x14ac:dyDescent="0.3">
      <c r="A231" s="7" t="s">
        <v>110</v>
      </c>
      <c r="B231" s="8">
        <v>290000</v>
      </c>
      <c r="C231" s="8">
        <v>58</v>
      </c>
    </row>
    <row r="232" spans="1:3" x14ac:dyDescent="0.3">
      <c r="A232" s="7" t="s">
        <v>76</v>
      </c>
      <c r="B232" s="8">
        <v>279000</v>
      </c>
      <c r="C232" s="8">
        <v>93</v>
      </c>
    </row>
    <row r="233" spans="1:3" x14ac:dyDescent="0.3">
      <c r="A233" s="7" t="s">
        <v>188</v>
      </c>
      <c r="B233" s="8">
        <v>269500</v>
      </c>
      <c r="C233" s="8">
        <v>49</v>
      </c>
    </row>
    <row r="234" spans="1:3" x14ac:dyDescent="0.3">
      <c r="A234" s="7" t="s">
        <v>153</v>
      </c>
      <c r="B234" s="8">
        <v>230400</v>
      </c>
      <c r="C234" s="8">
        <v>72</v>
      </c>
    </row>
    <row r="235" spans="1:3" x14ac:dyDescent="0.3">
      <c r="A235" s="7" t="s">
        <v>168</v>
      </c>
      <c r="B235" s="8">
        <v>224200</v>
      </c>
      <c r="C235" s="8">
        <v>59</v>
      </c>
    </row>
    <row r="236" spans="1:3" x14ac:dyDescent="0.3">
      <c r="A236" s="7" t="s">
        <v>66</v>
      </c>
      <c r="B236" s="8">
        <v>201600</v>
      </c>
      <c r="C236" s="8">
        <v>84</v>
      </c>
    </row>
    <row r="237" spans="1:3" x14ac:dyDescent="0.3">
      <c r="A237" s="7" t="s">
        <v>178</v>
      </c>
      <c r="B237" s="8">
        <v>190000</v>
      </c>
      <c r="C237" s="8">
        <v>76</v>
      </c>
    </row>
    <row r="238" spans="1:3" x14ac:dyDescent="0.3">
      <c r="A238" s="7" t="s">
        <v>90</v>
      </c>
      <c r="B238" s="8">
        <v>189000</v>
      </c>
      <c r="C238" s="8">
        <v>45</v>
      </c>
    </row>
    <row r="239" spans="1:3" x14ac:dyDescent="0.3">
      <c r="A239" s="7" t="s">
        <v>53</v>
      </c>
      <c r="B239" s="8">
        <v>185500</v>
      </c>
      <c r="C239" s="8">
        <v>53</v>
      </c>
    </row>
    <row r="240" spans="1:3" x14ac:dyDescent="0.3">
      <c r="A240" s="7" t="s">
        <v>71</v>
      </c>
      <c r="B240" s="8">
        <v>154000</v>
      </c>
      <c r="C240" s="8">
        <v>70</v>
      </c>
    </row>
    <row r="241" spans="1:3" x14ac:dyDescent="0.3">
      <c r="A241" s="7" t="s">
        <v>61</v>
      </c>
      <c r="B241" s="8">
        <v>132000</v>
      </c>
      <c r="C241" s="8">
        <v>60</v>
      </c>
    </row>
    <row r="242" spans="1:3" x14ac:dyDescent="0.3">
      <c r="A242" s="7" t="s">
        <v>99</v>
      </c>
      <c r="B242" s="8">
        <v>120000</v>
      </c>
      <c r="C242" s="8">
        <v>60</v>
      </c>
    </row>
    <row r="243" spans="1:3" x14ac:dyDescent="0.3">
      <c r="A243" s="7" t="s">
        <v>141</v>
      </c>
      <c r="B243" s="8">
        <v>117000</v>
      </c>
      <c r="C243" s="8">
        <v>39</v>
      </c>
    </row>
    <row r="244" spans="1:3" x14ac:dyDescent="0.3">
      <c r="A244" s="7" t="s">
        <v>48</v>
      </c>
      <c r="B244" s="8">
        <v>116800</v>
      </c>
      <c r="C244" s="8">
        <v>73</v>
      </c>
    </row>
    <row r="245" spans="1:3" x14ac:dyDescent="0.3">
      <c r="A245" s="7" t="s">
        <v>130</v>
      </c>
      <c r="B245" s="8">
        <v>82600</v>
      </c>
      <c r="C245" s="8">
        <v>59</v>
      </c>
    </row>
    <row r="246" spans="1:3" x14ac:dyDescent="0.3">
      <c r="A246" s="7" t="s">
        <v>23</v>
      </c>
      <c r="B246" s="8">
        <v>79200</v>
      </c>
      <c r="C246" s="8">
        <v>33</v>
      </c>
    </row>
    <row r="247" spans="1:3" x14ac:dyDescent="0.3">
      <c r="A247" s="7" t="s">
        <v>260</v>
      </c>
      <c r="B247" s="8">
        <v>25913700</v>
      </c>
      <c r="C247" s="8">
        <v>2063</v>
      </c>
    </row>
    <row r="254" spans="1:3" x14ac:dyDescent="0.3">
      <c r="A254" s="6" t="s">
        <v>259</v>
      </c>
      <c r="B254" t="s">
        <v>267</v>
      </c>
      <c r="C254" t="s">
        <v>268</v>
      </c>
    </row>
    <row r="255" spans="1:3" x14ac:dyDescent="0.3">
      <c r="A255" s="7" t="s">
        <v>37</v>
      </c>
      <c r="B255" s="8">
        <v>828</v>
      </c>
      <c r="C255" s="9">
        <f>828/2063</f>
        <v>0.40135724672806594</v>
      </c>
    </row>
    <row r="256" spans="1:3" x14ac:dyDescent="0.3">
      <c r="A256" s="7" t="s">
        <v>49</v>
      </c>
      <c r="B256" s="8">
        <v>524</v>
      </c>
    </row>
    <row r="257" spans="1:4" x14ac:dyDescent="0.3">
      <c r="A257" s="7" t="s">
        <v>18</v>
      </c>
      <c r="B257" s="8">
        <v>457</v>
      </c>
    </row>
    <row r="258" spans="1:4" x14ac:dyDescent="0.3">
      <c r="A258" s="7" t="s">
        <v>24</v>
      </c>
      <c r="B258" s="8">
        <v>254</v>
      </c>
    </row>
    <row r="259" spans="1:4" x14ac:dyDescent="0.3">
      <c r="A259" s="7" t="s">
        <v>260</v>
      </c>
      <c r="B259" s="8">
        <v>2063</v>
      </c>
    </row>
    <row r="264" spans="1:4" x14ac:dyDescent="0.3">
      <c r="A264" s="6" t="s">
        <v>259</v>
      </c>
      <c r="B264" t="s">
        <v>263</v>
      </c>
      <c r="C264" t="s">
        <v>261</v>
      </c>
      <c r="D264" t="s">
        <v>257</v>
      </c>
    </row>
    <row r="265" spans="1:4" x14ac:dyDescent="0.3">
      <c r="A265" s="7" t="s">
        <v>24</v>
      </c>
      <c r="B265" s="8">
        <v>152</v>
      </c>
      <c r="C265" s="8">
        <v>736800</v>
      </c>
      <c r="D265" s="4">
        <f>C265/B265</f>
        <v>4847.3684210526317</v>
      </c>
    </row>
    <row r="266" spans="1:4" x14ac:dyDescent="0.3">
      <c r="A266" s="7" t="s">
        <v>49</v>
      </c>
      <c r="B266" s="8">
        <v>295</v>
      </c>
      <c r="C266" s="8">
        <v>1693400</v>
      </c>
      <c r="D266" s="4">
        <f t="shared" ref="D266:D268" si="3">C266/B266</f>
        <v>5740.3389830508477</v>
      </c>
    </row>
    <row r="267" spans="1:4" x14ac:dyDescent="0.3">
      <c r="A267" s="7" t="s">
        <v>37</v>
      </c>
      <c r="B267" s="8">
        <v>473</v>
      </c>
      <c r="C267" s="8">
        <v>20019500</v>
      </c>
      <c r="D267" s="4">
        <f t="shared" si="3"/>
        <v>42324.524312896407</v>
      </c>
    </row>
    <row r="268" spans="1:4" x14ac:dyDescent="0.3">
      <c r="A268" s="7" t="s">
        <v>18</v>
      </c>
      <c r="B268" s="8">
        <v>280</v>
      </c>
      <c r="C268" s="8">
        <v>3464000</v>
      </c>
      <c r="D268" s="4">
        <f t="shared" si="3"/>
        <v>12371.428571428571</v>
      </c>
    </row>
    <row r="269" spans="1:4" x14ac:dyDescent="0.3">
      <c r="A269" s="7" t="s">
        <v>260</v>
      </c>
      <c r="B269" s="8">
        <v>1200</v>
      </c>
      <c r="C269" s="8">
        <v>25913700</v>
      </c>
    </row>
    <row r="274" spans="1:4" x14ac:dyDescent="0.3">
      <c r="A274" s="6" t="s">
        <v>259</v>
      </c>
      <c r="B274" t="s">
        <v>261</v>
      </c>
      <c r="C274" t="s">
        <v>263</v>
      </c>
      <c r="D274" t="s">
        <v>257</v>
      </c>
    </row>
    <row r="275" spans="1:4" x14ac:dyDescent="0.3">
      <c r="A275" s="7" t="s">
        <v>51</v>
      </c>
      <c r="B275" s="8">
        <v>1194100</v>
      </c>
      <c r="C275" s="8">
        <v>41</v>
      </c>
      <c r="D275" s="4">
        <f>B275/C275</f>
        <v>29124.390243902439</v>
      </c>
    </row>
    <row r="276" spans="1:4" x14ac:dyDescent="0.3">
      <c r="A276" s="7" t="s">
        <v>13</v>
      </c>
      <c r="B276" s="8">
        <v>891400</v>
      </c>
      <c r="C276" s="8">
        <v>28</v>
      </c>
      <c r="D276" s="4">
        <f t="shared" ref="D276:D339" si="4">B276/C276</f>
        <v>31835.714285714286</v>
      </c>
    </row>
    <row r="277" spans="1:4" x14ac:dyDescent="0.3">
      <c r="A277" s="7" t="s">
        <v>44</v>
      </c>
      <c r="B277" s="8">
        <v>849900</v>
      </c>
      <c r="C277" s="8">
        <v>33</v>
      </c>
      <c r="D277" s="4">
        <f t="shared" si="4"/>
        <v>25754.545454545456</v>
      </c>
    </row>
    <row r="278" spans="1:4" x14ac:dyDescent="0.3">
      <c r="A278" s="7" t="s">
        <v>149</v>
      </c>
      <c r="B278" s="8">
        <v>819000</v>
      </c>
      <c r="C278" s="8">
        <v>25</v>
      </c>
      <c r="D278" s="4">
        <f t="shared" si="4"/>
        <v>32760</v>
      </c>
    </row>
    <row r="279" spans="1:4" x14ac:dyDescent="0.3">
      <c r="A279" s="7" t="s">
        <v>86</v>
      </c>
      <c r="B279" s="8">
        <v>792500</v>
      </c>
      <c r="C279" s="8">
        <v>23</v>
      </c>
      <c r="D279" s="4">
        <f t="shared" si="4"/>
        <v>34456.521739130432</v>
      </c>
    </row>
    <row r="280" spans="1:4" x14ac:dyDescent="0.3">
      <c r="A280" s="7" t="s">
        <v>211</v>
      </c>
      <c r="B280" s="8">
        <v>725200</v>
      </c>
      <c r="C280" s="8">
        <v>14</v>
      </c>
      <c r="D280" s="4">
        <f t="shared" si="4"/>
        <v>51800</v>
      </c>
    </row>
    <row r="281" spans="1:4" x14ac:dyDescent="0.3">
      <c r="A281" s="7" t="s">
        <v>147</v>
      </c>
      <c r="B281" s="8">
        <v>709800</v>
      </c>
      <c r="C281" s="8">
        <v>42</v>
      </c>
      <c r="D281" s="4">
        <f t="shared" si="4"/>
        <v>16900</v>
      </c>
    </row>
    <row r="282" spans="1:4" x14ac:dyDescent="0.3">
      <c r="A282" s="7" t="s">
        <v>106</v>
      </c>
      <c r="B282" s="8">
        <v>701900</v>
      </c>
      <c r="C282" s="8">
        <v>43</v>
      </c>
      <c r="D282" s="4">
        <f t="shared" si="4"/>
        <v>16323.255813953489</v>
      </c>
    </row>
    <row r="283" spans="1:4" x14ac:dyDescent="0.3">
      <c r="A283" s="7" t="s">
        <v>134</v>
      </c>
      <c r="B283" s="8">
        <v>697900</v>
      </c>
      <c r="C283" s="8">
        <v>44</v>
      </c>
      <c r="D283" s="4">
        <f t="shared" si="4"/>
        <v>15861.363636363636</v>
      </c>
    </row>
    <row r="284" spans="1:4" x14ac:dyDescent="0.3">
      <c r="A284" s="7" t="s">
        <v>92</v>
      </c>
      <c r="B284" s="8">
        <v>655100</v>
      </c>
      <c r="C284" s="8">
        <v>48</v>
      </c>
      <c r="D284" s="4">
        <f t="shared" si="4"/>
        <v>13647.916666666666</v>
      </c>
    </row>
    <row r="285" spans="1:4" x14ac:dyDescent="0.3">
      <c r="A285" s="7" t="s">
        <v>73</v>
      </c>
      <c r="B285" s="8">
        <v>641500</v>
      </c>
      <c r="C285" s="8">
        <v>27</v>
      </c>
      <c r="D285" s="4">
        <f t="shared" si="4"/>
        <v>23759.259259259259</v>
      </c>
    </row>
    <row r="286" spans="1:4" x14ac:dyDescent="0.3">
      <c r="A286" s="7" t="s">
        <v>143</v>
      </c>
      <c r="B286" s="8">
        <v>620900</v>
      </c>
      <c r="C286" s="8">
        <v>12</v>
      </c>
      <c r="D286" s="4">
        <f t="shared" si="4"/>
        <v>51741.666666666664</v>
      </c>
    </row>
    <row r="287" spans="1:4" x14ac:dyDescent="0.3">
      <c r="A287" s="7" t="s">
        <v>136</v>
      </c>
      <c r="B287" s="8">
        <v>597700</v>
      </c>
      <c r="C287" s="8">
        <v>17</v>
      </c>
      <c r="D287" s="4">
        <f t="shared" si="4"/>
        <v>35158.823529411762</v>
      </c>
    </row>
    <row r="288" spans="1:4" x14ac:dyDescent="0.3">
      <c r="A288" s="7" t="s">
        <v>200</v>
      </c>
      <c r="B288" s="8">
        <v>535300</v>
      </c>
      <c r="C288" s="8">
        <v>9</v>
      </c>
      <c r="D288" s="4">
        <f t="shared" si="4"/>
        <v>59477.777777777781</v>
      </c>
    </row>
    <row r="289" spans="1:4" x14ac:dyDescent="0.3">
      <c r="A289" s="7" t="s">
        <v>120</v>
      </c>
      <c r="B289" s="8">
        <v>527700</v>
      </c>
      <c r="C289" s="8">
        <v>15</v>
      </c>
      <c r="D289" s="4">
        <f t="shared" si="4"/>
        <v>35180</v>
      </c>
    </row>
    <row r="290" spans="1:4" x14ac:dyDescent="0.3">
      <c r="A290" s="7" t="s">
        <v>20</v>
      </c>
      <c r="B290" s="8">
        <v>485700</v>
      </c>
      <c r="C290" s="8">
        <v>23</v>
      </c>
      <c r="D290" s="4">
        <f t="shared" si="4"/>
        <v>21117.391304347828</v>
      </c>
    </row>
    <row r="291" spans="1:4" x14ac:dyDescent="0.3">
      <c r="A291" s="7" t="s">
        <v>101</v>
      </c>
      <c r="B291" s="8">
        <v>482700</v>
      </c>
      <c r="C291" s="8">
        <v>18</v>
      </c>
      <c r="D291" s="4">
        <f t="shared" si="4"/>
        <v>26816.666666666668</v>
      </c>
    </row>
    <row r="292" spans="1:4" x14ac:dyDescent="0.3">
      <c r="A292" s="7" t="s">
        <v>118</v>
      </c>
      <c r="B292" s="8">
        <v>472100</v>
      </c>
      <c r="C292" s="8">
        <v>31</v>
      </c>
      <c r="D292" s="4">
        <f t="shared" si="4"/>
        <v>15229.032258064517</v>
      </c>
    </row>
    <row r="293" spans="1:4" x14ac:dyDescent="0.3">
      <c r="A293" s="7" t="s">
        <v>198</v>
      </c>
      <c r="B293" s="8">
        <v>469900</v>
      </c>
      <c r="C293" s="8">
        <v>16</v>
      </c>
      <c r="D293" s="4">
        <f t="shared" si="4"/>
        <v>29368.75</v>
      </c>
    </row>
    <row r="294" spans="1:4" x14ac:dyDescent="0.3">
      <c r="A294" s="7" t="s">
        <v>81</v>
      </c>
      <c r="B294" s="8">
        <v>414900</v>
      </c>
      <c r="C294" s="8">
        <v>16</v>
      </c>
      <c r="D294" s="4">
        <f t="shared" si="4"/>
        <v>25931.25</v>
      </c>
    </row>
    <row r="295" spans="1:4" x14ac:dyDescent="0.3">
      <c r="A295" s="7" t="s">
        <v>184</v>
      </c>
      <c r="B295" s="8">
        <v>382900</v>
      </c>
      <c r="C295" s="8">
        <v>21</v>
      </c>
      <c r="D295" s="4">
        <f t="shared" si="4"/>
        <v>18233.333333333332</v>
      </c>
    </row>
    <row r="296" spans="1:4" x14ac:dyDescent="0.3">
      <c r="A296" s="7" t="s">
        <v>172</v>
      </c>
      <c r="B296" s="8">
        <v>378200</v>
      </c>
      <c r="C296" s="8">
        <v>12</v>
      </c>
      <c r="D296" s="4">
        <f t="shared" si="4"/>
        <v>31516.666666666668</v>
      </c>
    </row>
    <row r="297" spans="1:4" x14ac:dyDescent="0.3">
      <c r="A297" s="7" t="s">
        <v>32</v>
      </c>
      <c r="B297" s="8">
        <v>372300</v>
      </c>
      <c r="C297" s="8">
        <v>22</v>
      </c>
      <c r="D297" s="4">
        <f t="shared" si="4"/>
        <v>16922.727272727272</v>
      </c>
    </row>
    <row r="298" spans="1:4" x14ac:dyDescent="0.3">
      <c r="A298" s="7" t="s">
        <v>157</v>
      </c>
      <c r="B298" s="8">
        <v>368700</v>
      </c>
      <c r="C298" s="8">
        <v>14</v>
      </c>
      <c r="D298" s="4">
        <f t="shared" si="4"/>
        <v>26335.714285714286</v>
      </c>
    </row>
    <row r="299" spans="1:4" x14ac:dyDescent="0.3">
      <c r="A299" s="7" t="s">
        <v>88</v>
      </c>
      <c r="B299" s="8">
        <v>363500</v>
      </c>
      <c r="C299" s="8">
        <v>21</v>
      </c>
      <c r="D299" s="4">
        <f t="shared" si="4"/>
        <v>17309.523809523809</v>
      </c>
    </row>
    <row r="300" spans="1:4" x14ac:dyDescent="0.3">
      <c r="A300" s="7" t="s">
        <v>207</v>
      </c>
      <c r="B300" s="8">
        <v>338900</v>
      </c>
      <c r="C300" s="8">
        <v>12</v>
      </c>
      <c r="D300" s="4">
        <f t="shared" si="4"/>
        <v>28241.666666666668</v>
      </c>
    </row>
    <row r="301" spans="1:4" x14ac:dyDescent="0.3">
      <c r="A301" s="7" t="s">
        <v>94</v>
      </c>
      <c r="B301" s="8">
        <v>336100</v>
      </c>
      <c r="C301" s="8">
        <v>23</v>
      </c>
      <c r="D301" s="4">
        <f t="shared" si="4"/>
        <v>14613.04347826087</v>
      </c>
    </row>
    <row r="302" spans="1:4" x14ac:dyDescent="0.3">
      <c r="A302" s="7" t="s">
        <v>26</v>
      </c>
      <c r="B302" s="8">
        <v>335600</v>
      </c>
      <c r="C302" s="8">
        <v>15</v>
      </c>
      <c r="D302" s="4">
        <f t="shared" si="4"/>
        <v>22373.333333333332</v>
      </c>
    </row>
    <row r="303" spans="1:4" x14ac:dyDescent="0.3">
      <c r="A303" s="7" t="s">
        <v>186</v>
      </c>
      <c r="B303" s="8">
        <v>330500</v>
      </c>
      <c r="C303" s="8">
        <v>12</v>
      </c>
      <c r="D303" s="4">
        <f t="shared" si="4"/>
        <v>27541.666666666668</v>
      </c>
    </row>
    <row r="304" spans="1:4" x14ac:dyDescent="0.3">
      <c r="A304" s="7" t="s">
        <v>227</v>
      </c>
      <c r="B304" s="8">
        <v>327100</v>
      </c>
      <c r="C304" s="8">
        <v>9</v>
      </c>
      <c r="D304" s="4">
        <f t="shared" si="4"/>
        <v>36344.444444444445</v>
      </c>
    </row>
    <row r="305" spans="1:4" x14ac:dyDescent="0.3">
      <c r="A305" s="7" t="s">
        <v>223</v>
      </c>
      <c r="B305" s="8">
        <v>323700</v>
      </c>
      <c r="C305" s="8">
        <v>12</v>
      </c>
      <c r="D305" s="4">
        <f t="shared" si="4"/>
        <v>26975</v>
      </c>
    </row>
    <row r="306" spans="1:4" x14ac:dyDescent="0.3">
      <c r="A306" s="7" t="s">
        <v>83</v>
      </c>
      <c r="B306" s="8">
        <v>318900</v>
      </c>
      <c r="C306" s="8">
        <v>23</v>
      </c>
      <c r="D306" s="4">
        <f t="shared" si="4"/>
        <v>13865.217391304348</v>
      </c>
    </row>
    <row r="307" spans="1:4" x14ac:dyDescent="0.3">
      <c r="A307" s="7" t="s">
        <v>155</v>
      </c>
      <c r="B307" s="8">
        <v>315700</v>
      </c>
      <c r="C307" s="8">
        <v>11</v>
      </c>
      <c r="D307" s="4">
        <f t="shared" si="4"/>
        <v>28700</v>
      </c>
    </row>
    <row r="308" spans="1:4" x14ac:dyDescent="0.3">
      <c r="A308" s="7" t="s">
        <v>205</v>
      </c>
      <c r="B308" s="8">
        <v>303400</v>
      </c>
      <c r="C308" s="8">
        <v>12</v>
      </c>
      <c r="D308" s="4">
        <f t="shared" si="4"/>
        <v>25283.333333333332</v>
      </c>
    </row>
    <row r="309" spans="1:4" x14ac:dyDescent="0.3">
      <c r="A309" s="7" t="s">
        <v>151</v>
      </c>
      <c r="B309" s="8">
        <v>302800</v>
      </c>
      <c r="C309" s="8">
        <v>8</v>
      </c>
      <c r="D309" s="4">
        <f t="shared" si="4"/>
        <v>37850</v>
      </c>
    </row>
    <row r="310" spans="1:4" x14ac:dyDescent="0.3">
      <c r="A310" s="7" t="s">
        <v>68</v>
      </c>
      <c r="B310" s="8">
        <v>298900</v>
      </c>
      <c r="C310" s="8">
        <v>13</v>
      </c>
      <c r="D310" s="4">
        <f t="shared" si="4"/>
        <v>22992.307692307691</v>
      </c>
    </row>
    <row r="311" spans="1:4" x14ac:dyDescent="0.3">
      <c r="A311" s="7" t="s">
        <v>170</v>
      </c>
      <c r="B311" s="8">
        <v>296200</v>
      </c>
      <c r="C311" s="8">
        <v>13</v>
      </c>
      <c r="D311" s="4">
        <f t="shared" si="4"/>
        <v>22784.615384615383</v>
      </c>
    </row>
    <row r="312" spans="1:4" x14ac:dyDescent="0.3">
      <c r="A312" s="7" t="s">
        <v>176</v>
      </c>
      <c r="B312" s="8">
        <v>296100</v>
      </c>
      <c r="C312" s="8">
        <v>17</v>
      </c>
      <c r="D312" s="4">
        <f t="shared" si="4"/>
        <v>17417.647058823528</v>
      </c>
    </row>
    <row r="313" spans="1:4" x14ac:dyDescent="0.3">
      <c r="A313" s="7" t="s">
        <v>213</v>
      </c>
      <c r="B313" s="8">
        <v>282700</v>
      </c>
      <c r="C313" s="8">
        <v>12</v>
      </c>
      <c r="D313" s="4">
        <f t="shared" si="4"/>
        <v>23558.333333333332</v>
      </c>
    </row>
    <row r="314" spans="1:4" x14ac:dyDescent="0.3">
      <c r="A314" s="7" t="s">
        <v>39</v>
      </c>
      <c r="B314" s="8">
        <v>282600</v>
      </c>
      <c r="C314" s="8">
        <v>18</v>
      </c>
      <c r="D314" s="4">
        <f t="shared" si="4"/>
        <v>15700</v>
      </c>
    </row>
    <row r="315" spans="1:4" x14ac:dyDescent="0.3">
      <c r="A315" s="7" t="s">
        <v>162</v>
      </c>
      <c r="B315" s="8">
        <v>282000</v>
      </c>
      <c r="C315" s="8">
        <v>9</v>
      </c>
      <c r="D315" s="4">
        <f t="shared" si="4"/>
        <v>31333.333333333332</v>
      </c>
    </row>
    <row r="316" spans="1:4" x14ac:dyDescent="0.3">
      <c r="A316" s="7" t="s">
        <v>174</v>
      </c>
      <c r="B316" s="8">
        <v>280300</v>
      </c>
      <c r="C316" s="8">
        <v>15</v>
      </c>
      <c r="D316" s="4">
        <f t="shared" si="4"/>
        <v>18686.666666666668</v>
      </c>
    </row>
    <row r="317" spans="1:4" x14ac:dyDescent="0.3">
      <c r="A317" s="7" t="s">
        <v>192</v>
      </c>
      <c r="B317" s="8">
        <v>279800</v>
      </c>
      <c r="C317" s="8">
        <v>14</v>
      </c>
      <c r="D317" s="4">
        <f t="shared" si="4"/>
        <v>19985.714285714286</v>
      </c>
    </row>
    <row r="318" spans="1:4" x14ac:dyDescent="0.3">
      <c r="A318" s="7" t="s">
        <v>63</v>
      </c>
      <c r="B318" s="8">
        <v>273100</v>
      </c>
      <c r="C318" s="8">
        <v>12</v>
      </c>
      <c r="D318" s="4">
        <f t="shared" si="4"/>
        <v>22758.333333333332</v>
      </c>
    </row>
    <row r="319" spans="1:4" x14ac:dyDescent="0.3">
      <c r="A319" s="7" t="s">
        <v>159</v>
      </c>
      <c r="B319" s="8">
        <v>265000</v>
      </c>
      <c r="C319" s="8">
        <v>8</v>
      </c>
      <c r="D319" s="4">
        <f t="shared" si="4"/>
        <v>33125</v>
      </c>
    </row>
    <row r="320" spans="1:4" x14ac:dyDescent="0.3">
      <c r="A320" s="7" t="s">
        <v>78</v>
      </c>
      <c r="B320" s="8">
        <v>264800</v>
      </c>
      <c r="C320" s="8">
        <v>11</v>
      </c>
      <c r="D320" s="4">
        <f t="shared" si="4"/>
        <v>24072.727272727272</v>
      </c>
    </row>
    <row r="321" spans="1:4" x14ac:dyDescent="0.3">
      <c r="A321" s="7" t="s">
        <v>112</v>
      </c>
      <c r="B321" s="8">
        <v>253300</v>
      </c>
      <c r="C321" s="8">
        <v>7</v>
      </c>
      <c r="D321" s="4">
        <f t="shared" si="4"/>
        <v>36185.714285714283</v>
      </c>
    </row>
    <row r="322" spans="1:4" x14ac:dyDescent="0.3">
      <c r="A322" s="7" t="s">
        <v>194</v>
      </c>
      <c r="B322" s="8">
        <v>251600</v>
      </c>
      <c r="C322" s="8">
        <v>19</v>
      </c>
      <c r="D322" s="4">
        <f t="shared" si="4"/>
        <v>13242.105263157895</v>
      </c>
    </row>
    <row r="323" spans="1:4" x14ac:dyDescent="0.3">
      <c r="A323" s="7" t="s">
        <v>219</v>
      </c>
      <c r="B323" s="8">
        <v>247000</v>
      </c>
      <c r="C323" s="8">
        <v>8</v>
      </c>
      <c r="D323" s="4">
        <f t="shared" si="4"/>
        <v>30875</v>
      </c>
    </row>
    <row r="324" spans="1:4" x14ac:dyDescent="0.3">
      <c r="A324" s="7" t="s">
        <v>139</v>
      </c>
      <c r="B324" s="8">
        <v>241200</v>
      </c>
      <c r="C324" s="8">
        <v>16</v>
      </c>
      <c r="D324" s="4">
        <f t="shared" si="4"/>
        <v>15075</v>
      </c>
    </row>
    <row r="325" spans="1:4" x14ac:dyDescent="0.3">
      <c r="A325" s="7" t="s">
        <v>237</v>
      </c>
      <c r="B325" s="8">
        <v>235900</v>
      </c>
      <c r="C325" s="8">
        <v>12</v>
      </c>
      <c r="D325" s="4">
        <f t="shared" si="4"/>
        <v>19658.333333333332</v>
      </c>
    </row>
    <row r="326" spans="1:4" x14ac:dyDescent="0.3">
      <c r="A326" s="7" t="s">
        <v>217</v>
      </c>
      <c r="B326" s="8">
        <v>227100</v>
      </c>
      <c r="C326" s="8">
        <v>9</v>
      </c>
      <c r="D326" s="4">
        <f t="shared" si="4"/>
        <v>25233.333333333332</v>
      </c>
    </row>
    <row r="327" spans="1:4" x14ac:dyDescent="0.3">
      <c r="A327" s="7" t="s">
        <v>116</v>
      </c>
      <c r="B327" s="8">
        <v>226700</v>
      </c>
      <c r="C327" s="8">
        <v>18</v>
      </c>
      <c r="D327" s="4">
        <f t="shared" si="4"/>
        <v>12594.444444444445</v>
      </c>
    </row>
    <row r="328" spans="1:4" x14ac:dyDescent="0.3">
      <c r="A328" s="7" t="s">
        <v>59</v>
      </c>
      <c r="B328" s="8">
        <v>194200</v>
      </c>
      <c r="C328" s="8">
        <v>19</v>
      </c>
      <c r="D328" s="4">
        <f t="shared" si="4"/>
        <v>10221.052631578947</v>
      </c>
    </row>
    <row r="329" spans="1:4" x14ac:dyDescent="0.3">
      <c r="A329" s="7" t="s">
        <v>108</v>
      </c>
      <c r="B329" s="8">
        <v>188700</v>
      </c>
      <c r="C329" s="8">
        <v>21</v>
      </c>
      <c r="D329" s="4">
        <f t="shared" si="4"/>
        <v>8985.7142857142862</v>
      </c>
    </row>
    <row r="330" spans="1:4" x14ac:dyDescent="0.3">
      <c r="A330" s="7" t="s">
        <v>196</v>
      </c>
      <c r="B330" s="8">
        <v>187300</v>
      </c>
      <c r="C330" s="8">
        <v>8</v>
      </c>
      <c r="D330" s="4">
        <f t="shared" si="4"/>
        <v>23412.5</v>
      </c>
    </row>
    <row r="331" spans="1:4" x14ac:dyDescent="0.3">
      <c r="A331" s="7" t="s">
        <v>55</v>
      </c>
      <c r="B331" s="8">
        <v>185000</v>
      </c>
      <c r="C331" s="8">
        <v>6</v>
      </c>
      <c r="D331" s="4">
        <f t="shared" si="4"/>
        <v>30833.333333333332</v>
      </c>
    </row>
    <row r="332" spans="1:4" x14ac:dyDescent="0.3">
      <c r="A332" s="7" t="s">
        <v>215</v>
      </c>
      <c r="B332" s="8">
        <v>167200</v>
      </c>
      <c r="C332" s="8">
        <v>10</v>
      </c>
      <c r="D332" s="4">
        <f t="shared" si="4"/>
        <v>16720</v>
      </c>
    </row>
    <row r="333" spans="1:4" x14ac:dyDescent="0.3">
      <c r="A333" s="7" t="s">
        <v>203</v>
      </c>
      <c r="B333" s="8">
        <v>164100</v>
      </c>
      <c r="C333" s="8">
        <v>11</v>
      </c>
      <c r="D333" s="4">
        <f t="shared" si="4"/>
        <v>14918.181818181818</v>
      </c>
    </row>
    <row r="334" spans="1:4" x14ac:dyDescent="0.3">
      <c r="A334" s="7" t="s">
        <v>209</v>
      </c>
      <c r="B334" s="8">
        <v>161900</v>
      </c>
      <c r="C334" s="8">
        <v>11</v>
      </c>
      <c r="D334" s="4">
        <f t="shared" si="4"/>
        <v>14718.181818181818</v>
      </c>
    </row>
    <row r="335" spans="1:4" x14ac:dyDescent="0.3">
      <c r="A335" s="7" t="s">
        <v>124</v>
      </c>
      <c r="B335" s="8">
        <v>158300</v>
      </c>
      <c r="C335" s="8">
        <v>16</v>
      </c>
      <c r="D335" s="4">
        <f t="shared" si="4"/>
        <v>9893.75</v>
      </c>
    </row>
    <row r="336" spans="1:4" x14ac:dyDescent="0.3">
      <c r="A336" s="7" t="s">
        <v>128</v>
      </c>
      <c r="B336" s="8">
        <v>156800</v>
      </c>
      <c r="C336" s="8">
        <v>16</v>
      </c>
      <c r="D336" s="4">
        <f t="shared" si="4"/>
        <v>9800</v>
      </c>
    </row>
    <row r="337" spans="1:4" x14ac:dyDescent="0.3">
      <c r="A337" s="7" t="s">
        <v>221</v>
      </c>
      <c r="B337" s="8">
        <v>156100</v>
      </c>
      <c r="C337" s="8">
        <v>15</v>
      </c>
      <c r="D337" s="4">
        <f t="shared" si="4"/>
        <v>10406.666666666666</v>
      </c>
    </row>
    <row r="338" spans="1:4" x14ac:dyDescent="0.3">
      <c r="A338" s="7" t="s">
        <v>190</v>
      </c>
      <c r="B338" s="8">
        <v>153800</v>
      </c>
      <c r="C338" s="8">
        <v>12</v>
      </c>
      <c r="D338" s="4">
        <f t="shared" si="4"/>
        <v>12816.666666666666</v>
      </c>
    </row>
    <row r="339" spans="1:4" x14ac:dyDescent="0.3">
      <c r="A339" s="7" t="s">
        <v>182</v>
      </c>
      <c r="B339" s="8">
        <v>146800</v>
      </c>
      <c r="C339" s="8">
        <v>13</v>
      </c>
      <c r="D339" s="4">
        <f t="shared" si="4"/>
        <v>11292.307692307691</v>
      </c>
    </row>
    <row r="340" spans="1:4" x14ac:dyDescent="0.3">
      <c r="A340" s="7" t="s">
        <v>239</v>
      </c>
      <c r="B340" s="8">
        <v>125600</v>
      </c>
      <c r="C340" s="8">
        <v>8</v>
      </c>
      <c r="D340" s="4">
        <f t="shared" ref="D340:D349" si="5">B340/C340</f>
        <v>15700</v>
      </c>
    </row>
    <row r="341" spans="1:4" x14ac:dyDescent="0.3">
      <c r="A341" s="7" t="s">
        <v>231</v>
      </c>
      <c r="B341" s="8">
        <v>113100</v>
      </c>
      <c r="C341" s="8">
        <v>6</v>
      </c>
      <c r="D341" s="4">
        <f t="shared" si="5"/>
        <v>18850</v>
      </c>
    </row>
    <row r="342" spans="1:4" x14ac:dyDescent="0.3">
      <c r="A342" s="7" t="s">
        <v>225</v>
      </c>
      <c r="B342" s="8">
        <v>106800</v>
      </c>
      <c r="C342" s="8">
        <v>12</v>
      </c>
      <c r="D342" s="4">
        <f t="shared" si="5"/>
        <v>8900</v>
      </c>
    </row>
    <row r="343" spans="1:4" x14ac:dyDescent="0.3">
      <c r="A343" s="7" t="s">
        <v>229</v>
      </c>
      <c r="B343" s="8">
        <v>104500</v>
      </c>
      <c r="C343" s="8">
        <v>6</v>
      </c>
      <c r="D343" s="4">
        <f t="shared" si="5"/>
        <v>17416.666666666668</v>
      </c>
    </row>
    <row r="344" spans="1:4" x14ac:dyDescent="0.3">
      <c r="A344" s="7" t="s">
        <v>235</v>
      </c>
      <c r="B344" s="8">
        <v>84900</v>
      </c>
      <c r="C344" s="8">
        <v>5</v>
      </c>
      <c r="D344" s="4">
        <f t="shared" si="5"/>
        <v>16980</v>
      </c>
    </row>
    <row r="345" spans="1:4" x14ac:dyDescent="0.3">
      <c r="A345" s="7" t="s">
        <v>233</v>
      </c>
      <c r="B345" s="8">
        <v>82800</v>
      </c>
      <c r="C345" s="8">
        <v>7</v>
      </c>
      <c r="D345" s="4">
        <f t="shared" si="5"/>
        <v>11828.571428571429</v>
      </c>
    </row>
    <row r="346" spans="1:4" x14ac:dyDescent="0.3">
      <c r="A346" s="7" t="s">
        <v>166</v>
      </c>
      <c r="B346" s="8">
        <v>57500</v>
      </c>
      <c r="C346" s="8">
        <v>6</v>
      </c>
      <c r="D346" s="4">
        <f t="shared" si="5"/>
        <v>9583.3333333333339</v>
      </c>
    </row>
    <row r="347" spans="1:4" x14ac:dyDescent="0.3">
      <c r="A347" s="7" t="s">
        <v>243</v>
      </c>
      <c r="B347" s="8">
        <v>25800</v>
      </c>
      <c r="C347" s="8">
        <v>3</v>
      </c>
      <c r="D347" s="4">
        <f t="shared" si="5"/>
        <v>8600</v>
      </c>
    </row>
    <row r="348" spans="1:4" x14ac:dyDescent="0.3">
      <c r="A348" s="7" t="s">
        <v>245</v>
      </c>
      <c r="B348" s="8">
        <v>15100</v>
      </c>
      <c r="C348" s="8">
        <v>5</v>
      </c>
      <c r="D348" s="4">
        <f t="shared" si="5"/>
        <v>3020</v>
      </c>
    </row>
    <row r="349" spans="1:4" x14ac:dyDescent="0.3">
      <c r="A349" s="7" t="s">
        <v>241</v>
      </c>
      <c r="B349" s="8">
        <v>9600</v>
      </c>
      <c r="C349" s="8">
        <v>1</v>
      </c>
      <c r="D349" s="4">
        <f t="shared" si="5"/>
        <v>9600</v>
      </c>
    </row>
    <row r="350" spans="1:4" x14ac:dyDescent="0.3">
      <c r="A350" s="7" t="s">
        <v>260</v>
      </c>
      <c r="B350" s="8">
        <v>25913700</v>
      </c>
      <c r="C350" s="8">
        <v>1200</v>
      </c>
    </row>
    <row r="356" spans="1:3" x14ac:dyDescent="0.3">
      <c r="A356" s="6" t="s">
        <v>3</v>
      </c>
      <c r="B356" t="s">
        <v>200</v>
      </c>
    </row>
    <row r="358" spans="1:3" x14ac:dyDescent="0.3">
      <c r="A358" s="6" t="s">
        <v>259</v>
      </c>
      <c r="B358" t="s">
        <v>261</v>
      </c>
      <c r="C358" t="s">
        <v>267</v>
      </c>
    </row>
    <row r="359" spans="1:3" x14ac:dyDescent="0.3">
      <c r="A359" s="7" t="s">
        <v>114</v>
      </c>
      <c r="B359" s="8">
        <v>260000</v>
      </c>
      <c r="C359" s="8">
        <v>5</v>
      </c>
    </row>
    <row r="360" spans="1:3" x14ac:dyDescent="0.3">
      <c r="A360" s="7" t="s">
        <v>104</v>
      </c>
      <c r="B360" s="8">
        <v>84000</v>
      </c>
      <c r="C360" s="8">
        <v>3</v>
      </c>
    </row>
    <row r="361" spans="1:3" x14ac:dyDescent="0.3">
      <c r="A361" s="7" t="s">
        <v>126</v>
      </c>
      <c r="B361" s="8">
        <v>66000</v>
      </c>
      <c r="C361" s="8">
        <v>3</v>
      </c>
    </row>
    <row r="362" spans="1:3" x14ac:dyDescent="0.3">
      <c r="A362" s="7" t="s">
        <v>145</v>
      </c>
      <c r="B362" s="8">
        <v>65000</v>
      </c>
      <c r="C362" s="8">
        <v>1</v>
      </c>
    </row>
    <row r="363" spans="1:3" x14ac:dyDescent="0.3">
      <c r="A363" s="7" t="s">
        <v>17</v>
      </c>
      <c r="B363" s="8">
        <v>44000</v>
      </c>
      <c r="C363" s="8">
        <v>4</v>
      </c>
    </row>
    <row r="364" spans="1:3" x14ac:dyDescent="0.3">
      <c r="A364" s="7" t="s">
        <v>153</v>
      </c>
      <c r="B364" s="8">
        <v>12800</v>
      </c>
      <c r="C364" s="8">
        <v>4</v>
      </c>
    </row>
    <row r="365" spans="1:3" x14ac:dyDescent="0.3">
      <c r="A365" s="7" t="s">
        <v>53</v>
      </c>
      <c r="B365" s="8">
        <v>3500</v>
      </c>
      <c r="C365" s="8">
        <v>1</v>
      </c>
    </row>
    <row r="366" spans="1:3" x14ac:dyDescent="0.3">
      <c r="A366" s="7" t="s">
        <v>260</v>
      </c>
      <c r="B366" s="8">
        <v>535300</v>
      </c>
      <c r="C366" s="8">
        <v>21</v>
      </c>
    </row>
    <row r="371" spans="1:3" x14ac:dyDescent="0.3">
      <c r="A371" s="6" t="s">
        <v>259</v>
      </c>
      <c r="B371" t="s">
        <v>261</v>
      </c>
      <c r="C371" t="s">
        <v>281</v>
      </c>
    </row>
    <row r="372" spans="1:3" x14ac:dyDescent="0.3">
      <c r="A372" s="7" t="s">
        <v>269</v>
      </c>
      <c r="B372" s="8">
        <v>2202600</v>
      </c>
    </row>
    <row r="373" spans="1:3" x14ac:dyDescent="0.3">
      <c r="A373" s="7" t="s">
        <v>270</v>
      </c>
      <c r="B373" s="8">
        <v>2382800</v>
      </c>
      <c r="C373" s="9">
        <f>(B373-B372)/B372</f>
        <v>8.1812403523109048E-2</v>
      </c>
    </row>
    <row r="374" spans="1:3" x14ac:dyDescent="0.3">
      <c r="A374" s="7" t="s">
        <v>271</v>
      </c>
      <c r="B374" s="8">
        <v>1570400</v>
      </c>
      <c r="C374" s="9">
        <f t="shared" ref="C374:C383" si="6">(B374-B373)/B373</f>
        <v>-0.34094342789994964</v>
      </c>
    </row>
    <row r="375" spans="1:3" x14ac:dyDescent="0.3">
      <c r="A375" s="7" t="s">
        <v>272</v>
      </c>
      <c r="B375" s="8">
        <v>2071600</v>
      </c>
      <c r="C375" s="9">
        <f t="shared" si="6"/>
        <v>0.31915435557819666</v>
      </c>
    </row>
    <row r="376" spans="1:3" x14ac:dyDescent="0.3">
      <c r="A376" s="7" t="s">
        <v>273</v>
      </c>
      <c r="B376" s="8">
        <v>2164400</v>
      </c>
      <c r="C376" s="9">
        <f t="shared" si="6"/>
        <v>4.4796292720602433E-2</v>
      </c>
    </row>
    <row r="377" spans="1:3" x14ac:dyDescent="0.3">
      <c r="A377" s="7" t="s">
        <v>274</v>
      </c>
      <c r="B377" s="8">
        <v>2399800</v>
      </c>
      <c r="C377" s="9">
        <f t="shared" si="6"/>
        <v>0.10875993346885973</v>
      </c>
    </row>
    <row r="378" spans="1:3" x14ac:dyDescent="0.3">
      <c r="A378" s="7" t="s">
        <v>275</v>
      </c>
      <c r="B378" s="8">
        <v>1969400</v>
      </c>
      <c r="C378" s="9">
        <f t="shared" si="6"/>
        <v>-0.17934827902325193</v>
      </c>
    </row>
    <row r="379" spans="1:3" x14ac:dyDescent="0.3">
      <c r="A379" s="7" t="s">
        <v>276</v>
      </c>
      <c r="B379" s="8">
        <v>2639300</v>
      </c>
      <c r="C379" s="9">
        <f t="shared" si="6"/>
        <v>0.34015436173453845</v>
      </c>
    </row>
    <row r="380" spans="1:3" x14ac:dyDescent="0.3">
      <c r="A380" s="7" t="s">
        <v>277</v>
      </c>
      <c r="B380" s="8">
        <v>2275000</v>
      </c>
      <c r="C380" s="9">
        <f t="shared" si="6"/>
        <v>-0.138029022846967</v>
      </c>
    </row>
    <row r="381" spans="1:3" x14ac:dyDescent="0.3">
      <c r="A381" s="7" t="s">
        <v>278</v>
      </c>
      <c r="B381" s="8">
        <v>1954500</v>
      </c>
      <c r="C381" s="9">
        <f t="shared" si="6"/>
        <v>-0.14087912087912088</v>
      </c>
    </row>
    <row r="382" spans="1:3" x14ac:dyDescent="0.3">
      <c r="A382" s="7" t="s">
        <v>279</v>
      </c>
      <c r="B382" s="8">
        <v>2475900</v>
      </c>
      <c r="C382" s="9">
        <f t="shared" si="6"/>
        <v>0.26676899462778203</v>
      </c>
    </row>
    <row r="383" spans="1:3" x14ac:dyDescent="0.3">
      <c r="A383" s="7" t="s">
        <v>280</v>
      </c>
      <c r="B383" s="8">
        <v>1808000</v>
      </c>
      <c r="C383" s="9">
        <f t="shared" si="6"/>
        <v>-0.26976049113453693</v>
      </c>
    </row>
    <row r="384" spans="1:3" x14ac:dyDescent="0.3">
      <c r="A384" s="7" t="s">
        <v>260</v>
      </c>
      <c r="B384" s="8">
        <v>25913700</v>
      </c>
    </row>
  </sheetData>
  <pageMargins left="0.7" right="0.7" top="0.75" bottom="0.75" header="0.3" footer="0.3"/>
  <pageSetup orientation="portrait"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228D-6C81-4314-B40B-92521C014164}">
  <dimension ref="A1:P1201"/>
  <sheetViews>
    <sheetView workbookViewId="0">
      <selection activeCell="O2" sqref="A1:P1201"/>
    </sheetView>
  </sheetViews>
  <sheetFormatPr defaultRowHeight="14.4" x14ac:dyDescent="0.3"/>
  <cols>
    <col min="2" max="2" width="10.6640625" bestFit="1" customWidth="1"/>
    <col min="3" max="3" width="11.88671875" bestFit="1" customWidth="1"/>
    <col min="4" max="4" width="15.21875" bestFit="1" customWidth="1"/>
    <col min="7" max="7" width="10.44140625" bestFit="1" customWidth="1"/>
    <col min="8" max="8" width="16.21875" bestFit="1" customWidth="1"/>
    <col min="9" max="9" width="14.21875" bestFit="1" customWidth="1"/>
    <col min="10" max="10" width="8.33203125" bestFit="1" customWidth="1"/>
    <col min="11" max="11" width="9.6640625" bestFit="1" customWidth="1"/>
    <col min="12" max="12" width="8.33203125" bestFit="1" customWidth="1"/>
    <col min="13" max="13" width="14.44140625" bestFit="1" customWidth="1"/>
    <col min="14" max="14" width="10.44140625" bestFit="1" customWidth="1"/>
    <col min="15" max="15" width="9.44140625" bestFit="1" customWidth="1"/>
    <col min="16" max="16" width="13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255</v>
      </c>
      <c r="N1" s="3" t="s">
        <v>256</v>
      </c>
      <c r="O1" s="3" t="s">
        <v>257</v>
      </c>
      <c r="P1" s="3" t="s">
        <v>258</v>
      </c>
    </row>
    <row r="2" spans="1:16" x14ac:dyDescent="0.3">
      <c r="A2">
        <v>10001</v>
      </c>
      <c r="B2" s="2">
        <v>45920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</v>
      </c>
      <c r="K2">
        <v>11000</v>
      </c>
      <c r="L2">
        <v>22000</v>
      </c>
      <c r="M2" s="5">
        <f>SUM(L:L)</f>
        <v>25913700</v>
      </c>
      <c r="N2" s="5">
        <f>AVERAGE(L:L)</f>
        <v>21594.75</v>
      </c>
      <c r="O2" s="4"/>
      <c r="P2">
        <f>SUM(J:J)</f>
        <v>2063</v>
      </c>
    </row>
    <row r="3" spans="1:16" x14ac:dyDescent="0.3">
      <c r="A3">
        <v>10002</v>
      </c>
      <c r="B3" s="2">
        <v>45965</v>
      </c>
      <c r="C3" t="s">
        <v>19</v>
      </c>
      <c r="D3" t="s">
        <v>20</v>
      </c>
      <c r="E3" t="s">
        <v>21</v>
      </c>
      <c r="F3" t="s">
        <v>15</v>
      </c>
      <c r="G3" t="s">
        <v>22</v>
      </c>
      <c r="H3" t="s">
        <v>23</v>
      </c>
      <c r="I3" t="s">
        <v>24</v>
      </c>
      <c r="J3">
        <v>2</v>
      </c>
      <c r="K3">
        <v>2400</v>
      </c>
      <c r="L3">
        <v>4800</v>
      </c>
    </row>
    <row r="4" spans="1:16" x14ac:dyDescent="0.3">
      <c r="A4">
        <v>10003</v>
      </c>
      <c r="B4" s="2">
        <v>45909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18</v>
      </c>
      <c r="J4">
        <v>2</v>
      </c>
      <c r="K4">
        <v>15000</v>
      </c>
      <c r="L4">
        <v>30000</v>
      </c>
    </row>
    <row r="5" spans="1:16" x14ac:dyDescent="0.3">
      <c r="A5">
        <v>10004</v>
      </c>
      <c r="B5" s="2">
        <v>45972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1</v>
      </c>
      <c r="K5">
        <v>12000</v>
      </c>
      <c r="L5">
        <v>12000</v>
      </c>
    </row>
    <row r="6" spans="1:16" x14ac:dyDescent="0.3">
      <c r="A6">
        <v>10005</v>
      </c>
      <c r="B6" s="2">
        <v>45663</v>
      </c>
      <c r="C6" t="s">
        <v>38</v>
      </c>
      <c r="D6" t="s">
        <v>39</v>
      </c>
      <c r="E6" t="s">
        <v>40</v>
      </c>
      <c r="F6" t="s">
        <v>15</v>
      </c>
      <c r="G6" t="s">
        <v>41</v>
      </c>
      <c r="H6" t="s">
        <v>42</v>
      </c>
      <c r="I6" t="s">
        <v>37</v>
      </c>
      <c r="J6">
        <v>3</v>
      </c>
      <c r="K6">
        <v>30000</v>
      </c>
      <c r="L6">
        <v>90000</v>
      </c>
    </row>
    <row r="7" spans="1:16" x14ac:dyDescent="0.3">
      <c r="A7">
        <v>10006</v>
      </c>
      <c r="B7" s="2">
        <v>45765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>
        <v>1</v>
      </c>
      <c r="K7">
        <v>1600</v>
      </c>
      <c r="L7">
        <v>1600</v>
      </c>
    </row>
    <row r="8" spans="1:16" x14ac:dyDescent="0.3">
      <c r="A8">
        <v>10007</v>
      </c>
      <c r="B8" s="2">
        <v>45840</v>
      </c>
      <c r="C8" t="s">
        <v>50</v>
      </c>
      <c r="D8" t="s">
        <v>51</v>
      </c>
      <c r="E8" t="s">
        <v>14</v>
      </c>
      <c r="F8" t="s">
        <v>15</v>
      </c>
      <c r="G8" t="s">
        <v>52</v>
      </c>
      <c r="H8" t="s">
        <v>53</v>
      </c>
      <c r="I8" t="s">
        <v>24</v>
      </c>
      <c r="J8">
        <v>3</v>
      </c>
      <c r="K8">
        <v>3500</v>
      </c>
      <c r="L8">
        <v>10500</v>
      </c>
    </row>
    <row r="9" spans="1:16" x14ac:dyDescent="0.3">
      <c r="A9">
        <v>10008</v>
      </c>
      <c r="B9" s="2">
        <v>45697</v>
      </c>
      <c r="C9" t="s">
        <v>54</v>
      </c>
      <c r="D9" t="s">
        <v>55</v>
      </c>
      <c r="E9" t="s">
        <v>33</v>
      </c>
      <c r="F9" t="s">
        <v>34</v>
      </c>
      <c r="G9" t="s">
        <v>56</v>
      </c>
      <c r="H9" t="s">
        <v>57</v>
      </c>
      <c r="I9" t="s">
        <v>18</v>
      </c>
      <c r="J9">
        <v>2</v>
      </c>
      <c r="K9">
        <v>9000</v>
      </c>
      <c r="L9">
        <v>18000</v>
      </c>
    </row>
    <row r="10" spans="1:16" x14ac:dyDescent="0.3">
      <c r="A10">
        <v>10009</v>
      </c>
      <c r="B10" s="2">
        <v>45805</v>
      </c>
      <c r="C10" t="s">
        <v>58</v>
      </c>
      <c r="D10" t="s">
        <v>59</v>
      </c>
      <c r="E10" t="s">
        <v>21</v>
      </c>
      <c r="F10" t="s">
        <v>15</v>
      </c>
      <c r="G10" t="s">
        <v>60</v>
      </c>
      <c r="H10" t="s">
        <v>61</v>
      </c>
      <c r="I10" t="s">
        <v>18</v>
      </c>
      <c r="J10">
        <v>1</v>
      </c>
      <c r="K10">
        <v>2200</v>
      </c>
      <c r="L10">
        <v>2200</v>
      </c>
    </row>
    <row r="11" spans="1:16" x14ac:dyDescent="0.3">
      <c r="A11">
        <v>10010</v>
      </c>
      <c r="B11" s="2">
        <v>45953</v>
      </c>
      <c r="C11" t="s">
        <v>62</v>
      </c>
      <c r="D11" t="s">
        <v>63</v>
      </c>
      <c r="E11" t="s">
        <v>64</v>
      </c>
      <c r="F11" t="s">
        <v>46</v>
      </c>
      <c r="G11" t="s">
        <v>65</v>
      </c>
      <c r="H11" t="s">
        <v>66</v>
      </c>
      <c r="I11" t="s">
        <v>49</v>
      </c>
      <c r="J11">
        <v>1</v>
      </c>
      <c r="K11">
        <v>2400</v>
      </c>
      <c r="L11">
        <v>2400</v>
      </c>
    </row>
    <row r="12" spans="1:16" x14ac:dyDescent="0.3">
      <c r="A12">
        <v>10011</v>
      </c>
      <c r="B12" s="2">
        <v>45894</v>
      </c>
      <c r="C12" t="s">
        <v>67</v>
      </c>
      <c r="D12" t="s">
        <v>68</v>
      </c>
      <c r="E12" t="s">
        <v>69</v>
      </c>
      <c r="F12" t="s">
        <v>28</v>
      </c>
      <c r="G12" t="s">
        <v>70</v>
      </c>
      <c r="H12" t="s">
        <v>71</v>
      </c>
      <c r="I12" t="s">
        <v>37</v>
      </c>
      <c r="J12">
        <v>1</v>
      </c>
      <c r="K12">
        <v>2200</v>
      </c>
      <c r="L12">
        <v>2200</v>
      </c>
    </row>
    <row r="13" spans="1:16" x14ac:dyDescent="0.3">
      <c r="A13">
        <v>10012</v>
      </c>
      <c r="B13" s="2">
        <v>45913</v>
      </c>
      <c r="C13" t="s">
        <v>72</v>
      </c>
      <c r="D13" t="s">
        <v>73</v>
      </c>
      <c r="E13" t="s">
        <v>74</v>
      </c>
      <c r="F13" t="s">
        <v>28</v>
      </c>
      <c r="G13" t="s">
        <v>29</v>
      </c>
      <c r="H13" t="s">
        <v>30</v>
      </c>
      <c r="I13" t="s">
        <v>18</v>
      </c>
      <c r="J13">
        <v>3</v>
      </c>
      <c r="K13">
        <v>15000</v>
      </c>
      <c r="L13">
        <v>45000</v>
      </c>
    </row>
    <row r="14" spans="1:16" x14ac:dyDescent="0.3">
      <c r="A14">
        <v>10013</v>
      </c>
      <c r="B14" s="2">
        <v>45965</v>
      </c>
      <c r="C14" t="s">
        <v>25</v>
      </c>
      <c r="D14" t="s">
        <v>26</v>
      </c>
      <c r="E14" t="s">
        <v>27</v>
      </c>
      <c r="F14" t="s">
        <v>28</v>
      </c>
      <c r="G14" t="s">
        <v>75</v>
      </c>
      <c r="H14" t="s">
        <v>76</v>
      </c>
      <c r="I14" t="s">
        <v>49</v>
      </c>
      <c r="J14">
        <v>3</v>
      </c>
      <c r="K14">
        <v>3000</v>
      </c>
      <c r="L14">
        <v>9000</v>
      </c>
    </row>
    <row r="15" spans="1:16" x14ac:dyDescent="0.3">
      <c r="A15">
        <v>10014</v>
      </c>
      <c r="B15" s="2">
        <v>45873</v>
      </c>
      <c r="C15" t="s">
        <v>72</v>
      </c>
      <c r="D15" t="s">
        <v>73</v>
      </c>
      <c r="E15" t="s">
        <v>74</v>
      </c>
      <c r="F15" t="s">
        <v>28</v>
      </c>
      <c r="G15" t="s">
        <v>56</v>
      </c>
      <c r="H15" t="s">
        <v>57</v>
      </c>
      <c r="I15" t="s">
        <v>18</v>
      </c>
      <c r="J15">
        <v>2</v>
      </c>
      <c r="K15">
        <v>9000</v>
      </c>
      <c r="L15">
        <v>18000</v>
      </c>
    </row>
    <row r="16" spans="1:16" x14ac:dyDescent="0.3">
      <c r="A16">
        <v>10015</v>
      </c>
      <c r="B16" s="2">
        <v>45670</v>
      </c>
      <c r="C16" t="s">
        <v>77</v>
      </c>
      <c r="D16" t="s">
        <v>78</v>
      </c>
      <c r="E16" t="s">
        <v>79</v>
      </c>
      <c r="F16" t="s">
        <v>34</v>
      </c>
      <c r="G16" t="s">
        <v>56</v>
      </c>
      <c r="H16" t="s">
        <v>57</v>
      </c>
      <c r="I16" t="s">
        <v>18</v>
      </c>
      <c r="J16">
        <v>2</v>
      </c>
      <c r="K16">
        <v>9000</v>
      </c>
      <c r="L16">
        <v>18000</v>
      </c>
    </row>
    <row r="17" spans="1:12" x14ac:dyDescent="0.3">
      <c r="A17">
        <v>10016</v>
      </c>
      <c r="B17" s="2">
        <v>46018</v>
      </c>
      <c r="C17" t="s">
        <v>80</v>
      </c>
      <c r="D17" t="s">
        <v>81</v>
      </c>
      <c r="E17" t="s">
        <v>79</v>
      </c>
      <c r="F17" t="s">
        <v>34</v>
      </c>
      <c r="G17" t="s">
        <v>75</v>
      </c>
      <c r="H17" t="s">
        <v>76</v>
      </c>
      <c r="I17" t="s">
        <v>49</v>
      </c>
      <c r="J17">
        <v>2</v>
      </c>
      <c r="K17">
        <v>3000</v>
      </c>
      <c r="L17">
        <v>6000</v>
      </c>
    </row>
    <row r="18" spans="1:12" x14ac:dyDescent="0.3">
      <c r="A18">
        <v>10017</v>
      </c>
      <c r="B18" s="2">
        <v>45877</v>
      </c>
      <c r="C18" t="s">
        <v>82</v>
      </c>
      <c r="D18" t="s">
        <v>83</v>
      </c>
      <c r="E18" t="s">
        <v>84</v>
      </c>
      <c r="F18" t="s">
        <v>46</v>
      </c>
      <c r="G18" t="s">
        <v>65</v>
      </c>
      <c r="H18" t="s">
        <v>66</v>
      </c>
      <c r="I18" t="s">
        <v>49</v>
      </c>
      <c r="J18">
        <v>1</v>
      </c>
      <c r="K18">
        <v>2400</v>
      </c>
      <c r="L18">
        <v>2400</v>
      </c>
    </row>
    <row r="19" spans="1:12" x14ac:dyDescent="0.3">
      <c r="A19">
        <v>10018</v>
      </c>
      <c r="B19" s="2">
        <v>45720</v>
      </c>
      <c r="C19" t="s">
        <v>85</v>
      </c>
      <c r="D19" t="s">
        <v>86</v>
      </c>
      <c r="E19" t="s">
        <v>45</v>
      </c>
      <c r="F19" t="s">
        <v>46</v>
      </c>
      <c r="G19" t="s">
        <v>35</v>
      </c>
      <c r="H19" t="s">
        <v>36</v>
      </c>
      <c r="I19" t="s">
        <v>37</v>
      </c>
      <c r="J19">
        <v>2</v>
      </c>
      <c r="K19">
        <v>12000</v>
      </c>
      <c r="L19">
        <v>24000</v>
      </c>
    </row>
    <row r="20" spans="1:12" x14ac:dyDescent="0.3">
      <c r="A20">
        <v>10019</v>
      </c>
      <c r="B20" s="2">
        <v>45937</v>
      </c>
      <c r="C20" t="s">
        <v>87</v>
      </c>
      <c r="D20" t="s">
        <v>88</v>
      </c>
      <c r="E20" t="s">
        <v>64</v>
      </c>
      <c r="F20" t="s">
        <v>46</v>
      </c>
      <c r="G20" t="s">
        <v>89</v>
      </c>
      <c r="H20" t="s">
        <v>90</v>
      </c>
      <c r="I20" t="s">
        <v>18</v>
      </c>
      <c r="J20">
        <v>1</v>
      </c>
      <c r="K20">
        <v>4200</v>
      </c>
      <c r="L20">
        <v>4200</v>
      </c>
    </row>
    <row r="21" spans="1:12" x14ac:dyDescent="0.3">
      <c r="A21">
        <v>10020</v>
      </c>
      <c r="B21" s="2">
        <v>45938</v>
      </c>
      <c r="C21" t="s">
        <v>72</v>
      </c>
      <c r="D21" t="s">
        <v>73</v>
      </c>
      <c r="E21" t="s">
        <v>74</v>
      </c>
      <c r="F21" t="s">
        <v>28</v>
      </c>
      <c r="G21" t="s">
        <v>52</v>
      </c>
      <c r="H21" t="s">
        <v>53</v>
      </c>
      <c r="I21" t="s">
        <v>24</v>
      </c>
      <c r="J21">
        <v>2</v>
      </c>
      <c r="K21">
        <v>3500</v>
      </c>
      <c r="L21">
        <v>7000</v>
      </c>
    </row>
    <row r="22" spans="1:12" x14ac:dyDescent="0.3">
      <c r="A22">
        <v>10021</v>
      </c>
      <c r="B22" s="2">
        <v>45863</v>
      </c>
      <c r="C22" t="s">
        <v>91</v>
      </c>
      <c r="D22" t="s">
        <v>92</v>
      </c>
      <c r="E22" t="s">
        <v>40</v>
      </c>
      <c r="F22" t="s">
        <v>15</v>
      </c>
      <c r="G22" t="s">
        <v>16</v>
      </c>
      <c r="H22" t="s">
        <v>17</v>
      </c>
      <c r="I22" t="s">
        <v>18</v>
      </c>
      <c r="J22">
        <v>1</v>
      </c>
      <c r="K22">
        <v>11000</v>
      </c>
      <c r="L22">
        <v>11000</v>
      </c>
    </row>
    <row r="23" spans="1:12" x14ac:dyDescent="0.3">
      <c r="A23">
        <v>10022</v>
      </c>
      <c r="B23" s="2">
        <v>45674</v>
      </c>
      <c r="C23" t="s">
        <v>93</v>
      </c>
      <c r="D23" t="s">
        <v>94</v>
      </c>
      <c r="E23" t="s">
        <v>95</v>
      </c>
      <c r="F23" t="s">
        <v>15</v>
      </c>
      <c r="G23" t="s">
        <v>96</v>
      </c>
      <c r="H23" t="s">
        <v>97</v>
      </c>
      <c r="I23" t="s">
        <v>37</v>
      </c>
      <c r="J23">
        <v>1</v>
      </c>
      <c r="K23">
        <v>18000</v>
      </c>
      <c r="L23">
        <v>18000</v>
      </c>
    </row>
    <row r="24" spans="1:12" x14ac:dyDescent="0.3">
      <c r="A24">
        <v>10023</v>
      </c>
      <c r="B24" s="2">
        <v>45925</v>
      </c>
      <c r="C24" t="s">
        <v>62</v>
      </c>
      <c r="D24" t="s">
        <v>63</v>
      </c>
      <c r="E24" t="s">
        <v>64</v>
      </c>
      <c r="F24" t="s">
        <v>46</v>
      </c>
      <c r="G24" t="s">
        <v>98</v>
      </c>
      <c r="H24" t="s">
        <v>99</v>
      </c>
      <c r="I24" t="s">
        <v>24</v>
      </c>
      <c r="J24">
        <v>4</v>
      </c>
      <c r="K24">
        <v>2000</v>
      </c>
      <c r="L24">
        <v>8000</v>
      </c>
    </row>
    <row r="25" spans="1:12" x14ac:dyDescent="0.3">
      <c r="A25">
        <v>10024</v>
      </c>
      <c r="B25" s="2">
        <v>46012</v>
      </c>
      <c r="C25" t="s">
        <v>100</v>
      </c>
      <c r="D25" t="s">
        <v>101</v>
      </c>
      <c r="E25" t="s">
        <v>102</v>
      </c>
      <c r="F25" t="s">
        <v>34</v>
      </c>
      <c r="G25" t="s">
        <v>103</v>
      </c>
      <c r="H25" t="s">
        <v>104</v>
      </c>
      <c r="I25" t="s">
        <v>37</v>
      </c>
      <c r="J25">
        <v>1</v>
      </c>
      <c r="K25">
        <v>28000</v>
      </c>
      <c r="L25">
        <v>28000</v>
      </c>
    </row>
    <row r="26" spans="1:12" x14ac:dyDescent="0.3">
      <c r="A26">
        <v>10025</v>
      </c>
      <c r="B26" s="2">
        <v>45880</v>
      </c>
      <c r="C26" t="s">
        <v>91</v>
      </c>
      <c r="D26" t="s">
        <v>92</v>
      </c>
      <c r="E26" t="s">
        <v>40</v>
      </c>
      <c r="F26" t="s">
        <v>15</v>
      </c>
      <c r="G26" t="s">
        <v>75</v>
      </c>
      <c r="H26" t="s">
        <v>76</v>
      </c>
      <c r="I26" t="s">
        <v>49</v>
      </c>
      <c r="J26">
        <v>2</v>
      </c>
      <c r="K26">
        <v>3000</v>
      </c>
      <c r="L26">
        <v>6000</v>
      </c>
    </row>
    <row r="27" spans="1:12" x14ac:dyDescent="0.3">
      <c r="A27">
        <v>10026</v>
      </c>
      <c r="B27" s="2">
        <v>45820</v>
      </c>
      <c r="C27" t="s">
        <v>105</v>
      </c>
      <c r="D27" t="s">
        <v>106</v>
      </c>
      <c r="E27" t="s">
        <v>45</v>
      </c>
      <c r="F27" t="s">
        <v>46</v>
      </c>
      <c r="G27" t="s">
        <v>75</v>
      </c>
      <c r="H27" t="s">
        <v>76</v>
      </c>
      <c r="I27" t="s">
        <v>49</v>
      </c>
      <c r="J27">
        <v>1</v>
      </c>
      <c r="K27">
        <v>3000</v>
      </c>
      <c r="L27">
        <v>3000</v>
      </c>
    </row>
    <row r="28" spans="1:12" x14ac:dyDescent="0.3">
      <c r="A28">
        <v>10027</v>
      </c>
      <c r="B28" s="2">
        <v>45921</v>
      </c>
      <c r="C28" t="s">
        <v>107</v>
      </c>
      <c r="D28" t="s">
        <v>108</v>
      </c>
      <c r="E28" t="s">
        <v>74</v>
      </c>
      <c r="F28" t="s">
        <v>28</v>
      </c>
      <c r="G28" t="s">
        <v>109</v>
      </c>
      <c r="H28" t="s">
        <v>110</v>
      </c>
      <c r="I28" t="s">
        <v>18</v>
      </c>
      <c r="J28">
        <v>1</v>
      </c>
      <c r="K28">
        <v>5000</v>
      </c>
      <c r="L28">
        <v>5000</v>
      </c>
    </row>
    <row r="29" spans="1:12" x14ac:dyDescent="0.3">
      <c r="A29">
        <v>10028</v>
      </c>
      <c r="B29" s="2">
        <v>45875</v>
      </c>
      <c r="C29" t="s">
        <v>111</v>
      </c>
      <c r="D29" t="s">
        <v>112</v>
      </c>
      <c r="E29" t="s">
        <v>40</v>
      </c>
      <c r="F29" t="s">
        <v>15</v>
      </c>
      <c r="G29" t="s">
        <v>103</v>
      </c>
      <c r="H29" t="s">
        <v>104</v>
      </c>
      <c r="I29" t="s">
        <v>37</v>
      </c>
      <c r="J29">
        <v>3</v>
      </c>
      <c r="K29">
        <v>28000</v>
      </c>
      <c r="L29">
        <v>84000</v>
      </c>
    </row>
    <row r="30" spans="1:12" x14ac:dyDescent="0.3">
      <c r="A30">
        <v>10029</v>
      </c>
      <c r="B30" s="2">
        <v>45794</v>
      </c>
      <c r="C30" t="s">
        <v>85</v>
      </c>
      <c r="D30" t="s">
        <v>86</v>
      </c>
      <c r="E30" t="s">
        <v>45</v>
      </c>
      <c r="F30" t="s">
        <v>46</v>
      </c>
      <c r="G30" t="s">
        <v>113</v>
      </c>
      <c r="H30" t="s">
        <v>114</v>
      </c>
      <c r="I30" t="s">
        <v>37</v>
      </c>
      <c r="J30">
        <v>3</v>
      </c>
      <c r="K30">
        <v>52000</v>
      </c>
      <c r="L30">
        <v>156000</v>
      </c>
    </row>
    <row r="31" spans="1:12" x14ac:dyDescent="0.3">
      <c r="A31">
        <v>10030</v>
      </c>
      <c r="B31" s="2">
        <v>45868</v>
      </c>
      <c r="C31" t="s">
        <v>115</v>
      </c>
      <c r="D31" t="s">
        <v>116</v>
      </c>
      <c r="E31" t="s">
        <v>33</v>
      </c>
      <c r="F31" t="s">
        <v>34</v>
      </c>
      <c r="G31" t="s">
        <v>103</v>
      </c>
      <c r="H31" t="s">
        <v>104</v>
      </c>
      <c r="I31" t="s">
        <v>37</v>
      </c>
      <c r="J31">
        <v>1</v>
      </c>
      <c r="K31">
        <v>28000</v>
      </c>
      <c r="L31">
        <v>28000</v>
      </c>
    </row>
    <row r="32" spans="1:12" x14ac:dyDescent="0.3">
      <c r="A32">
        <v>10031</v>
      </c>
      <c r="B32" s="2">
        <v>45889</v>
      </c>
      <c r="C32" t="s">
        <v>105</v>
      </c>
      <c r="D32" t="s">
        <v>106</v>
      </c>
      <c r="E32" t="s">
        <v>45</v>
      </c>
      <c r="F32" t="s">
        <v>46</v>
      </c>
      <c r="G32" t="s">
        <v>41</v>
      </c>
      <c r="H32" t="s">
        <v>42</v>
      </c>
      <c r="I32" t="s">
        <v>37</v>
      </c>
      <c r="J32">
        <v>2</v>
      </c>
      <c r="K32">
        <v>30000</v>
      </c>
      <c r="L32">
        <v>60000</v>
      </c>
    </row>
    <row r="33" spans="1:12" x14ac:dyDescent="0.3">
      <c r="A33">
        <v>10032</v>
      </c>
      <c r="B33" s="2">
        <v>45759</v>
      </c>
      <c r="C33" t="s">
        <v>117</v>
      </c>
      <c r="D33" t="s">
        <v>118</v>
      </c>
      <c r="E33" t="s">
        <v>95</v>
      </c>
      <c r="F33" t="s">
        <v>15</v>
      </c>
      <c r="G33" t="s">
        <v>113</v>
      </c>
      <c r="H33" t="s">
        <v>114</v>
      </c>
      <c r="I33" t="s">
        <v>37</v>
      </c>
      <c r="J33">
        <v>1</v>
      </c>
      <c r="K33">
        <v>52000</v>
      </c>
      <c r="L33">
        <v>52000</v>
      </c>
    </row>
    <row r="34" spans="1:12" x14ac:dyDescent="0.3">
      <c r="A34">
        <v>10033</v>
      </c>
      <c r="B34" s="2">
        <v>45795</v>
      </c>
      <c r="C34" t="s">
        <v>119</v>
      </c>
      <c r="D34" t="s">
        <v>120</v>
      </c>
      <c r="E34" t="s">
        <v>27</v>
      </c>
      <c r="F34" t="s">
        <v>28</v>
      </c>
      <c r="G34" t="s">
        <v>121</v>
      </c>
      <c r="H34" t="s">
        <v>122</v>
      </c>
      <c r="I34" t="s">
        <v>49</v>
      </c>
      <c r="J34">
        <v>2</v>
      </c>
      <c r="K34">
        <v>4800</v>
      </c>
      <c r="L34">
        <v>9600</v>
      </c>
    </row>
    <row r="35" spans="1:12" x14ac:dyDescent="0.3">
      <c r="A35">
        <v>10034</v>
      </c>
      <c r="B35" s="2">
        <v>45818</v>
      </c>
      <c r="C35" t="s">
        <v>123</v>
      </c>
      <c r="D35" t="s">
        <v>124</v>
      </c>
      <c r="E35" t="s">
        <v>69</v>
      </c>
      <c r="F35" t="s">
        <v>28</v>
      </c>
      <c r="G35" t="s">
        <v>125</v>
      </c>
      <c r="H35" t="s">
        <v>126</v>
      </c>
      <c r="I35" t="s">
        <v>37</v>
      </c>
      <c r="J35">
        <v>2</v>
      </c>
      <c r="K35">
        <v>22000</v>
      </c>
      <c r="L35">
        <v>44000</v>
      </c>
    </row>
    <row r="36" spans="1:12" x14ac:dyDescent="0.3">
      <c r="A36">
        <v>10035</v>
      </c>
      <c r="B36" s="2">
        <v>45909</v>
      </c>
      <c r="C36" t="s">
        <v>127</v>
      </c>
      <c r="D36" t="s">
        <v>128</v>
      </c>
      <c r="E36" t="s">
        <v>102</v>
      </c>
      <c r="F36" t="s">
        <v>34</v>
      </c>
      <c r="G36" t="s">
        <v>129</v>
      </c>
      <c r="H36" t="s">
        <v>130</v>
      </c>
      <c r="I36" t="s">
        <v>24</v>
      </c>
      <c r="J36">
        <v>2</v>
      </c>
      <c r="K36">
        <v>1400</v>
      </c>
      <c r="L36">
        <v>2800</v>
      </c>
    </row>
    <row r="37" spans="1:12" x14ac:dyDescent="0.3">
      <c r="A37">
        <v>10036</v>
      </c>
      <c r="B37" s="2">
        <v>45900</v>
      </c>
      <c r="C37" t="s">
        <v>117</v>
      </c>
      <c r="D37" t="s">
        <v>118</v>
      </c>
      <c r="E37" t="s">
        <v>95</v>
      </c>
      <c r="F37" t="s">
        <v>15</v>
      </c>
      <c r="G37" t="s">
        <v>60</v>
      </c>
      <c r="H37" t="s">
        <v>61</v>
      </c>
      <c r="I37" t="s">
        <v>18</v>
      </c>
      <c r="J37">
        <v>2</v>
      </c>
      <c r="K37">
        <v>2200</v>
      </c>
      <c r="L37">
        <v>4400</v>
      </c>
    </row>
    <row r="38" spans="1:12" x14ac:dyDescent="0.3">
      <c r="A38">
        <v>10037</v>
      </c>
      <c r="B38" s="2">
        <v>45916</v>
      </c>
      <c r="C38" t="s">
        <v>19</v>
      </c>
      <c r="D38" t="s">
        <v>20</v>
      </c>
      <c r="E38" t="s">
        <v>21</v>
      </c>
      <c r="F38" t="s">
        <v>15</v>
      </c>
      <c r="G38" t="s">
        <v>22</v>
      </c>
      <c r="H38" t="s">
        <v>23</v>
      </c>
      <c r="I38" t="s">
        <v>24</v>
      </c>
      <c r="J38">
        <v>1</v>
      </c>
      <c r="K38">
        <v>2400</v>
      </c>
      <c r="L38">
        <v>2400</v>
      </c>
    </row>
    <row r="39" spans="1:12" x14ac:dyDescent="0.3">
      <c r="A39">
        <v>10038</v>
      </c>
      <c r="B39" s="2">
        <v>45727</v>
      </c>
      <c r="C39" t="s">
        <v>25</v>
      </c>
      <c r="D39" t="s">
        <v>26</v>
      </c>
      <c r="E39" t="s">
        <v>27</v>
      </c>
      <c r="F39" t="s">
        <v>28</v>
      </c>
      <c r="G39" t="s">
        <v>125</v>
      </c>
      <c r="H39" t="s">
        <v>126</v>
      </c>
      <c r="I39" t="s">
        <v>37</v>
      </c>
      <c r="J39">
        <v>2</v>
      </c>
      <c r="K39">
        <v>22000</v>
      </c>
      <c r="L39">
        <v>44000</v>
      </c>
    </row>
    <row r="40" spans="1:12" x14ac:dyDescent="0.3">
      <c r="A40">
        <v>10039</v>
      </c>
      <c r="B40" s="2">
        <v>45868</v>
      </c>
      <c r="C40" t="s">
        <v>105</v>
      </c>
      <c r="D40" t="s">
        <v>106</v>
      </c>
      <c r="E40" t="s">
        <v>45</v>
      </c>
      <c r="F40" t="s">
        <v>46</v>
      </c>
      <c r="G40" t="s">
        <v>131</v>
      </c>
      <c r="H40" t="s">
        <v>132</v>
      </c>
      <c r="I40" t="s">
        <v>37</v>
      </c>
      <c r="J40">
        <v>1</v>
      </c>
      <c r="K40">
        <v>4500</v>
      </c>
      <c r="L40">
        <v>4500</v>
      </c>
    </row>
    <row r="41" spans="1:12" x14ac:dyDescent="0.3">
      <c r="A41">
        <v>10040</v>
      </c>
      <c r="B41" s="2">
        <v>45850</v>
      </c>
      <c r="C41" t="s">
        <v>133</v>
      </c>
      <c r="D41" t="s">
        <v>134</v>
      </c>
      <c r="E41" t="s">
        <v>33</v>
      </c>
      <c r="F41" t="s">
        <v>34</v>
      </c>
      <c r="G41" t="s">
        <v>75</v>
      </c>
      <c r="H41" t="s">
        <v>76</v>
      </c>
      <c r="I41" t="s">
        <v>49</v>
      </c>
      <c r="J41">
        <v>1</v>
      </c>
      <c r="K41">
        <v>3000</v>
      </c>
      <c r="L41">
        <v>3000</v>
      </c>
    </row>
    <row r="42" spans="1:12" x14ac:dyDescent="0.3">
      <c r="A42">
        <v>10041</v>
      </c>
      <c r="B42" s="2">
        <v>45684</v>
      </c>
      <c r="C42" t="s">
        <v>12</v>
      </c>
      <c r="D42" t="s">
        <v>13</v>
      </c>
      <c r="E42" t="s">
        <v>14</v>
      </c>
      <c r="F42" t="s">
        <v>15</v>
      </c>
      <c r="G42" t="s">
        <v>22</v>
      </c>
      <c r="H42" t="s">
        <v>23</v>
      </c>
      <c r="I42" t="s">
        <v>24</v>
      </c>
      <c r="J42">
        <v>3</v>
      </c>
      <c r="K42">
        <v>2400</v>
      </c>
      <c r="L42">
        <v>7200</v>
      </c>
    </row>
    <row r="43" spans="1:12" x14ac:dyDescent="0.3">
      <c r="A43">
        <v>10042</v>
      </c>
      <c r="B43" s="2">
        <v>45671</v>
      </c>
      <c r="C43" t="s">
        <v>135</v>
      </c>
      <c r="D43" t="s">
        <v>136</v>
      </c>
      <c r="E43" t="s">
        <v>137</v>
      </c>
      <c r="F43" t="s">
        <v>46</v>
      </c>
      <c r="G43" t="s">
        <v>129</v>
      </c>
      <c r="H43" t="s">
        <v>130</v>
      </c>
      <c r="I43" t="s">
        <v>24</v>
      </c>
      <c r="J43">
        <v>1</v>
      </c>
      <c r="K43">
        <v>1400</v>
      </c>
      <c r="L43">
        <v>1400</v>
      </c>
    </row>
    <row r="44" spans="1:12" x14ac:dyDescent="0.3">
      <c r="A44">
        <v>10043</v>
      </c>
      <c r="B44" s="2">
        <v>45888</v>
      </c>
      <c r="C44" t="s">
        <v>85</v>
      </c>
      <c r="D44" t="s">
        <v>86</v>
      </c>
      <c r="E44" t="s">
        <v>45</v>
      </c>
      <c r="F44" t="s">
        <v>46</v>
      </c>
      <c r="G44" t="s">
        <v>47</v>
      </c>
      <c r="H44" t="s">
        <v>48</v>
      </c>
      <c r="I44" t="s">
        <v>49</v>
      </c>
      <c r="J44">
        <v>1</v>
      </c>
      <c r="K44">
        <v>1600</v>
      </c>
      <c r="L44">
        <v>1600</v>
      </c>
    </row>
    <row r="45" spans="1:12" x14ac:dyDescent="0.3">
      <c r="A45">
        <v>10044</v>
      </c>
      <c r="B45" s="2">
        <v>45950</v>
      </c>
      <c r="C45" t="s">
        <v>138</v>
      </c>
      <c r="D45" t="s">
        <v>139</v>
      </c>
      <c r="E45" t="s">
        <v>79</v>
      </c>
      <c r="F45" t="s">
        <v>34</v>
      </c>
      <c r="G45" t="s">
        <v>98</v>
      </c>
      <c r="H45" t="s">
        <v>99</v>
      </c>
      <c r="I45" t="s">
        <v>24</v>
      </c>
      <c r="J45">
        <v>2</v>
      </c>
      <c r="K45">
        <v>2000</v>
      </c>
      <c r="L45">
        <v>4000</v>
      </c>
    </row>
    <row r="46" spans="1:12" x14ac:dyDescent="0.3">
      <c r="A46">
        <v>10045</v>
      </c>
      <c r="B46" s="2">
        <v>45763</v>
      </c>
      <c r="C46" t="s">
        <v>133</v>
      </c>
      <c r="D46" t="s">
        <v>134</v>
      </c>
      <c r="E46" t="s">
        <v>33</v>
      </c>
      <c r="F46" t="s">
        <v>34</v>
      </c>
      <c r="G46" t="s">
        <v>140</v>
      </c>
      <c r="H46" t="s">
        <v>141</v>
      </c>
      <c r="I46" t="s">
        <v>18</v>
      </c>
      <c r="J46">
        <v>1</v>
      </c>
      <c r="K46">
        <v>3000</v>
      </c>
      <c r="L46">
        <v>3000</v>
      </c>
    </row>
    <row r="47" spans="1:12" x14ac:dyDescent="0.3">
      <c r="A47">
        <v>10046</v>
      </c>
      <c r="B47" s="2">
        <v>46005</v>
      </c>
      <c r="C47" t="s">
        <v>50</v>
      </c>
      <c r="D47" t="s">
        <v>51</v>
      </c>
      <c r="E47" t="s">
        <v>14</v>
      </c>
      <c r="F47" t="s">
        <v>15</v>
      </c>
      <c r="G47" t="s">
        <v>140</v>
      </c>
      <c r="H47" t="s">
        <v>141</v>
      </c>
      <c r="I47" t="s">
        <v>18</v>
      </c>
      <c r="J47">
        <v>2</v>
      </c>
      <c r="K47">
        <v>3000</v>
      </c>
      <c r="L47">
        <v>6000</v>
      </c>
    </row>
    <row r="48" spans="1:12" x14ac:dyDescent="0.3">
      <c r="A48">
        <v>10047</v>
      </c>
      <c r="B48" s="2">
        <v>45989</v>
      </c>
      <c r="C48" t="s">
        <v>142</v>
      </c>
      <c r="D48" t="s">
        <v>143</v>
      </c>
      <c r="E48" t="s">
        <v>14</v>
      </c>
      <c r="F48" t="s">
        <v>15</v>
      </c>
      <c r="G48" t="s">
        <v>144</v>
      </c>
      <c r="H48" t="s">
        <v>145</v>
      </c>
      <c r="I48" t="s">
        <v>37</v>
      </c>
      <c r="J48">
        <v>4</v>
      </c>
      <c r="K48">
        <v>65000</v>
      </c>
      <c r="L48">
        <v>260000</v>
      </c>
    </row>
    <row r="49" spans="1:12" x14ac:dyDescent="0.3">
      <c r="A49">
        <v>10048</v>
      </c>
      <c r="B49" s="2">
        <v>45682</v>
      </c>
      <c r="C49" t="s">
        <v>146</v>
      </c>
      <c r="D49" t="s">
        <v>147</v>
      </c>
      <c r="E49" t="s">
        <v>64</v>
      </c>
      <c r="F49" t="s">
        <v>46</v>
      </c>
      <c r="G49" t="s">
        <v>60</v>
      </c>
      <c r="H49" t="s">
        <v>61</v>
      </c>
      <c r="I49" t="s">
        <v>18</v>
      </c>
      <c r="J49">
        <v>1</v>
      </c>
      <c r="K49">
        <v>2200</v>
      </c>
      <c r="L49">
        <v>2200</v>
      </c>
    </row>
    <row r="50" spans="1:12" x14ac:dyDescent="0.3">
      <c r="A50">
        <v>10049</v>
      </c>
      <c r="B50" s="2">
        <v>46022</v>
      </c>
      <c r="C50" t="s">
        <v>148</v>
      </c>
      <c r="D50" t="s">
        <v>149</v>
      </c>
      <c r="E50" t="s">
        <v>14</v>
      </c>
      <c r="F50" t="s">
        <v>15</v>
      </c>
      <c r="G50" t="s">
        <v>103</v>
      </c>
      <c r="H50" t="s">
        <v>104</v>
      </c>
      <c r="I50" t="s">
        <v>37</v>
      </c>
      <c r="J50">
        <v>2</v>
      </c>
      <c r="K50">
        <v>28000</v>
      </c>
      <c r="L50">
        <v>56000</v>
      </c>
    </row>
    <row r="51" spans="1:12" x14ac:dyDescent="0.3">
      <c r="A51">
        <v>10050</v>
      </c>
      <c r="B51" s="2">
        <v>45769</v>
      </c>
      <c r="C51" t="s">
        <v>150</v>
      </c>
      <c r="D51" t="s">
        <v>151</v>
      </c>
      <c r="E51" t="s">
        <v>84</v>
      </c>
      <c r="F51" t="s">
        <v>46</v>
      </c>
      <c r="G51" t="s">
        <v>152</v>
      </c>
      <c r="H51" t="s">
        <v>153</v>
      </c>
      <c r="I51" t="s">
        <v>49</v>
      </c>
      <c r="J51">
        <v>2</v>
      </c>
      <c r="K51">
        <v>3200</v>
      </c>
      <c r="L51">
        <v>6400</v>
      </c>
    </row>
    <row r="52" spans="1:12" x14ac:dyDescent="0.3">
      <c r="A52">
        <v>10051</v>
      </c>
      <c r="B52" s="2">
        <v>45740</v>
      </c>
      <c r="C52" t="s">
        <v>91</v>
      </c>
      <c r="D52" t="s">
        <v>92</v>
      </c>
      <c r="E52" t="s">
        <v>40</v>
      </c>
      <c r="F52" t="s">
        <v>15</v>
      </c>
      <c r="G52" t="s">
        <v>98</v>
      </c>
      <c r="H52" t="s">
        <v>99</v>
      </c>
      <c r="I52" t="s">
        <v>24</v>
      </c>
      <c r="J52">
        <v>2</v>
      </c>
      <c r="K52">
        <v>2000</v>
      </c>
      <c r="L52">
        <v>4000</v>
      </c>
    </row>
    <row r="53" spans="1:12" x14ac:dyDescent="0.3">
      <c r="A53">
        <v>10052</v>
      </c>
      <c r="B53" s="2">
        <v>45930</v>
      </c>
      <c r="C53" t="s">
        <v>154</v>
      </c>
      <c r="D53" t="s">
        <v>155</v>
      </c>
      <c r="E53" t="s">
        <v>74</v>
      </c>
      <c r="F53" t="s">
        <v>28</v>
      </c>
      <c r="G53" t="s">
        <v>96</v>
      </c>
      <c r="H53" t="s">
        <v>97</v>
      </c>
      <c r="I53" t="s">
        <v>37</v>
      </c>
      <c r="J53">
        <v>1</v>
      </c>
      <c r="K53">
        <v>18000</v>
      </c>
      <c r="L53">
        <v>18000</v>
      </c>
    </row>
    <row r="54" spans="1:12" x14ac:dyDescent="0.3">
      <c r="A54">
        <v>10053</v>
      </c>
      <c r="B54" s="2">
        <v>45834</v>
      </c>
      <c r="C54" t="s">
        <v>156</v>
      </c>
      <c r="D54" t="s">
        <v>157</v>
      </c>
      <c r="E54" t="s">
        <v>95</v>
      </c>
      <c r="F54" t="s">
        <v>15</v>
      </c>
      <c r="G54" t="s">
        <v>131</v>
      </c>
      <c r="H54" t="s">
        <v>132</v>
      </c>
      <c r="I54" t="s">
        <v>37</v>
      </c>
      <c r="J54">
        <v>1</v>
      </c>
      <c r="K54">
        <v>4500</v>
      </c>
      <c r="L54">
        <v>4500</v>
      </c>
    </row>
    <row r="55" spans="1:12" x14ac:dyDescent="0.3">
      <c r="A55">
        <v>10054</v>
      </c>
      <c r="B55" s="2">
        <v>45870</v>
      </c>
      <c r="C55" t="s">
        <v>87</v>
      </c>
      <c r="D55" t="s">
        <v>88</v>
      </c>
      <c r="E55" t="s">
        <v>64</v>
      </c>
      <c r="F55" t="s">
        <v>46</v>
      </c>
      <c r="G55" t="s">
        <v>52</v>
      </c>
      <c r="H55" t="s">
        <v>53</v>
      </c>
      <c r="I55" t="s">
        <v>24</v>
      </c>
      <c r="J55">
        <v>1</v>
      </c>
      <c r="K55">
        <v>3500</v>
      </c>
      <c r="L55">
        <v>3500</v>
      </c>
    </row>
    <row r="56" spans="1:12" x14ac:dyDescent="0.3">
      <c r="A56">
        <v>10055</v>
      </c>
      <c r="B56" s="2">
        <v>45885</v>
      </c>
      <c r="C56" t="s">
        <v>158</v>
      </c>
      <c r="D56" t="s">
        <v>159</v>
      </c>
      <c r="E56" t="s">
        <v>160</v>
      </c>
      <c r="F56" t="s">
        <v>34</v>
      </c>
      <c r="G56" t="s">
        <v>56</v>
      </c>
      <c r="H56" t="s">
        <v>57</v>
      </c>
      <c r="I56" t="s">
        <v>18</v>
      </c>
      <c r="J56">
        <v>1</v>
      </c>
      <c r="K56">
        <v>9000</v>
      </c>
      <c r="L56">
        <v>9000</v>
      </c>
    </row>
    <row r="57" spans="1:12" x14ac:dyDescent="0.3">
      <c r="A57">
        <v>10056</v>
      </c>
      <c r="B57" s="2">
        <v>45706</v>
      </c>
      <c r="C57" t="s">
        <v>161</v>
      </c>
      <c r="D57" t="s">
        <v>162</v>
      </c>
      <c r="E57" t="s">
        <v>33</v>
      </c>
      <c r="F57" t="s">
        <v>34</v>
      </c>
      <c r="G57" t="s">
        <v>163</v>
      </c>
      <c r="H57" t="s">
        <v>164</v>
      </c>
      <c r="I57" t="s">
        <v>49</v>
      </c>
      <c r="J57">
        <v>3</v>
      </c>
      <c r="K57">
        <v>4200</v>
      </c>
      <c r="L57">
        <v>12600</v>
      </c>
    </row>
    <row r="58" spans="1:12" x14ac:dyDescent="0.3">
      <c r="A58">
        <v>10057</v>
      </c>
      <c r="B58" s="2">
        <v>45890</v>
      </c>
      <c r="C58" t="s">
        <v>165</v>
      </c>
      <c r="D58" t="s">
        <v>166</v>
      </c>
      <c r="E58" t="s">
        <v>69</v>
      </c>
      <c r="F58" t="s">
        <v>28</v>
      </c>
      <c r="G58" t="s">
        <v>98</v>
      </c>
      <c r="H58" t="s">
        <v>99</v>
      </c>
      <c r="I58" t="s">
        <v>24</v>
      </c>
      <c r="J58">
        <v>2</v>
      </c>
      <c r="K58">
        <v>2000</v>
      </c>
      <c r="L58">
        <v>4000</v>
      </c>
    </row>
    <row r="59" spans="1:12" x14ac:dyDescent="0.3">
      <c r="A59">
        <v>10058</v>
      </c>
      <c r="B59" s="2">
        <v>46001</v>
      </c>
      <c r="C59" t="s">
        <v>72</v>
      </c>
      <c r="D59" t="s">
        <v>73</v>
      </c>
      <c r="E59" t="s">
        <v>74</v>
      </c>
      <c r="F59" t="s">
        <v>28</v>
      </c>
      <c r="G59" t="s">
        <v>163</v>
      </c>
      <c r="H59" t="s">
        <v>164</v>
      </c>
      <c r="I59" t="s">
        <v>49</v>
      </c>
      <c r="J59">
        <v>1</v>
      </c>
      <c r="K59">
        <v>4200</v>
      </c>
      <c r="L59">
        <v>4200</v>
      </c>
    </row>
    <row r="60" spans="1:12" x14ac:dyDescent="0.3">
      <c r="A60">
        <v>10059</v>
      </c>
      <c r="B60" s="2">
        <v>45838</v>
      </c>
      <c r="C60" t="s">
        <v>146</v>
      </c>
      <c r="D60" t="s">
        <v>147</v>
      </c>
      <c r="E60" t="s">
        <v>64</v>
      </c>
      <c r="F60" t="s">
        <v>46</v>
      </c>
      <c r="G60" t="s">
        <v>167</v>
      </c>
      <c r="H60" t="s">
        <v>168</v>
      </c>
      <c r="I60" t="s">
        <v>49</v>
      </c>
      <c r="J60">
        <v>2</v>
      </c>
      <c r="K60">
        <v>3800</v>
      </c>
      <c r="L60">
        <v>7600</v>
      </c>
    </row>
    <row r="61" spans="1:12" x14ac:dyDescent="0.3">
      <c r="A61">
        <v>10060</v>
      </c>
      <c r="B61" s="2">
        <v>45714</v>
      </c>
      <c r="C61" t="s">
        <v>127</v>
      </c>
      <c r="D61" t="s">
        <v>128</v>
      </c>
      <c r="E61" t="s">
        <v>102</v>
      </c>
      <c r="F61" t="s">
        <v>34</v>
      </c>
      <c r="G61" t="s">
        <v>60</v>
      </c>
      <c r="H61" t="s">
        <v>61</v>
      </c>
      <c r="I61" t="s">
        <v>18</v>
      </c>
      <c r="J61">
        <v>2</v>
      </c>
      <c r="K61">
        <v>2200</v>
      </c>
      <c r="L61">
        <v>4400</v>
      </c>
    </row>
    <row r="62" spans="1:12" x14ac:dyDescent="0.3">
      <c r="A62">
        <v>10061</v>
      </c>
      <c r="B62" s="2">
        <v>45767</v>
      </c>
      <c r="C62" t="s">
        <v>38</v>
      </c>
      <c r="D62" t="s">
        <v>39</v>
      </c>
      <c r="E62" t="s">
        <v>40</v>
      </c>
      <c r="F62" t="s">
        <v>15</v>
      </c>
      <c r="G62" t="s">
        <v>121</v>
      </c>
      <c r="H62" t="s">
        <v>122</v>
      </c>
      <c r="I62" t="s">
        <v>49</v>
      </c>
      <c r="J62">
        <v>2</v>
      </c>
      <c r="K62">
        <v>4800</v>
      </c>
      <c r="L62">
        <v>9600</v>
      </c>
    </row>
    <row r="63" spans="1:12" x14ac:dyDescent="0.3">
      <c r="A63">
        <v>10062</v>
      </c>
      <c r="B63" s="2">
        <v>45725</v>
      </c>
      <c r="C63" t="s">
        <v>127</v>
      </c>
      <c r="D63" t="s">
        <v>128</v>
      </c>
      <c r="E63" t="s">
        <v>102</v>
      </c>
      <c r="F63" t="s">
        <v>34</v>
      </c>
      <c r="G63" t="s">
        <v>47</v>
      </c>
      <c r="H63" t="s">
        <v>48</v>
      </c>
      <c r="I63" t="s">
        <v>49</v>
      </c>
      <c r="J63">
        <v>1</v>
      </c>
      <c r="K63">
        <v>1600</v>
      </c>
      <c r="L63">
        <v>1600</v>
      </c>
    </row>
    <row r="64" spans="1:12" x14ac:dyDescent="0.3">
      <c r="A64">
        <v>10063</v>
      </c>
      <c r="B64" s="2">
        <v>45745</v>
      </c>
      <c r="C64" t="s">
        <v>169</v>
      </c>
      <c r="D64" t="s">
        <v>170</v>
      </c>
      <c r="E64" t="s">
        <v>64</v>
      </c>
      <c r="F64" t="s">
        <v>46</v>
      </c>
      <c r="G64" t="s">
        <v>98</v>
      </c>
      <c r="H64" t="s">
        <v>99</v>
      </c>
      <c r="I64" t="s">
        <v>24</v>
      </c>
      <c r="J64">
        <v>1</v>
      </c>
      <c r="K64">
        <v>2000</v>
      </c>
      <c r="L64">
        <v>2000</v>
      </c>
    </row>
    <row r="65" spans="1:12" x14ac:dyDescent="0.3">
      <c r="A65">
        <v>10064</v>
      </c>
      <c r="B65" s="2">
        <v>45752</v>
      </c>
      <c r="C65" t="s">
        <v>171</v>
      </c>
      <c r="D65" t="s">
        <v>172</v>
      </c>
      <c r="E65" t="s">
        <v>45</v>
      </c>
      <c r="F65" t="s">
        <v>46</v>
      </c>
      <c r="G65" t="s">
        <v>70</v>
      </c>
      <c r="H65" t="s">
        <v>71</v>
      </c>
      <c r="I65" t="s">
        <v>37</v>
      </c>
      <c r="J65">
        <v>2</v>
      </c>
      <c r="K65">
        <v>2200</v>
      </c>
      <c r="L65">
        <v>4400</v>
      </c>
    </row>
    <row r="66" spans="1:12" x14ac:dyDescent="0.3">
      <c r="A66">
        <v>10065</v>
      </c>
      <c r="B66" s="2">
        <v>45959</v>
      </c>
      <c r="C66" t="s">
        <v>12</v>
      </c>
      <c r="D66" t="s">
        <v>13</v>
      </c>
      <c r="E66" t="s">
        <v>14</v>
      </c>
      <c r="F66" t="s">
        <v>15</v>
      </c>
      <c r="G66" t="s">
        <v>131</v>
      </c>
      <c r="H66" t="s">
        <v>132</v>
      </c>
      <c r="I66" t="s">
        <v>37</v>
      </c>
      <c r="J66">
        <v>3</v>
      </c>
      <c r="K66">
        <v>4500</v>
      </c>
      <c r="L66">
        <v>13500</v>
      </c>
    </row>
    <row r="67" spans="1:12" x14ac:dyDescent="0.3">
      <c r="A67">
        <v>10066</v>
      </c>
      <c r="B67" s="2">
        <v>45791</v>
      </c>
      <c r="C67" t="s">
        <v>93</v>
      </c>
      <c r="D67" t="s">
        <v>94</v>
      </c>
      <c r="E67" t="s">
        <v>95</v>
      </c>
      <c r="F67" t="s">
        <v>15</v>
      </c>
      <c r="G67" t="s">
        <v>131</v>
      </c>
      <c r="H67" t="s">
        <v>132</v>
      </c>
      <c r="I67" t="s">
        <v>37</v>
      </c>
      <c r="J67">
        <v>1</v>
      </c>
      <c r="K67">
        <v>4500</v>
      </c>
      <c r="L67">
        <v>4500</v>
      </c>
    </row>
    <row r="68" spans="1:12" x14ac:dyDescent="0.3">
      <c r="A68">
        <v>10067</v>
      </c>
      <c r="B68" s="2">
        <v>45789</v>
      </c>
      <c r="C68" t="s">
        <v>173</v>
      </c>
      <c r="D68" t="s">
        <v>174</v>
      </c>
      <c r="E68" t="s">
        <v>137</v>
      </c>
      <c r="F68" t="s">
        <v>46</v>
      </c>
      <c r="G68" t="s">
        <v>167</v>
      </c>
      <c r="H68" t="s">
        <v>168</v>
      </c>
      <c r="I68" t="s">
        <v>49</v>
      </c>
      <c r="J68">
        <v>1</v>
      </c>
      <c r="K68">
        <v>3800</v>
      </c>
      <c r="L68">
        <v>3800</v>
      </c>
    </row>
    <row r="69" spans="1:12" x14ac:dyDescent="0.3">
      <c r="A69">
        <v>10068</v>
      </c>
      <c r="B69" s="2">
        <v>45669</v>
      </c>
      <c r="C69" t="s">
        <v>173</v>
      </c>
      <c r="D69" t="s">
        <v>174</v>
      </c>
      <c r="E69" t="s">
        <v>137</v>
      </c>
      <c r="F69" t="s">
        <v>46</v>
      </c>
      <c r="G69" t="s">
        <v>41</v>
      </c>
      <c r="H69" t="s">
        <v>42</v>
      </c>
      <c r="I69" t="s">
        <v>37</v>
      </c>
      <c r="J69">
        <v>1</v>
      </c>
      <c r="K69">
        <v>30000</v>
      </c>
      <c r="L69">
        <v>30000</v>
      </c>
    </row>
    <row r="70" spans="1:12" x14ac:dyDescent="0.3">
      <c r="A70">
        <v>10069</v>
      </c>
      <c r="B70" s="2">
        <v>45837</v>
      </c>
      <c r="C70" t="s">
        <v>58</v>
      </c>
      <c r="D70" t="s">
        <v>59</v>
      </c>
      <c r="E70" t="s">
        <v>21</v>
      </c>
      <c r="F70" t="s">
        <v>15</v>
      </c>
      <c r="G70" t="s">
        <v>29</v>
      </c>
      <c r="H70" t="s">
        <v>30</v>
      </c>
      <c r="I70" t="s">
        <v>18</v>
      </c>
      <c r="J70">
        <v>1</v>
      </c>
      <c r="K70">
        <v>15000</v>
      </c>
      <c r="L70">
        <v>15000</v>
      </c>
    </row>
    <row r="71" spans="1:12" x14ac:dyDescent="0.3">
      <c r="A71">
        <v>10070</v>
      </c>
      <c r="B71" s="2">
        <v>45972</v>
      </c>
      <c r="C71" t="s">
        <v>175</v>
      </c>
      <c r="D71" t="s">
        <v>176</v>
      </c>
      <c r="E71" t="s">
        <v>84</v>
      </c>
      <c r="F71" t="s">
        <v>46</v>
      </c>
      <c r="G71" t="s">
        <v>152</v>
      </c>
      <c r="H71" t="s">
        <v>153</v>
      </c>
      <c r="I71" t="s">
        <v>49</v>
      </c>
      <c r="J71">
        <v>1</v>
      </c>
      <c r="K71">
        <v>3200</v>
      </c>
      <c r="L71">
        <v>3200</v>
      </c>
    </row>
    <row r="72" spans="1:12" x14ac:dyDescent="0.3">
      <c r="A72">
        <v>10071</v>
      </c>
      <c r="B72" s="2">
        <v>45962</v>
      </c>
      <c r="C72" t="s">
        <v>72</v>
      </c>
      <c r="D72" t="s">
        <v>73</v>
      </c>
      <c r="E72" t="s">
        <v>74</v>
      </c>
      <c r="F72" t="s">
        <v>28</v>
      </c>
      <c r="G72" t="s">
        <v>140</v>
      </c>
      <c r="H72" t="s">
        <v>141</v>
      </c>
      <c r="I72" t="s">
        <v>18</v>
      </c>
      <c r="J72">
        <v>1</v>
      </c>
      <c r="K72">
        <v>3000</v>
      </c>
      <c r="L72">
        <v>3000</v>
      </c>
    </row>
    <row r="73" spans="1:12" x14ac:dyDescent="0.3">
      <c r="A73">
        <v>10072</v>
      </c>
      <c r="B73" s="2">
        <v>46009</v>
      </c>
      <c r="C73" t="s">
        <v>77</v>
      </c>
      <c r="D73" t="s">
        <v>78</v>
      </c>
      <c r="E73" t="s">
        <v>79</v>
      </c>
      <c r="F73" t="s">
        <v>34</v>
      </c>
      <c r="G73" t="s">
        <v>22</v>
      </c>
      <c r="H73" t="s">
        <v>23</v>
      </c>
      <c r="I73" t="s">
        <v>24</v>
      </c>
      <c r="J73">
        <v>1</v>
      </c>
      <c r="K73">
        <v>2400</v>
      </c>
      <c r="L73">
        <v>2400</v>
      </c>
    </row>
    <row r="74" spans="1:12" x14ac:dyDescent="0.3">
      <c r="A74">
        <v>10073</v>
      </c>
      <c r="B74" s="2">
        <v>45786</v>
      </c>
      <c r="C74" t="s">
        <v>91</v>
      </c>
      <c r="D74" t="s">
        <v>92</v>
      </c>
      <c r="E74" t="s">
        <v>40</v>
      </c>
      <c r="F74" t="s">
        <v>15</v>
      </c>
      <c r="G74" t="s">
        <v>52</v>
      </c>
      <c r="H74" t="s">
        <v>53</v>
      </c>
      <c r="I74" t="s">
        <v>24</v>
      </c>
      <c r="J74">
        <v>1</v>
      </c>
      <c r="K74">
        <v>3500</v>
      </c>
      <c r="L74">
        <v>3500</v>
      </c>
    </row>
    <row r="75" spans="1:12" x14ac:dyDescent="0.3">
      <c r="A75">
        <v>10074</v>
      </c>
      <c r="B75" s="2">
        <v>45881</v>
      </c>
      <c r="C75" t="s">
        <v>19</v>
      </c>
      <c r="D75" t="s">
        <v>20</v>
      </c>
      <c r="E75" t="s">
        <v>21</v>
      </c>
      <c r="F75" t="s">
        <v>15</v>
      </c>
      <c r="G75" t="s">
        <v>70</v>
      </c>
      <c r="H75" t="s">
        <v>71</v>
      </c>
      <c r="I75" t="s">
        <v>37</v>
      </c>
      <c r="J75">
        <v>3</v>
      </c>
      <c r="K75">
        <v>2200</v>
      </c>
      <c r="L75">
        <v>6600</v>
      </c>
    </row>
    <row r="76" spans="1:12" x14ac:dyDescent="0.3">
      <c r="A76">
        <v>10075</v>
      </c>
      <c r="B76" s="2">
        <v>45720</v>
      </c>
      <c r="C76" t="s">
        <v>38</v>
      </c>
      <c r="D76" t="s">
        <v>39</v>
      </c>
      <c r="E76" t="s">
        <v>40</v>
      </c>
      <c r="F76" t="s">
        <v>15</v>
      </c>
      <c r="G76" t="s">
        <v>177</v>
      </c>
      <c r="H76" t="s">
        <v>178</v>
      </c>
      <c r="I76" t="s">
        <v>37</v>
      </c>
      <c r="J76">
        <v>1</v>
      </c>
      <c r="K76">
        <v>2500</v>
      </c>
      <c r="L76">
        <v>2500</v>
      </c>
    </row>
    <row r="77" spans="1:12" x14ac:dyDescent="0.3">
      <c r="A77">
        <v>10076</v>
      </c>
      <c r="B77" s="2">
        <v>45668</v>
      </c>
      <c r="C77" t="s">
        <v>25</v>
      </c>
      <c r="D77" t="s">
        <v>26</v>
      </c>
      <c r="E77" t="s">
        <v>27</v>
      </c>
      <c r="F77" t="s">
        <v>28</v>
      </c>
      <c r="G77" t="s">
        <v>29</v>
      </c>
      <c r="H77" t="s">
        <v>30</v>
      </c>
      <c r="I77" t="s">
        <v>18</v>
      </c>
      <c r="J77">
        <v>2</v>
      </c>
      <c r="K77">
        <v>15000</v>
      </c>
      <c r="L77">
        <v>30000</v>
      </c>
    </row>
    <row r="78" spans="1:12" x14ac:dyDescent="0.3">
      <c r="A78">
        <v>10077</v>
      </c>
      <c r="B78" s="2">
        <v>45715</v>
      </c>
      <c r="C78" t="s">
        <v>50</v>
      </c>
      <c r="D78" t="s">
        <v>51</v>
      </c>
      <c r="E78" t="s">
        <v>14</v>
      </c>
      <c r="F78" t="s">
        <v>15</v>
      </c>
      <c r="G78" t="s">
        <v>60</v>
      </c>
      <c r="H78" t="s">
        <v>61</v>
      </c>
      <c r="I78" t="s">
        <v>18</v>
      </c>
      <c r="J78">
        <v>1</v>
      </c>
      <c r="K78">
        <v>2200</v>
      </c>
      <c r="L78">
        <v>2200</v>
      </c>
    </row>
    <row r="79" spans="1:12" x14ac:dyDescent="0.3">
      <c r="A79">
        <v>10078</v>
      </c>
      <c r="B79" s="2">
        <v>45925</v>
      </c>
      <c r="C79" t="s">
        <v>138</v>
      </c>
      <c r="D79" t="s">
        <v>139</v>
      </c>
      <c r="E79" t="s">
        <v>79</v>
      </c>
      <c r="F79" t="s">
        <v>34</v>
      </c>
      <c r="G79" t="s">
        <v>144</v>
      </c>
      <c r="H79" t="s">
        <v>145</v>
      </c>
      <c r="I79" t="s">
        <v>37</v>
      </c>
      <c r="J79">
        <v>1</v>
      </c>
      <c r="K79">
        <v>65000</v>
      </c>
      <c r="L79">
        <v>65000</v>
      </c>
    </row>
    <row r="80" spans="1:12" x14ac:dyDescent="0.3">
      <c r="A80">
        <v>10079</v>
      </c>
      <c r="B80" s="2">
        <v>45672</v>
      </c>
      <c r="C80" t="s">
        <v>135</v>
      </c>
      <c r="D80" t="s">
        <v>136</v>
      </c>
      <c r="E80" t="s">
        <v>137</v>
      </c>
      <c r="F80" t="s">
        <v>46</v>
      </c>
      <c r="G80" t="s">
        <v>47</v>
      </c>
      <c r="H80" t="s">
        <v>48</v>
      </c>
      <c r="I80" t="s">
        <v>49</v>
      </c>
      <c r="J80">
        <v>1</v>
      </c>
      <c r="K80">
        <v>1600</v>
      </c>
      <c r="L80">
        <v>1600</v>
      </c>
    </row>
    <row r="81" spans="1:12" x14ac:dyDescent="0.3">
      <c r="A81">
        <v>10080</v>
      </c>
      <c r="B81" s="2">
        <v>45851</v>
      </c>
      <c r="C81" t="s">
        <v>138</v>
      </c>
      <c r="D81" t="s">
        <v>139</v>
      </c>
      <c r="E81" t="s">
        <v>79</v>
      </c>
      <c r="F81" t="s">
        <v>34</v>
      </c>
      <c r="G81" t="s">
        <v>179</v>
      </c>
      <c r="H81" t="s">
        <v>180</v>
      </c>
      <c r="I81" t="s">
        <v>18</v>
      </c>
      <c r="J81">
        <v>1</v>
      </c>
      <c r="K81">
        <v>6500</v>
      </c>
      <c r="L81">
        <v>6500</v>
      </c>
    </row>
    <row r="82" spans="1:12" x14ac:dyDescent="0.3">
      <c r="A82">
        <v>10081</v>
      </c>
      <c r="B82" s="2">
        <v>45722</v>
      </c>
      <c r="C82" t="s">
        <v>25</v>
      </c>
      <c r="D82" t="s">
        <v>26</v>
      </c>
      <c r="E82" t="s">
        <v>27</v>
      </c>
      <c r="F82" t="s">
        <v>28</v>
      </c>
      <c r="G82" t="s">
        <v>35</v>
      </c>
      <c r="H82" t="s">
        <v>36</v>
      </c>
      <c r="I82" t="s">
        <v>37</v>
      </c>
      <c r="J82">
        <v>1</v>
      </c>
      <c r="K82">
        <v>12000</v>
      </c>
      <c r="L82">
        <v>12000</v>
      </c>
    </row>
    <row r="83" spans="1:12" x14ac:dyDescent="0.3">
      <c r="A83">
        <v>10082</v>
      </c>
      <c r="B83" s="2">
        <v>45935</v>
      </c>
      <c r="C83" t="s">
        <v>146</v>
      </c>
      <c r="D83" t="s">
        <v>147</v>
      </c>
      <c r="E83" t="s">
        <v>64</v>
      </c>
      <c r="F83" t="s">
        <v>46</v>
      </c>
      <c r="G83" t="s">
        <v>65</v>
      </c>
      <c r="H83" t="s">
        <v>66</v>
      </c>
      <c r="I83" t="s">
        <v>49</v>
      </c>
      <c r="J83">
        <v>2</v>
      </c>
      <c r="K83">
        <v>2400</v>
      </c>
      <c r="L83">
        <v>4800</v>
      </c>
    </row>
    <row r="84" spans="1:12" x14ac:dyDescent="0.3">
      <c r="A84">
        <v>10083</v>
      </c>
      <c r="B84" s="2">
        <v>45733</v>
      </c>
      <c r="C84" t="s">
        <v>72</v>
      </c>
      <c r="D84" t="s">
        <v>73</v>
      </c>
      <c r="E84" t="s">
        <v>74</v>
      </c>
      <c r="F84" t="s">
        <v>28</v>
      </c>
      <c r="G84" t="s">
        <v>96</v>
      </c>
      <c r="H84" t="s">
        <v>97</v>
      </c>
      <c r="I84" t="s">
        <v>37</v>
      </c>
      <c r="J84">
        <v>1</v>
      </c>
      <c r="K84">
        <v>18000</v>
      </c>
      <c r="L84">
        <v>18000</v>
      </c>
    </row>
    <row r="85" spans="1:12" x14ac:dyDescent="0.3">
      <c r="A85">
        <v>10084</v>
      </c>
      <c r="B85" s="2">
        <v>45871</v>
      </c>
      <c r="C85" t="s">
        <v>173</v>
      </c>
      <c r="D85" t="s">
        <v>174</v>
      </c>
      <c r="E85" t="s">
        <v>137</v>
      </c>
      <c r="F85" t="s">
        <v>46</v>
      </c>
      <c r="G85" t="s">
        <v>60</v>
      </c>
      <c r="H85" t="s">
        <v>61</v>
      </c>
      <c r="I85" t="s">
        <v>18</v>
      </c>
      <c r="J85">
        <v>1</v>
      </c>
      <c r="K85">
        <v>2200</v>
      </c>
      <c r="L85">
        <v>2200</v>
      </c>
    </row>
    <row r="86" spans="1:12" x14ac:dyDescent="0.3">
      <c r="A86">
        <v>10085</v>
      </c>
      <c r="B86" s="2">
        <v>45961</v>
      </c>
      <c r="C86" t="s">
        <v>181</v>
      </c>
      <c r="D86" t="s">
        <v>182</v>
      </c>
      <c r="E86" t="s">
        <v>21</v>
      </c>
      <c r="F86" t="s">
        <v>15</v>
      </c>
      <c r="G86" t="s">
        <v>129</v>
      </c>
      <c r="H86" t="s">
        <v>130</v>
      </c>
      <c r="I86" t="s">
        <v>24</v>
      </c>
      <c r="J86">
        <v>1</v>
      </c>
      <c r="K86">
        <v>1400</v>
      </c>
      <c r="L86">
        <v>1400</v>
      </c>
    </row>
    <row r="87" spans="1:12" x14ac:dyDescent="0.3">
      <c r="A87">
        <v>10086</v>
      </c>
      <c r="B87" s="2">
        <v>45921</v>
      </c>
      <c r="C87" t="s">
        <v>158</v>
      </c>
      <c r="D87" t="s">
        <v>159</v>
      </c>
      <c r="E87" t="s">
        <v>160</v>
      </c>
      <c r="F87" t="s">
        <v>34</v>
      </c>
      <c r="G87" t="s">
        <v>144</v>
      </c>
      <c r="H87" t="s">
        <v>145</v>
      </c>
      <c r="I87" t="s">
        <v>37</v>
      </c>
      <c r="J87">
        <v>3</v>
      </c>
      <c r="K87">
        <v>65000</v>
      </c>
      <c r="L87">
        <v>195000</v>
      </c>
    </row>
    <row r="88" spans="1:12" x14ac:dyDescent="0.3">
      <c r="A88">
        <v>10087</v>
      </c>
      <c r="B88" s="2">
        <v>45820</v>
      </c>
      <c r="C88" t="s">
        <v>50</v>
      </c>
      <c r="D88" t="s">
        <v>51</v>
      </c>
      <c r="E88" t="s">
        <v>14</v>
      </c>
      <c r="F88" t="s">
        <v>15</v>
      </c>
      <c r="G88" t="s">
        <v>56</v>
      </c>
      <c r="H88" t="s">
        <v>57</v>
      </c>
      <c r="I88" t="s">
        <v>18</v>
      </c>
      <c r="J88">
        <v>1</v>
      </c>
      <c r="K88">
        <v>9000</v>
      </c>
      <c r="L88">
        <v>9000</v>
      </c>
    </row>
    <row r="89" spans="1:12" x14ac:dyDescent="0.3">
      <c r="A89">
        <v>10088</v>
      </c>
      <c r="B89" s="2">
        <v>45782</v>
      </c>
      <c r="C89" t="s">
        <v>183</v>
      </c>
      <c r="D89" t="s">
        <v>184</v>
      </c>
      <c r="E89" t="s">
        <v>27</v>
      </c>
      <c r="F89" t="s">
        <v>28</v>
      </c>
      <c r="G89" t="s">
        <v>152</v>
      </c>
      <c r="H89" t="s">
        <v>153</v>
      </c>
      <c r="I89" t="s">
        <v>49</v>
      </c>
      <c r="J89">
        <v>1</v>
      </c>
      <c r="K89">
        <v>3200</v>
      </c>
      <c r="L89">
        <v>3200</v>
      </c>
    </row>
    <row r="90" spans="1:12" x14ac:dyDescent="0.3">
      <c r="A90">
        <v>10089</v>
      </c>
      <c r="B90" s="2">
        <v>45735</v>
      </c>
      <c r="C90" t="s">
        <v>185</v>
      </c>
      <c r="D90" t="s">
        <v>186</v>
      </c>
      <c r="E90" t="s">
        <v>14</v>
      </c>
      <c r="F90" t="s">
        <v>15</v>
      </c>
      <c r="G90" t="s">
        <v>47</v>
      </c>
      <c r="H90" t="s">
        <v>48</v>
      </c>
      <c r="I90" t="s">
        <v>49</v>
      </c>
      <c r="J90">
        <v>4</v>
      </c>
      <c r="K90">
        <v>1600</v>
      </c>
      <c r="L90">
        <v>6400</v>
      </c>
    </row>
    <row r="91" spans="1:12" x14ac:dyDescent="0.3">
      <c r="A91">
        <v>10090</v>
      </c>
      <c r="B91" s="2">
        <v>45842</v>
      </c>
      <c r="C91" t="s">
        <v>105</v>
      </c>
      <c r="D91" t="s">
        <v>106</v>
      </c>
      <c r="E91" t="s">
        <v>45</v>
      </c>
      <c r="F91" t="s">
        <v>46</v>
      </c>
      <c r="G91" t="s">
        <v>179</v>
      </c>
      <c r="H91" t="s">
        <v>180</v>
      </c>
      <c r="I91" t="s">
        <v>18</v>
      </c>
      <c r="J91">
        <v>4</v>
      </c>
      <c r="K91">
        <v>6500</v>
      </c>
      <c r="L91">
        <v>26000</v>
      </c>
    </row>
    <row r="92" spans="1:12" x14ac:dyDescent="0.3">
      <c r="A92">
        <v>10091</v>
      </c>
      <c r="B92" s="2">
        <v>45833</v>
      </c>
      <c r="C92" t="s">
        <v>165</v>
      </c>
      <c r="D92" t="s">
        <v>166</v>
      </c>
      <c r="E92" t="s">
        <v>69</v>
      </c>
      <c r="F92" t="s">
        <v>28</v>
      </c>
      <c r="G92" t="s">
        <v>75</v>
      </c>
      <c r="H92" t="s">
        <v>76</v>
      </c>
      <c r="I92" t="s">
        <v>49</v>
      </c>
      <c r="J92">
        <v>3</v>
      </c>
      <c r="K92">
        <v>3000</v>
      </c>
      <c r="L92">
        <v>9000</v>
      </c>
    </row>
    <row r="93" spans="1:12" x14ac:dyDescent="0.3">
      <c r="A93">
        <v>10092</v>
      </c>
      <c r="B93" s="2">
        <v>45892</v>
      </c>
      <c r="C93" t="s">
        <v>115</v>
      </c>
      <c r="D93" t="s">
        <v>116</v>
      </c>
      <c r="E93" t="s">
        <v>33</v>
      </c>
      <c r="F93" t="s">
        <v>34</v>
      </c>
      <c r="G93" t="s">
        <v>89</v>
      </c>
      <c r="H93" t="s">
        <v>90</v>
      </c>
      <c r="I93" t="s">
        <v>18</v>
      </c>
      <c r="J93">
        <v>2</v>
      </c>
      <c r="K93">
        <v>4200</v>
      </c>
      <c r="L93">
        <v>8400</v>
      </c>
    </row>
    <row r="94" spans="1:12" x14ac:dyDescent="0.3">
      <c r="A94">
        <v>10093</v>
      </c>
      <c r="B94" s="2">
        <v>45955</v>
      </c>
      <c r="C94" t="s">
        <v>85</v>
      </c>
      <c r="D94" t="s">
        <v>86</v>
      </c>
      <c r="E94" t="s">
        <v>45</v>
      </c>
      <c r="F94" t="s">
        <v>46</v>
      </c>
      <c r="G94" t="s">
        <v>163</v>
      </c>
      <c r="H94" t="s">
        <v>164</v>
      </c>
      <c r="I94" t="s">
        <v>49</v>
      </c>
      <c r="J94">
        <v>1</v>
      </c>
      <c r="K94">
        <v>4200</v>
      </c>
      <c r="L94">
        <v>4200</v>
      </c>
    </row>
    <row r="95" spans="1:12" x14ac:dyDescent="0.3">
      <c r="A95">
        <v>10094</v>
      </c>
      <c r="B95" s="2">
        <v>45906</v>
      </c>
      <c r="C95" t="s">
        <v>133</v>
      </c>
      <c r="D95" t="s">
        <v>134</v>
      </c>
      <c r="E95" t="s">
        <v>33</v>
      </c>
      <c r="F95" t="s">
        <v>34</v>
      </c>
      <c r="G95" t="s">
        <v>179</v>
      </c>
      <c r="H95" t="s">
        <v>180</v>
      </c>
      <c r="I95" t="s">
        <v>18</v>
      </c>
      <c r="J95">
        <v>3</v>
      </c>
      <c r="K95">
        <v>6500</v>
      </c>
      <c r="L95">
        <v>19500</v>
      </c>
    </row>
    <row r="96" spans="1:12" x14ac:dyDescent="0.3">
      <c r="A96">
        <v>10095</v>
      </c>
      <c r="B96" s="2">
        <v>45925</v>
      </c>
      <c r="C96" t="s">
        <v>19</v>
      </c>
      <c r="D96" t="s">
        <v>20</v>
      </c>
      <c r="E96" t="s">
        <v>21</v>
      </c>
      <c r="F96" t="s">
        <v>15</v>
      </c>
      <c r="G96" t="s">
        <v>75</v>
      </c>
      <c r="H96" t="s">
        <v>76</v>
      </c>
      <c r="I96" t="s">
        <v>49</v>
      </c>
      <c r="J96">
        <v>2</v>
      </c>
      <c r="K96">
        <v>3000</v>
      </c>
      <c r="L96">
        <v>6000</v>
      </c>
    </row>
    <row r="97" spans="1:12" x14ac:dyDescent="0.3">
      <c r="A97">
        <v>10096</v>
      </c>
      <c r="B97" s="2">
        <v>45701</v>
      </c>
      <c r="C97" t="s">
        <v>161</v>
      </c>
      <c r="D97" t="s">
        <v>162</v>
      </c>
      <c r="E97" t="s">
        <v>33</v>
      </c>
      <c r="F97" t="s">
        <v>34</v>
      </c>
      <c r="G97" t="s">
        <v>152</v>
      </c>
      <c r="H97" t="s">
        <v>153</v>
      </c>
      <c r="I97" t="s">
        <v>49</v>
      </c>
      <c r="J97">
        <v>1</v>
      </c>
      <c r="K97">
        <v>3200</v>
      </c>
      <c r="L97">
        <v>3200</v>
      </c>
    </row>
    <row r="98" spans="1:12" x14ac:dyDescent="0.3">
      <c r="A98">
        <v>10097</v>
      </c>
      <c r="B98" s="2">
        <v>45709</v>
      </c>
      <c r="C98" t="s">
        <v>142</v>
      </c>
      <c r="D98" t="s">
        <v>143</v>
      </c>
      <c r="E98" t="s">
        <v>14</v>
      </c>
      <c r="F98" t="s">
        <v>15</v>
      </c>
      <c r="G98" t="s">
        <v>96</v>
      </c>
      <c r="H98" t="s">
        <v>97</v>
      </c>
      <c r="I98" t="s">
        <v>37</v>
      </c>
      <c r="J98">
        <v>5</v>
      </c>
      <c r="K98">
        <v>18000</v>
      </c>
      <c r="L98">
        <v>90000</v>
      </c>
    </row>
    <row r="99" spans="1:12" x14ac:dyDescent="0.3">
      <c r="A99">
        <v>10098</v>
      </c>
      <c r="B99" s="2">
        <v>46014</v>
      </c>
      <c r="C99" t="s">
        <v>150</v>
      </c>
      <c r="D99" t="s">
        <v>151</v>
      </c>
      <c r="E99" t="s">
        <v>84</v>
      </c>
      <c r="F99" t="s">
        <v>46</v>
      </c>
      <c r="G99" t="s">
        <v>35</v>
      </c>
      <c r="H99" t="s">
        <v>36</v>
      </c>
      <c r="I99" t="s">
        <v>37</v>
      </c>
      <c r="J99">
        <v>2</v>
      </c>
      <c r="K99">
        <v>12000</v>
      </c>
      <c r="L99">
        <v>24000</v>
      </c>
    </row>
    <row r="100" spans="1:12" x14ac:dyDescent="0.3">
      <c r="A100">
        <v>10099</v>
      </c>
      <c r="B100" s="2">
        <v>45852</v>
      </c>
      <c r="C100" t="s">
        <v>127</v>
      </c>
      <c r="D100" t="s">
        <v>128</v>
      </c>
      <c r="E100" t="s">
        <v>102</v>
      </c>
      <c r="F100" t="s">
        <v>34</v>
      </c>
      <c r="G100" t="s">
        <v>98</v>
      </c>
      <c r="H100" t="s">
        <v>99</v>
      </c>
      <c r="I100" t="s">
        <v>24</v>
      </c>
      <c r="J100">
        <v>2</v>
      </c>
      <c r="K100">
        <v>2000</v>
      </c>
      <c r="L100">
        <v>4000</v>
      </c>
    </row>
    <row r="101" spans="1:12" x14ac:dyDescent="0.3">
      <c r="A101">
        <v>10100</v>
      </c>
      <c r="B101" s="2">
        <v>45996</v>
      </c>
      <c r="C101" t="s">
        <v>185</v>
      </c>
      <c r="D101" t="s">
        <v>186</v>
      </c>
      <c r="E101" t="s">
        <v>14</v>
      </c>
      <c r="F101" t="s">
        <v>15</v>
      </c>
      <c r="G101" t="s">
        <v>75</v>
      </c>
      <c r="H101" t="s">
        <v>76</v>
      </c>
      <c r="I101" t="s">
        <v>49</v>
      </c>
      <c r="J101">
        <v>1</v>
      </c>
      <c r="K101">
        <v>3000</v>
      </c>
      <c r="L101">
        <v>3000</v>
      </c>
    </row>
    <row r="102" spans="1:12" x14ac:dyDescent="0.3">
      <c r="A102">
        <v>10101</v>
      </c>
      <c r="B102" s="2">
        <v>45857</v>
      </c>
      <c r="C102" t="s">
        <v>91</v>
      </c>
      <c r="D102" t="s">
        <v>92</v>
      </c>
      <c r="E102" t="s">
        <v>40</v>
      </c>
      <c r="F102" t="s">
        <v>15</v>
      </c>
      <c r="G102" t="s">
        <v>113</v>
      </c>
      <c r="H102" t="s">
        <v>114</v>
      </c>
      <c r="I102" t="s">
        <v>37</v>
      </c>
      <c r="J102">
        <v>1</v>
      </c>
      <c r="K102">
        <v>52000</v>
      </c>
      <c r="L102">
        <v>52000</v>
      </c>
    </row>
    <row r="103" spans="1:12" x14ac:dyDescent="0.3">
      <c r="A103">
        <v>10102</v>
      </c>
      <c r="B103" s="2">
        <v>45961</v>
      </c>
      <c r="C103" t="s">
        <v>169</v>
      </c>
      <c r="D103" t="s">
        <v>170</v>
      </c>
      <c r="E103" t="s">
        <v>64</v>
      </c>
      <c r="F103" t="s">
        <v>46</v>
      </c>
      <c r="G103" t="s">
        <v>144</v>
      </c>
      <c r="H103" t="s">
        <v>145</v>
      </c>
      <c r="I103" t="s">
        <v>37</v>
      </c>
      <c r="J103">
        <v>2</v>
      </c>
      <c r="K103">
        <v>65000</v>
      </c>
      <c r="L103">
        <v>130000</v>
      </c>
    </row>
    <row r="104" spans="1:12" x14ac:dyDescent="0.3">
      <c r="A104">
        <v>10103</v>
      </c>
      <c r="B104" s="2">
        <v>45809</v>
      </c>
      <c r="C104" t="s">
        <v>154</v>
      </c>
      <c r="D104" t="s">
        <v>155</v>
      </c>
      <c r="E104" t="s">
        <v>74</v>
      </c>
      <c r="F104" t="s">
        <v>28</v>
      </c>
      <c r="G104" t="s">
        <v>187</v>
      </c>
      <c r="H104" t="s">
        <v>188</v>
      </c>
      <c r="I104" t="s">
        <v>24</v>
      </c>
      <c r="J104">
        <v>2</v>
      </c>
      <c r="K104">
        <v>5500</v>
      </c>
      <c r="L104">
        <v>11000</v>
      </c>
    </row>
    <row r="105" spans="1:12" x14ac:dyDescent="0.3">
      <c r="A105">
        <v>10104</v>
      </c>
      <c r="B105" s="2">
        <v>45754</v>
      </c>
      <c r="C105" t="s">
        <v>100</v>
      </c>
      <c r="D105" t="s">
        <v>101</v>
      </c>
      <c r="E105" t="s">
        <v>102</v>
      </c>
      <c r="F105" t="s">
        <v>34</v>
      </c>
      <c r="G105" t="s">
        <v>98</v>
      </c>
      <c r="H105" t="s">
        <v>99</v>
      </c>
      <c r="I105" t="s">
        <v>24</v>
      </c>
      <c r="J105">
        <v>4</v>
      </c>
      <c r="K105">
        <v>2000</v>
      </c>
      <c r="L105">
        <v>8000</v>
      </c>
    </row>
    <row r="106" spans="1:12" x14ac:dyDescent="0.3">
      <c r="A106">
        <v>10105</v>
      </c>
      <c r="B106" s="2">
        <v>45989</v>
      </c>
      <c r="C106" t="s">
        <v>119</v>
      </c>
      <c r="D106" t="s">
        <v>120</v>
      </c>
      <c r="E106" t="s">
        <v>27</v>
      </c>
      <c r="F106" t="s">
        <v>28</v>
      </c>
      <c r="G106" t="s">
        <v>167</v>
      </c>
      <c r="H106" t="s">
        <v>168</v>
      </c>
      <c r="I106" t="s">
        <v>49</v>
      </c>
      <c r="J106">
        <v>1</v>
      </c>
      <c r="K106">
        <v>3800</v>
      </c>
      <c r="L106">
        <v>3800</v>
      </c>
    </row>
    <row r="107" spans="1:12" x14ac:dyDescent="0.3">
      <c r="A107">
        <v>10106</v>
      </c>
      <c r="B107" s="2">
        <v>45933</v>
      </c>
      <c r="C107" t="s">
        <v>25</v>
      </c>
      <c r="D107" t="s">
        <v>26</v>
      </c>
      <c r="E107" t="s">
        <v>27</v>
      </c>
      <c r="F107" t="s">
        <v>28</v>
      </c>
      <c r="G107" t="s">
        <v>75</v>
      </c>
      <c r="H107" t="s">
        <v>76</v>
      </c>
      <c r="I107" t="s">
        <v>49</v>
      </c>
      <c r="J107">
        <v>1</v>
      </c>
      <c r="K107">
        <v>3000</v>
      </c>
      <c r="L107">
        <v>3000</v>
      </c>
    </row>
    <row r="108" spans="1:12" x14ac:dyDescent="0.3">
      <c r="A108">
        <v>10107</v>
      </c>
      <c r="B108" s="2">
        <v>45934</v>
      </c>
      <c r="C108" t="s">
        <v>91</v>
      </c>
      <c r="D108" t="s">
        <v>92</v>
      </c>
      <c r="E108" t="s">
        <v>40</v>
      </c>
      <c r="F108" t="s">
        <v>15</v>
      </c>
      <c r="G108" t="s">
        <v>103</v>
      </c>
      <c r="H108" t="s">
        <v>104</v>
      </c>
      <c r="I108" t="s">
        <v>37</v>
      </c>
      <c r="J108">
        <v>1</v>
      </c>
      <c r="K108">
        <v>28000</v>
      </c>
      <c r="L108">
        <v>28000</v>
      </c>
    </row>
    <row r="109" spans="1:12" x14ac:dyDescent="0.3">
      <c r="A109">
        <v>10108</v>
      </c>
      <c r="B109" s="2">
        <v>45999</v>
      </c>
      <c r="C109" t="s">
        <v>146</v>
      </c>
      <c r="D109" t="s">
        <v>147</v>
      </c>
      <c r="E109" t="s">
        <v>64</v>
      </c>
      <c r="F109" t="s">
        <v>46</v>
      </c>
      <c r="G109" t="s">
        <v>41</v>
      </c>
      <c r="H109" t="s">
        <v>42</v>
      </c>
      <c r="I109" t="s">
        <v>37</v>
      </c>
      <c r="J109">
        <v>3</v>
      </c>
      <c r="K109">
        <v>30000</v>
      </c>
      <c r="L109">
        <v>90000</v>
      </c>
    </row>
    <row r="110" spans="1:12" x14ac:dyDescent="0.3">
      <c r="A110">
        <v>10109</v>
      </c>
      <c r="B110" s="2">
        <v>45849</v>
      </c>
      <c r="C110" t="s">
        <v>135</v>
      </c>
      <c r="D110" t="s">
        <v>136</v>
      </c>
      <c r="E110" t="s">
        <v>137</v>
      </c>
      <c r="F110" t="s">
        <v>46</v>
      </c>
      <c r="G110" t="s">
        <v>144</v>
      </c>
      <c r="H110" t="s">
        <v>145</v>
      </c>
      <c r="I110" t="s">
        <v>37</v>
      </c>
      <c r="J110">
        <v>1</v>
      </c>
      <c r="K110">
        <v>65000</v>
      </c>
      <c r="L110">
        <v>65000</v>
      </c>
    </row>
    <row r="111" spans="1:12" x14ac:dyDescent="0.3">
      <c r="A111">
        <v>10110</v>
      </c>
      <c r="B111" s="2">
        <v>45964</v>
      </c>
      <c r="C111" t="s">
        <v>93</v>
      </c>
      <c r="D111" t="s">
        <v>94</v>
      </c>
      <c r="E111" t="s">
        <v>95</v>
      </c>
      <c r="F111" t="s">
        <v>15</v>
      </c>
      <c r="G111" t="s">
        <v>56</v>
      </c>
      <c r="H111" t="s">
        <v>57</v>
      </c>
      <c r="I111" t="s">
        <v>18</v>
      </c>
      <c r="J111">
        <v>2</v>
      </c>
      <c r="K111">
        <v>9000</v>
      </c>
      <c r="L111">
        <v>18000</v>
      </c>
    </row>
    <row r="112" spans="1:12" x14ac:dyDescent="0.3">
      <c r="A112">
        <v>10111</v>
      </c>
      <c r="B112" s="2">
        <v>45906</v>
      </c>
      <c r="C112" t="s">
        <v>138</v>
      </c>
      <c r="D112" t="s">
        <v>139</v>
      </c>
      <c r="E112" t="s">
        <v>79</v>
      </c>
      <c r="F112" t="s">
        <v>34</v>
      </c>
      <c r="G112" t="s">
        <v>52</v>
      </c>
      <c r="H112" t="s">
        <v>53</v>
      </c>
      <c r="I112" t="s">
        <v>24</v>
      </c>
      <c r="J112">
        <v>1</v>
      </c>
      <c r="K112">
        <v>3500</v>
      </c>
      <c r="L112">
        <v>3500</v>
      </c>
    </row>
    <row r="113" spans="1:12" x14ac:dyDescent="0.3">
      <c r="A113">
        <v>10112</v>
      </c>
      <c r="B113" s="2">
        <v>45792</v>
      </c>
      <c r="C113" t="s">
        <v>183</v>
      </c>
      <c r="D113" t="s">
        <v>184</v>
      </c>
      <c r="E113" t="s">
        <v>27</v>
      </c>
      <c r="F113" t="s">
        <v>28</v>
      </c>
      <c r="G113" t="s">
        <v>113</v>
      </c>
      <c r="H113" t="s">
        <v>114</v>
      </c>
      <c r="I113" t="s">
        <v>37</v>
      </c>
      <c r="J113">
        <v>2</v>
      </c>
      <c r="K113">
        <v>52000</v>
      </c>
      <c r="L113">
        <v>104000</v>
      </c>
    </row>
    <row r="114" spans="1:12" x14ac:dyDescent="0.3">
      <c r="A114">
        <v>10113</v>
      </c>
      <c r="B114" s="2">
        <v>45913</v>
      </c>
      <c r="C114" t="s">
        <v>135</v>
      </c>
      <c r="D114" t="s">
        <v>136</v>
      </c>
      <c r="E114" t="s">
        <v>137</v>
      </c>
      <c r="F114" t="s">
        <v>46</v>
      </c>
      <c r="G114" t="s">
        <v>177</v>
      </c>
      <c r="H114" t="s">
        <v>178</v>
      </c>
      <c r="I114" t="s">
        <v>37</v>
      </c>
      <c r="J114">
        <v>1</v>
      </c>
      <c r="K114">
        <v>2500</v>
      </c>
      <c r="L114">
        <v>2500</v>
      </c>
    </row>
    <row r="115" spans="1:12" x14ac:dyDescent="0.3">
      <c r="A115">
        <v>10114</v>
      </c>
      <c r="B115" s="2">
        <v>46007</v>
      </c>
      <c r="C115" t="s">
        <v>91</v>
      </c>
      <c r="D115" t="s">
        <v>92</v>
      </c>
      <c r="E115" t="s">
        <v>40</v>
      </c>
      <c r="F115" t="s">
        <v>15</v>
      </c>
      <c r="G115" t="s">
        <v>75</v>
      </c>
      <c r="H115" t="s">
        <v>76</v>
      </c>
      <c r="I115" t="s">
        <v>49</v>
      </c>
      <c r="J115">
        <v>3</v>
      </c>
      <c r="K115">
        <v>3000</v>
      </c>
      <c r="L115">
        <v>9000</v>
      </c>
    </row>
    <row r="116" spans="1:12" x14ac:dyDescent="0.3">
      <c r="A116">
        <v>10115</v>
      </c>
      <c r="B116" s="2">
        <v>45693</v>
      </c>
      <c r="C116" t="s">
        <v>105</v>
      </c>
      <c r="D116" t="s">
        <v>106</v>
      </c>
      <c r="E116" t="s">
        <v>45</v>
      </c>
      <c r="F116" t="s">
        <v>46</v>
      </c>
      <c r="G116" t="s">
        <v>177</v>
      </c>
      <c r="H116" t="s">
        <v>178</v>
      </c>
      <c r="I116" t="s">
        <v>37</v>
      </c>
      <c r="J116">
        <v>2</v>
      </c>
      <c r="K116">
        <v>2500</v>
      </c>
      <c r="L116">
        <v>5000</v>
      </c>
    </row>
    <row r="117" spans="1:12" x14ac:dyDescent="0.3">
      <c r="A117">
        <v>10116</v>
      </c>
      <c r="B117" s="2">
        <v>45817</v>
      </c>
      <c r="C117" t="s">
        <v>58</v>
      </c>
      <c r="D117" t="s">
        <v>59</v>
      </c>
      <c r="E117" t="s">
        <v>21</v>
      </c>
      <c r="F117" t="s">
        <v>15</v>
      </c>
      <c r="G117" t="s">
        <v>16</v>
      </c>
      <c r="H117" t="s">
        <v>17</v>
      </c>
      <c r="I117" t="s">
        <v>18</v>
      </c>
      <c r="J117">
        <v>1</v>
      </c>
      <c r="K117">
        <v>11000</v>
      </c>
      <c r="L117">
        <v>11000</v>
      </c>
    </row>
    <row r="118" spans="1:12" x14ac:dyDescent="0.3">
      <c r="A118">
        <v>10117</v>
      </c>
      <c r="B118" s="2">
        <v>45879</v>
      </c>
      <c r="C118" t="s">
        <v>82</v>
      </c>
      <c r="D118" t="s">
        <v>83</v>
      </c>
      <c r="E118" t="s">
        <v>84</v>
      </c>
      <c r="F118" t="s">
        <v>46</v>
      </c>
      <c r="G118" t="s">
        <v>125</v>
      </c>
      <c r="H118" t="s">
        <v>126</v>
      </c>
      <c r="I118" t="s">
        <v>37</v>
      </c>
      <c r="J118">
        <v>1</v>
      </c>
      <c r="K118">
        <v>22000</v>
      </c>
      <c r="L118">
        <v>22000</v>
      </c>
    </row>
    <row r="119" spans="1:12" x14ac:dyDescent="0.3">
      <c r="A119">
        <v>10118</v>
      </c>
      <c r="B119" s="2">
        <v>45994</v>
      </c>
      <c r="C119" t="s">
        <v>50</v>
      </c>
      <c r="D119" t="s">
        <v>51</v>
      </c>
      <c r="E119" t="s">
        <v>14</v>
      </c>
      <c r="F119" t="s">
        <v>15</v>
      </c>
      <c r="G119" t="s">
        <v>187</v>
      </c>
      <c r="H119" t="s">
        <v>188</v>
      </c>
      <c r="I119" t="s">
        <v>24</v>
      </c>
      <c r="J119">
        <v>3</v>
      </c>
      <c r="K119">
        <v>5500</v>
      </c>
      <c r="L119">
        <v>16500</v>
      </c>
    </row>
    <row r="120" spans="1:12" x14ac:dyDescent="0.3">
      <c r="A120">
        <v>10119</v>
      </c>
      <c r="B120" s="2">
        <v>45895</v>
      </c>
      <c r="C120" t="s">
        <v>72</v>
      </c>
      <c r="D120" t="s">
        <v>73</v>
      </c>
      <c r="E120" t="s">
        <v>74</v>
      </c>
      <c r="F120" t="s">
        <v>28</v>
      </c>
      <c r="G120" t="s">
        <v>103</v>
      </c>
      <c r="H120" t="s">
        <v>104</v>
      </c>
      <c r="I120" t="s">
        <v>37</v>
      </c>
      <c r="J120">
        <v>1</v>
      </c>
      <c r="K120">
        <v>28000</v>
      </c>
      <c r="L120">
        <v>28000</v>
      </c>
    </row>
    <row r="121" spans="1:12" x14ac:dyDescent="0.3">
      <c r="A121">
        <v>10120</v>
      </c>
      <c r="B121" s="2">
        <v>45837</v>
      </c>
      <c r="C121" t="s">
        <v>43</v>
      </c>
      <c r="D121" t="s">
        <v>44</v>
      </c>
      <c r="E121" t="s">
        <v>45</v>
      </c>
      <c r="F121" t="s">
        <v>46</v>
      </c>
      <c r="G121" t="s">
        <v>177</v>
      </c>
      <c r="H121" t="s">
        <v>178</v>
      </c>
      <c r="I121" t="s">
        <v>37</v>
      </c>
      <c r="J121">
        <v>1</v>
      </c>
      <c r="K121">
        <v>2500</v>
      </c>
      <c r="L121">
        <v>2500</v>
      </c>
    </row>
    <row r="122" spans="1:12" x14ac:dyDescent="0.3">
      <c r="A122">
        <v>10121</v>
      </c>
      <c r="B122" s="2">
        <v>45737</v>
      </c>
      <c r="C122" t="s">
        <v>189</v>
      </c>
      <c r="D122" t="s">
        <v>190</v>
      </c>
      <c r="E122" t="s">
        <v>160</v>
      </c>
      <c r="F122" t="s">
        <v>34</v>
      </c>
      <c r="G122" t="s">
        <v>70</v>
      </c>
      <c r="H122" t="s">
        <v>71</v>
      </c>
      <c r="I122" t="s">
        <v>37</v>
      </c>
      <c r="J122">
        <v>1</v>
      </c>
      <c r="K122">
        <v>2200</v>
      </c>
      <c r="L122">
        <v>2200</v>
      </c>
    </row>
    <row r="123" spans="1:12" x14ac:dyDescent="0.3">
      <c r="A123">
        <v>10122</v>
      </c>
      <c r="B123" s="2">
        <v>45878</v>
      </c>
      <c r="C123" t="s">
        <v>127</v>
      </c>
      <c r="D123" t="s">
        <v>128</v>
      </c>
      <c r="E123" t="s">
        <v>102</v>
      </c>
      <c r="F123" t="s">
        <v>34</v>
      </c>
      <c r="G123" t="s">
        <v>121</v>
      </c>
      <c r="H123" t="s">
        <v>122</v>
      </c>
      <c r="I123" t="s">
        <v>49</v>
      </c>
      <c r="J123">
        <v>1</v>
      </c>
      <c r="K123">
        <v>4800</v>
      </c>
      <c r="L123">
        <v>4800</v>
      </c>
    </row>
    <row r="124" spans="1:12" x14ac:dyDescent="0.3">
      <c r="A124">
        <v>10123</v>
      </c>
      <c r="B124" s="2">
        <v>45885</v>
      </c>
      <c r="C124" t="s">
        <v>183</v>
      </c>
      <c r="D124" t="s">
        <v>184</v>
      </c>
      <c r="E124" t="s">
        <v>27</v>
      </c>
      <c r="F124" t="s">
        <v>28</v>
      </c>
      <c r="G124" t="s">
        <v>177</v>
      </c>
      <c r="H124" t="s">
        <v>178</v>
      </c>
      <c r="I124" t="s">
        <v>37</v>
      </c>
      <c r="J124">
        <v>1</v>
      </c>
      <c r="K124">
        <v>2500</v>
      </c>
      <c r="L124">
        <v>2500</v>
      </c>
    </row>
    <row r="125" spans="1:12" x14ac:dyDescent="0.3">
      <c r="A125">
        <v>10124</v>
      </c>
      <c r="B125" s="2">
        <v>45827</v>
      </c>
      <c r="C125" t="s">
        <v>142</v>
      </c>
      <c r="D125" t="s">
        <v>143</v>
      </c>
      <c r="E125" t="s">
        <v>14</v>
      </c>
      <c r="F125" t="s">
        <v>15</v>
      </c>
      <c r="G125" t="s">
        <v>96</v>
      </c>
      <c r="H125" t="s">
        <v>97</v>
      </c>
      <c r="I125" t="s">
        <v>37</v>
      </c>
      <c r="J125">
        <v>4</v>
      </c>
      <c r="K125">
        <v>18000</v>
      </c>
      <c r="L125">
        <v>72000</v>
      </c>
    </row>
    <row r="126" spans="1:12" x14ac:dyDescent="0.3">
      <c r="A126">
        <v>10125</v>
      </c>
      <c r="B126" s="2">
        <v>45808</v>
      </c>
      <c r="C126" t="s">
        <v>127</v>
      </c>
      <c r="D126" t="s">
        <v>128</v>
      </c>
      <c r="E126" t="s">
        <v>102</v>
      </c>
      <c r="F126" t="s">
        <v>34</v>
      </c>
      <c r="G126" t="s">
        <v>41</v>
      </c>
      <c r="H126" t="s">
        <v>42</v>
      </c>
      <c r="I126" t="s">
        <v>37</v>
      </c>
      <c r="J126">
        <v>2</v>
      </c>
      <c r="K126">
        <v>30000</v>
      </c>
      <c r="L126">
        <v>60000</v>
      </c>
    </row>
    <row r="127" spans="1:12" x14ac:dyDescent="0.3">
      <c r="A127">
        <v>10126</v>
      </c>
      <c r="B127" s="2">
        <v>45939</v>
      </c>
      <c r="C127" t="s">
        <v>123</v>
      </c>
      <c r="D127" t="s">
        <v>124</v>
      </c>
      <c r="E127" t="s">
        <v>69</v>
      </c>
      <c r="F127" t="s">
        <v>28</v>
      </c>
      <c r="G127" t="s">
        <v>179</v>
      </c>
      <c r="H127" t="s">
        <v>180</v>
      </c>
      <c r="I127" t="s">
        <v>18</v>
      </c>
      <c r="J127">
        <v>2</v>
      </c>
      <c r="K127">
        <v>6500</v>
      </c>
      <c r="L127">
        <v>13000</v>
      </c>
    </row>
    <row r="128" spans="1:12" x14ac:dyDescent="0.3">
      <c r="A128">
        <v>10127</v>
      </c>
      <c r="B128" s="2">
        <v>46005</v>
      </c>
      <c r="C128" t="s">
        <v>82</v>
      </c>
      <c r="D128" t="s">
        <v>83</v>
      </c>
      <c r="E128" t="s">
        <v>84</v>
      </c>
      <c r="F128" t="s">
        <v>46</v>
      </c>
      <c r="G128" t="s">
        <v>177</v>
      </c>
      <c r="H128" t="s">
        <v>178</v>
      </c>
      <c r="I128" t="s">
        <v>37</v>
      </c>
      <c r="J128">
        <v>2</v>
      </c>
      <c r="K128">
        <v>2500</v>
      </c>
      <c r="L128">
        <v>5000</v>
      </c>
    </row>
    <row r="129" spans="1:12" x14ac:dyDescent="0.3">
      <c r="A129">
        <v>10128</v>
      </c>
      <c r="B129" s="2">
        <v>45982</v>
      </c>
      <c r="C129" t="s">
        <v>91</v>
      </c>
      <c r="D129" t="s">
        <v>92</v>
      </c>
      <c r="E129" t="s">
        <v>40</v>
      </c>
      <c r="F129" t="s">
        <v>15</v>
      </c>
      <c r="G129" t="s">
        <v>47</v>
      </c>
      <c r="H129" t="s">
        <v>48</v>
      </c>
      <c r="I129" t="s">
        <v>49</v>
      </c>
      <c r="J129">
        <v>4</v>
      </c>
      <c r="K129">
        <v>1600</v>
      </c>
      <c r="L129">
        <v>6400</v>
      </c>
    </row>
    <row r="130" spans="1:12" x14ac:dyDescent="0.3">
      <c r="A130">
        <v>10129</v>
      </c>
      <c r="B130" s="2">
        <v>45765</v>
      </c>
      <c r="C130" t="s">
        <v>82</v>
      </c>
      <c r="D130" t="s">
        <v>83</v>
      </c>
      <c r="E130" t="s">
        <v>84</v>
      </c>
      <c r="F130" t="s">
        <v>46</v>
      </c>
      <c r="G130" t="s">
        <v>60</v>
      </c>
      <c r="H130" t="s">
        <v>61</v>
      </c>
      <c r="I130" t="s">
        <v>18</v>
      </c>
      <c r="J130">
        <v>1</v>
      </c>
      <c r="K130">
        <v>2200</v>
      </c>
      <c r="L130">
        <v>2200</v>
      </c>
    </row>
    <row r="131" spans="1:12" x14ac:dyDescent="0.3">
      <c r="A131">
        <v>10130</v>
      </c>
      <c r="B131" s="2">
        <v>45862</v>
      </c>
      <c r="C131" t="s">
        <v>135</v>
      </c>
      <c r="D131" t="s">
        <v>136</v>
      </c>
      <c r="E131" t="s">
        <v>137</v>
      </c>
      <c r="F131" t="s">
        <v>46</v>
      </c>
      <c r="G131" t="s">
        <v>113</v>
      </c>
      <c r="H131" t="s">
        <v>114</v>
      </c>
      <c r="I131" t="s">
        <v>37</v>
      </c>
      <c r="J131">
        <v>2</v>
      </c>
      <c r="K131">
        <v>52000</v>
      </c>
      <c r="L131">
        <v>104000</v>
      </c>
    </row>
    <row r="132" spans="1:12" x14ac:dyDescent="0.3">
      <c r="A132">
        <v>10131</v>
      </c>
      <c r="B132" s="2">
        <v>45787</v>
      </c>
      <c r="C132" t="s">
        <v>173</v>
      </c>
      <c r="D132" t="s">
        <v>174</v>
      </c>
      <c r="E132" t="s">
        <v>137</v>
      </c>
      <c r="F132" t="s">
        <v>46</v>
      </c>
      <c r="G132" t="s">
        <v>60</v>
      </c>
      <c r="H132" t="s">
        <v>61</v>
      </c>
      <c r="I132" t="s">
        <v>18</v>
      </c>
      <c r="J132">
        <v>1</v>
      </c>
      <c r="K132">
        <v>2200</v>
      </c>
      <c r="L132">
        <v>2200</v>
      </c>
    </row>
    <row r="133" spans="1:12" x14ac:dyDescent="0.3">
      <c r="A133">
        <v>10132</v>
      </c>
      <c r="B133" s="2">
        <v>45901</v>
      </c>
      <c r="C133" t="s">
        <v>31</v>
      </c>
      <c r="D133" t="s">
        <v>32</v>
      </c>
      <c r="E133" t="s">
        <v>33</v>
      </c>
      <c r="F133" t="s">
        <v>34</v>
      </c>
      <c r="G133" t="s">
        <v>140</v>
      </c>
      <c r="H133" t="s">
        <v>141</v>
      </c>
      <c r="I133" t="s">
        <v>18</v>
      </c>
      <c r="J133">
        <v>3</v>
      </c>
      <c r="K133">
        <v>3000</v>
      </c>
      <c r="L133">
        <v>9000</v>
      </c>
    </row>
    <row r="134" spans="1:12" x14ac:dyDescent="0.3">
      <c r="A134">
        <v>10133</v>
      </c>
      <c r="B134" s="2">
        <v>45770</v>
      </c>
      <c r="C134" t="s">
        <v>85</v>
      </c>
      <c r="D134" t="s">
        <v>86</v>
      </c>
      <c r="E134" t="s">
        <v>45</v>
      </c>
      <c r="F134" t="s">
        <v>46</v>
      </c>
      <c r="G134" t="s">
        <v>144</v>
      </c>
      <c r="H134" t="s">
        <v>145</v>
      </c>
      <c r="I134" t="s">
        <v>37</v>
      </c>
      <c r="J134">
        <v>2</v>
      </c>
      <c r="K134">
        <v>65000</v>
      </c>
      <c r="L134">
        <v>130000</v>
      </c>
    </row>
    <row r="135" spans="1:12" x14ac:dyDescent="0.3">
      <c r="A135">
        <v>10134</v>
      </c>
      <c r="B135" s="2">
        <v>45825</v>
      </c>
      <c r="C135" t="s">
        <v>82</v>
      </c>
      <c r="D135" t="s">
        <v>83</v>
      </c>
      <c r="E135" t="s">
        <v>84</v>
      </c>
      <c r="F135" t="s">
        <v>46</v>
      </c>
      <c r="G135" t="s">
        <v>129</v>
      </c>
      <c r="H135" t="s">
        <v>130</v>
      </c>
      <c r="I135" t="s">
        <v>24</v>
      </c>
      <c r="J135">
        <v>1</v>
      </c>
      <c r="K135">
        <v>1400</v>
      </c>
      <c r="L135">
        <v>1400</v>
      </c>
    </row>
    <row r="136" spans="1:12" x14ac:dyDescent="0.3">
      <c r="A136">
        <v>10135</v>
      </c>
      <c r="B136" s="2">
        <v>45799</v>
      </c>
      <c r="C136" t="s">
        <v>191</v>
      </c>
      <c r="D136" t="s">
        <v>192</v>
      </c>
      <c r="E136" t="s">
        <v>27</v>
      </c>
      <c r="F136" t="s">
        <v>28</v>
      </c>
      <c r="G136" t="s">
        <v>89</v>
      </c>
      <c r="H136" t="s">
        <v>90</v>
      </c>
      <c r="I136" t="s">
        <v>18</v>
      </c>
      <c r="J136">
        <v>2</v>
      </c>
      <c r="K136">
        <v>4200</v>
      </c>
      <c r="L136">
        <v>8400</v>
      </c>
    </row>
    <row r="137" spans="1:12" x14ac:dyDescent="0.3">
      <c r="A137">
        <v>10136</v>
      </c>
      <c r="B137" s="2">
        <v>45754</v>
      </c>
      <c r="C137" t="s">
        <v>115</v>
      </c>
      <c r="D137" t="s">
        <v>116</v>
      </c>
      <c r="E137" t="s">
        <v>33</v>
      </c>
      <c r="F137" t="s">
        <v>34</v>
      </c>
      <c r="G137" t="s">
        <v>60</v>
      </c>
      <c r="H137" t="s">
        <v>61</v>
      </c>
      <c r="I137" t="s">
        <v>18</v>
      </c>
      <c r="J137">
        <v>2</v>
      </c>
      <c r="K137">
        <v>2200</v>
      </c>
      <c r="L137">
        <v>4400</v>
      </c>
    </row>
    <row r="138" spans="1:12" x14ac:dyDescent="0.3">
      <c r="A138">
        <v>10137</v>
      </c>
      <c r="B138" s="2">
        <v>45826</v>
      </c>
      <c r="C138" t="s">
        <v>173</v>
      </c>
      <c r="D138" t="s">
        <v>174</v>
      </c>
      <c r="E138" t="s">
        <v>137</v>
      </c>
      <c r="F138" t="s">
        <v>46</v>
      </c>
      <c r="G138" t="s">
        <v>41</v>
      </c>
      <c r="H138" t="s">
        <v>42</v>
      </c>
      <c r="I138" t="s">
        <v>37</v>
      </c>
      <c r="J138">
        <v>4</v>
      </c>
      <c r="K138">
        <v>30000</v>
      </c>
      <c r="L138">
        <v>120000</v>
      </c>
    </row>
    <row r="139" spans="1:12" x14ac:dyDescent="0.3">
      <c r="A139">
        <v>10138</v>
      </c>
      <c r="B139" s="2">
        <v>46002</v>
      </c>
      <c r="C139" t="s">
        <v>117</v>
      </c>
      <c r="D139" t="s">
        <v>118</v>
      </c>
      <c r="E139" t="s">
        <v>95</v>
      </c>
      <c r="F139" t="s">
        <v>15</v>
      </c>
      <c r="G139" t="s">
        <v>103</v>
      </c>
      <c r="H139" t="s">
        <v>104</v>
      </c>
      <c r="I139" t="s">
        <v>37</v>
      </c>
      <c r="J139">
        <v>1</v>
      </c>
      <c r="K139">
        <v>28000</v>
      </c>
      <c r="L139">
        <v>28000</v>
      </c>
    </row>
    <row r="140" spans="1:12" x14ac:dyDescent="0.3">
      <c r="A140">
        <v>10139</v>
      </c>
      <c r="B140" s="2">
        <v>46022</v>
      </c>
      <c r="C140" t="s">
        <v>181</v>
      </c>
      <c r="D140" t="s">
        <v>182</v>
      </c>
      <c r="E140" t="s">
        <v>21</v>
      </c>
      <c r="F140" t="s">
        <v>15</v>
      </c>
      <c r="G140" t="s">
        <v>29</v>
      </c>
      <c r="H140" t="s">
        <v>30</v>
      </c>
      <c r="I140" t="s">
        <v>18</v>
      </c>
      <c r="J140">
        <v>2</v>
      </c>
      <c r="K140">
        <v>15000</v>
      </c>
      <c r="L140">
        <v>30000</v>
      </c>
    </row>
    <row r="141" spans="1:12" x14ac:dyDescent="0.3">
      <c r="A141">
        <v>10140</v>
      </c>
      <c r="B141" s="2">
        <v>45672</v>
      </c>
      <c r="C141" t="s">
        <v>31</v>
      </c>
      <c r="D141" t="s">
        <v>32</v>
      </c>
      <c r="E141" t="s">
        <v>33</v>
      </c>
      <c r="F141" t="s">
        <v>34</v>
      </c>
      <c r="G141" t="s">
        <v>125</v>
      </c>
      <c r="H141" t="s">
        <v>126</v>
      </c>
      <c r="I141" t="s">
        <v>37</v>
      </c>
      <c r="J141">
        <v>1</v>
      </c>
      <c r="K141">
        <v>22000</v>
      </c>
      <c r="L141">
        <v>22000</v>
      </c>
    </row>
    <row r="142" spans="1:12" x14ac:dyDescent="0.3">
      <c r="A142">
        <v>10141</v>
      </c>
      <c r="B142" s="2">
        <v>45920</v>
      </c>
      <c r="C142" t="s">
        <v>25</v>
      </c>
      <c r="D142" t="s">
        <v>26</v>
      </c>
      <c r="E142" t="s">
        <v>27</v>
      </c>
      <c r="F142" t="s">
        <v>28</v>
      </c>
      <c r="G142" t="s">
        <v>103</v>
      </c>
      <c r="H142" t="s">
        <v>104</v>
      </c>
      <c r="I142" t="s">
        <v>37</v>
      </c>
      <c r="J142">
        <v>5</v>
      </c>
      <c r="K142">
        <v>28000</v>
      </c>
      <c r="L142">
        <v>140000</v>
      </c>
    </row>
    <row r="143" spans="1:12" x14ac:dyDescent="0.3">
      <c r="A143">
        <v>10142</v>
      </c>
      <c r="B143" s="2">
        <v>45994</v>
      </c>
      <c r="C143" t="s">
        <v>193</v>
      </c>
      <c r="D143" t="s">
        <v>194</v>
      </c>
      <c r="E143" t="s">
        <v>102</v>
      </c>
      <c r="F143" t="s">
        <v>34</v>
      </c>
      <c r="G143" t="s">
        <v>187</v>
      </c>
      <c r="H143" t="s">
        <v>188</v>
      </c>
      <c r="I143" t="s">
        <v>24</v>
      </c>
      <c r="J143">
        <v>2</v>
      </c>
      <c r="K143">
        <v>5500</v>
      </c>
      <c r="L143">
        <v>11000</v>
      </c>
    </row>
    <row r="144" spans="1:12" x14ac:dyDescent="0.3">
      <c r="A144">
        <v>10143</v>
      </c>
      <c r="B144" s="2">
        <v>45903</v>
      </c>
      <c r="C144" t="s">
        <v>50</v>
      </c>
      <c r="D144" t="s">
        <v>51</v>
      </c>
      <c r="E144" t="s">
        <v>14</v>
      </c>
      <c r="F144" t="s">
        <v>15</v>
      </c>
      <c r="G144" t="s">
        <v>131</v>
      </c>
      <c r="H144" t="s">
        <v>132</v>
      </c>
      <c r="I144" t="s">
        <v>37</v>
      </c>
      <c r="J144">
        <v>1</v>
      </c>
      <c r="K144">
        <v>4500</v>
      </c>
      <c r="L144">
        <v>4500</v>
      </c>
    </row>
    <row r="145" spans="1:12" x14ac:dyDescent="0.3">
      <c r="A145">
        <v>10144</v>
      </c>
      <c r="B145" s="2">
        <v>45676</v>
      </c>
      <c r="C145" t="s">
        <v>62</v>
      </c>
      <c r="D145" t="s">
        <v>63</v>
      </c>
      <c r="E145" t="s">
        <v>64</v>
      </c>
      <c r="F145" t="s">
        <v>46</v>
      </c>
      <c r="G145" t="s">
        <v>167</v>
      </c>
      <c r="H145" t="s">
        <v>168</v>
      </c>
      <c r="I145" t="s">
        <v>49</v>
      </c>
      <c r="J145">
        <v>2</v>
      </c>
      <c r="K145">
        <v>3800</v>
      </c>
      <c r="L145">
        <v>7600</v>
      </c>
    </row>
    <row r="146" spans="1:12" x14ac:dyDescent="0.3">
      <c r="A146">
        <v>10145</v>
      </c>
      <c r="B146" s="2">
        <v>45845</v>
      </c>
      <c r="C146" t="s">
        <v>195</v>
      </c>
      <c r="D146" t="s">
        <v>196</v>
      </c>
      <c r="E146" t="s">
        <v>102</v>
      </c>
      <c r="F146" t="s">
        <v>34</v>
      </c>
      <c r="G146" t="s">
        <v>16</v>
      </c>
      <c r="H146" t="s">
        <v>17</v>
      </c>
      <c r="I146" t="s">
        <v>18</v>
      </c>
      <c r="J146">
        <v>1</v>
      </c>
      <c r="K146">
        <v>11000</v>
      </c>
      <c r="L146">
        <v>11000</v>
      </c>
    </row>
    <row r="147" spans="1:12" x14ac:dyDescent="0.3">
      <c r="A147">
        <v>10146</v>
      </c>
      <c r="B147" s="2">
        <v>45798</v>
      </c>
      <c r="C147" t="s">
        <v>148</v>
      </c>
      <c r="D147" t="s">
        <v>149</v>
      </c>
      <c r="E147" t="s">
        <v>14</v>
      </c>
      <c r="F147" t="s">
        <v>15</v>
      </c>
      <c r="G147" t="s">
        <v>103</v>
      </c>
      <c r="H147" t="s">
        <v>104</v>
      </c>
      <c r="I147" t="s">
        <v>37</v>
      </c>
      <c r="J147">
        <v>1</v>
      </c>
      <c r="K147">
        <v>28000</v>
      </c>
      <c r="L147">
        <v>28000</v>
      </c>
    </row>
    <row r="148" spans="1:12" x14ac:dyDescent="0.3">
      <c r="A148">
        <v>10147</v>
      </c>
      <c r="B148" s="2">
        <v>45955</v>
      </c>
      <c r="C148" t="s">
        <v>197</v>
      </c>
      <c r="D148" t="s">
        <v>198</v>
      </c>
      <c r="E148" t="s">
        <v>95</v>
      </c>
      <c r="F148" t="s">
        <v>15</v>
      </c>
      <c r="G148" t="s">
        <v>131</v>
      </c>
      <c r="H148" t="s">
        <v>132</v>
      </c>
      <c r="I148" t="s">
        <v>37</v>
      </c>
      <c r="J148">
        <v>1</v>
      </c>
      <c r="K148">
        <v>4500</v>
      </c>
      <c r="L148">
        <v>4500</v>
      </c>
    </row>
    <row r="149" spans="1:12" x14ac:dyDescent="0.3">
      <c r="A149">
        <v>10148</v>
      </c>
      <c r="B149" s="2">
        <v>45988</v>
      </c>
      <c r="C149" t="s">
        <v>199</v>
      </c>
      <c r="D149" t="s">
        <v>200</v>
      </c>
      <c r="E149" t="s">
        <v>201</v>
      </c>
      <c r="F149" t="s">
        <v>28</v>
      </c>
      <c r="G149" t="s">
        <v>113</v>
      </c>
      <c r="H149" t="s">
        <v>114</v>
      </c>
      <c r="I149" t="s">
        <v>37</v>
      </c>
      <c r="J149">
        <v>2</v>
      </c>
      <c r="K149">
        <v>52000</v>
      </c>
      <c r="L149">
        <v>104000</v>
      </c>
    </row>
    <row r="150" spans="1:12" x14ac:dyDescent="0.3">
      <c r="A150">
        <v>10149</v>
      </c>
      <c r="B150" s="2">
        <v>45810</v>
      </c>
      <c r="C150" t="s">
        <v>202</v>
      </c>
      <c r="D150" t="s">
        <v>203</v>
      </c>
      <c r="E150" t="s">
        <v>64</v>
      </c>
      <c r="F150" t="s">
        <v>46</v>
      </c>
      <c r="G150" t="s">
        <v>163</v>
      </c>
      <c r="H150" t="s">
        <v>164</v>
      </c>
      <c r="I150" t="s">
        <v>49</v>
      </c>
      <c r="J150">
        <v>5</v>
      </c>
      <c r="K150">
        <v>4200</v>
      </c>
      <c r="L150">
        <v>21000</v>
      </c>
    </row>
    <row r="151" spans="1:12" x14ac:dyDescent="0.3">
      <c r="A151">
        <v>10150</v>
      </c>
      <c r="B151" s="2">
        <v>45925</v>
      </c>
      <c r="C151" t="s">
        <v>204</v>
      </c>
      <c r="D151" t="s">
        <v>205</v>
      </c>
      <c r="E151" t="s">
        <v>201</v>
      </c>
      <c r="F151" t="s">
        <v>28</v>
      </c>
      <c r="G151" t="s">
        <v>167</v>
      </c>
      <c r="H151" t="s">
        <v>168</v>
      </c>
      <c r="I151" t="s">
        <v>49</v>
      </c>
      <c r="J151">
        <v>2</v>
      </c>
      <c r="K151">
        <v>3800</v>
      </c>
      <c r="L151">
        <v>7600</v>
      </c>
    </row>
    <row r="152" spans="1:12" x14ac:dyDescent="0.3">
      <c r="A152">
        <v>10151</v>
      </c>
      <c r="B152" s="2">
        <v>45842</v>
      </c>
      <c r="C152" t="s">
        <v>85</v>
      </c>
      <c r="D152" t="s">
        <v>86</v>
      </c>
      <c r="E152" t="s">
        <v>45</v>
      </c>
      <c r="F152" t="s">
        <v>46</v>
      </c>
      <c r="G152" t="s">
        <v>47</v>
      </c>
      <c r="H152" t="s">
        <v>48</v>
      </c>
      <c r="I152" t="s">
        <v>49</v>
      </c>
      <c r="J152">
        <v>1</v>
      </c>
      <c r="K152">
        <v>1600</v>
      </c>
      <c r="L152">
        <v>1600</v>
      </c>
    </row>
    <row r="153" spans="1:12" x14ac:dyDescent="0.3">
      <c r="A153">
        <v>10152</v>
      </c>
      <c r="B153" s="2">
        <v>45747</v>
      </c>
      <c r="C153" t="s">
        <v>193</v>
      </c>
      <c r="D153" t="s">
        <v>194</v>
      </c>
      <c r="E153" t="s">
        <v>102</v>
      </c>
      <c r="F153" t="s">
        <v>34</v>
      </c>
      <c r="G153" t="s">
        <v>167</v>
      </c>
      <c r="H153" t="s">
        <v>168</v>
      </c>
      <c r="I153" t="s">
        <v>49</v>
      </c>
      <c r="J153">
        <v>2</v>
      </c>
      <c r="K153">
        <v>3800</v>
      </c>
      <c r="L153">
        <v>7600</v>
      </c>
    </row>
    <row r="154" spans="1:12" x14ac:dyDescent="0.3">
      <c r="A154">
        <v>10153</v>
      </c>
      <c r="B154" s="2">
        <v>45928</v>
      </c>
      <c r="C154" t="s">
        <v>185</v>
      </c>
      <c r="D154" t="s">
        <v>186</v>
      </c>
      <c r="E154" t="s">
        <v>14</v>
      </c>
      <c r="F154" t="s">
        <v>15</v>
      </c>
      <c r="G154" t="s">
        <v>98</v>
      </c>
      <c r="H154" t="s">
        <v>99</v>
      </c>
      <c r="I154" t="s">
        <v>24</v>
      </c>
      <c r="J154">
        <v>2</v>
      </c>
      <c r="K154">
        <v>2000</v>
      </c>
      <c r="L154">
        <v>4000</v>
      </c>
    </row>
    <row r="155" spans="1:12" x14ac:dyDescent="0.3">
      <c r="A155">
        <v>10154</v>
      </c>
      <c r="B155" s="2">
        <v>45969</v>
      </c>
      <c r="C155" t="s">
        <v>206</v>
      </c>
      <c r="D155" t="s">
        <v>207</v>
      </c>
      <c r="E155" t="s">
        <v>160</v>
      </c>
      <c r="F155" t="s">
        <v>34</v>
      </c>
      <c r="G155" t="s">
        <v>41</v>
      </c>
      <c r="H155" t="s">
        <v>42</v>
      </c>
      <c r="I155" t="s">
        <v>37</v>
      </c>
      <c r="J155">
        <v>4</v>
      </c>
      <c r="K155">
        <v>30000</v>
      </c>
      <c r="L155">
        <v>120000</v>
      </c>
    </row>
    <row r="156" spans="1:12" x14ac:dyDescent="0.3">
      <c r="A156">
        <v>10155</v>
      </c>
      <c r="B156" s="2">
        <v>45877</v>
      </c>
      <c r="C156" t="s">
        <v>146</v>
      </c>
      <c r="D156" t="s">
        <v>147</v>
      </c>
      <c r="E156" t="s">
        <v>64</v>
      </c>
      <c r="F156" t="s">
        <v>46</v>
      </c>
      <c r="G156" t="s">
        <v>35</v>
      </c>
      <c r="H156" t="s">
        <v>36</v>
      </c>
      <c r="I156" t="s">
        <v>37</v>
      </c>
      <c r="J156">
        <v>1</v>
      </c>
      <c r="K156">
        <v>12000</v>
      </c>
      <c r="L156">
        <v>12000</v>
      </c>
    </row>
    <row r="157" spans="1:12" x14ac:dyDescent="0.3">
      <c r="A157">
        <v>10156</v>
      </c>
      <c r="B157" s="2">
        <v>45796</v>
      </c>
      <c r="C157" t="s">
        <v>208</v>
      </c>
      <c r="D157" t="s">
        <v>209</v>
      </c>
      <c r="E157" t="s">
        <v>95</v>
      </c>
      <c r="F157" t="s">
        <v>15</v>
      </c>
      <c r="G157" t="s">
        <v>56</v>
      </c>
      <c r="H157" t="s">
        <v>57</v>
      </c>
      <c r="I157" t="s">
        <v>18</v>
      </c>
      <c r="J157">
        <v>2</v>
      </c>
      <c r="K157">
        <v>9000</v>
      </c>
      <c r="L157">
        <v>18000</v>
      </c>
    </row>
    <row r="158" spans="1:12" x14ac:dyDescent="0.3">
      <c r="A158">
        <v>10157</v>
      </c>
      <c r="B158" s="2">
        <v>46005</v>
      </c>
      <c r="C158" t="s">
        <v>43</v>
      </c>
      <c r="D158" t="s">
        <v>44</v>
      </c>
      <c r="E158" t="s">
        <v>45</v>
      </c>
      <c r="F158" t="s">
        <v>46</v>
      </c>
      <c r="G158" t="s">
        <v>125</v>
      </c>
      <c r="H158" t="s">
        <v>126</v>
      </c>
      <c r="I158" t="s">
        <v>37</v>
      </c>
      <c r="J158">
        <v>3</v>
      </c>
      <c r="K158">
        <v>22000</v>
      </c>
      <c r="L158">
        <v>66000</v>
      </c>
    </row>
    <row r="159" spans="1:12" x14ac:dyDescent="0.3">
      <c r="A159">
        <v>10158</v>
      </c>
      <c r="B159" s="2">
        <v>45858</v>
      </c>
      <c r="C159" t="s">
        <v>50</v>
      </c>
      <c r="D159" t="s">
        <v>51</v>
      </c>
      <c r="E159" t="s">
        <v>14</v>
      </c>
      <c r="F159" t="s">
        <v>15</v>
      </c>
      <c r="G159" t="s">
        <v>52</v>
      </c>
      <c r="H159" t="s">
        <v>53</v>
      </c>
      <c r="I159" t="s">
        <v>24</v>
      </c>
      <c r="J159">
        <v>2</v>
      </c>
      <c r="K159">
        <v>3500</v>
      </c>
      <c r="L159">
        <v>7000</v>
      </c>
    </row>
    <row r="160" spans="1:12" x14ac:dyDescent="0.3">
      <c r="A160">
        <v>10159</v>
      </c>
      <c r="B160" s="2">
        <v>45968</v>
      </c>
      <c r="C160" t="s">
        <v>210</v>
      </c>
      <c r="D160" t="s">
        <v>211</v>
      </c>
      <c r="E160" t="s">
        <v>40</v>
      </c>
      <c r="F160" t="s">
        <v>15</v>
      </c>
      <c r="G160" t="s">
        <v>103</v>
      </c>
      <c r="H160" t="s">
        <v>104</v>
      </c>
      <c r="I160" t="s">
        <v>37</v>
      </c>
      <c r="J160">
        <v>2</v>
      </c>
      <c r="K160">
        <v>28000</v>
      </c>
      <c r="L160">
        <v>56000</v>
      </c>
    </row>
    <row r="161" spans="1:12" x14ac:dyDescent="0.3">
      <c r="A161">
        <v>10160</v>
      </c>
      <c r="B161" s="2">
        <v>45725</v>
      </c>
      <c r="C161" t="s">
        <v>77</v>
      </c>
      <c r="D161" t="s">
        <v>78</v>
      </c>
      <c r="E161" t="s">
        <v>79</v>
      </c>
      <c r="F161" t="s">
        <v>34</v>
      </c>
      <c r="G161" t="s">
        <v>121</v>
      </c>
      <c r="H161" t="s">
        <v>122</v>
      </c>
      <c r="I161" t="s">
        <v>49</v>
      </c>
      <c r="J161">
        <v>2</v>
      </c>
      <c r="K161">
        <v>4800</v>
      </c>
      <c r="L161">
        <v>9600</v>
      </c>
    </row>
    <row r="162" spans="1:12" x14ac:dyDescent="0.3">
      <c r="A162">
        <v>10161</v>
      </c>
      <c r="B162" s="2">
        <v>45999</v>
      </c>
      <c r="C162" t="s">
        <v>189</v>
      </c>
      <c r="D162" t="s">
        <v>190</v>
      </c>
      <c r="E162" t="s">
        <v>160</v>
      </c>
      <c r="F162" t="s">
        <v>34</v>
      </c>
      <c r="G162" t="s">
        <v>29</v>
      </c>
      <c r="H162" t="s">
        <v>30</v>
      </c>
      <c r="I162" t="s">
        <v>18</v>
      </c>
      <c r="J162">
        <v>3</v>
      </c>
      <c r="K162">
        <v>15000</v>
      </c>
      <c r="L162">
        <v>45000</v>
      </c>
    </row>
    <row r="163" spans="1:12" x14ac:dyDescent="0.3">
      <c r="A163">
        <v>10162</v>
      </c>
      <c r="B163" s="2">
        <v>45749</v>
      </c>
      <c r="C163" t="s">
        <v>38</v>
      </c>
      <c r="D163" t="s">
        <v>39</v>
      </c>
      <c r="E163" t="s">
        <v>40</v>
      </c>
      <c r="F163" t="s">
        <v>15</v>
      </c>
      <c r="G163" t="s">
        <v>131</v>
      </c>
      <c r="H163" t="s">
        <v>132</v>
      </c>
      <c r="I163" t="s">
        <v>37</v>
      </c>
      <c r="J163">
        <v>1</v>
      </c>
      <c r="K163">
        <v>4500</v>
      </c>
      <c r="L163">
        <v>4500</v>
      </c>
    </row>
    <row r="164" spans="1:12" x14ac:dyDescent="0.3">
      <c r="A164">
        <v>10163</v>
      </c>
      <c r="B164" s="2">
        <v>45723</v>
      </c>
      <c r="C164" t="s">
        <v>185</v>
      </c>
      <c r="D164" t="s">
        <v>186</v>
      </c>
      <c r="E164" t="s">
        <v>14</v>
      </c>
      <c r="F164" t="s">
        <v>15</v>
      </c>
      <c r="G164" t="s">
        <v>65</v>
      </c>
      <c r="H164" t="s">
        <v>66</v>
      </c>
      <c r="I164" t="s">
        <v>49</v>
      </c>
      <c r="J164">
        <v>1</v>
      </c>
      <c r="K164">
        <v>2400</v>
      </c>
      <c r="L164">
        <v>2400</v>
      </c>
    </row>
    <row r="165" spans="1:12" x14ac:dyDescent="0.3">
      <c r="A165">
        <v>10164</v>
      </c>
      <c r="B165" s="2">
        <v>45753</v>
      </c>
      <c r="C165" t="s">
        <v>154</v>
      </c>
      <c r="D165" t="s">
        <v>155</v>
      </c>
      <c r="E165" t="s">
        <v>74</v>
      </c>
      <c r="F165" t="s">
        <v>28</v>
      </c>
      <c r="G165" t="s">
        <v>113</v>
      </c>
      <c r="H165" t="s">
        <v>114</v>
      </c>
      <c r="I165" t="s">
        <v>37</v>
      </c>
      <c r="J165">
        <v>2</v>
      </c>
      <c r="K165">
        <v>52000</v>
      </c>
      <c r="L165">
        <v>104000</v>
      </c>
    </row>
    <row r="166" spans="1:12" x14ac:dyDescent="0.3">
      <c r="A166">
        <v>10165</v>
      </c>
      <c r="B166" s="2">
        <v>45937</v>
      </c>
      <c r="C166" t="s">
        <v>199</v>
      </c>
      <c r="D166" t="s">
        <v>200</v>
      </c>
      <c r="E166" t="s">
        <v>201</v>
      </c>
      <c r="F166" t="s">
        <v>28</v>
      </c>
      <c r="G166" t="s">
        <v>152</v>
      </c>
      <c r="H166" t="s">
        <v>153</v>
      </c>
      <c r="I166" t="s">
        <v>49</v>
      </c>
      <c r="J166">
        <v>4</v>
      </c>
      <c r="K166">
        <v>3200</v>
      </c>
      <c r="L166">
        <v>12800</v>
      </c>
    </row>
    <row r="167" spans="1:12" x14ac:dyDescent="0.3">
      <c r="A167">
        <v>10166</v>
      </c>
      <c r="B167" s="2">
        <v>45935</v>
      </c>
      <c r="C167" t="s">
        <v>93</v>
      </c>
      <c r="D167" t="s">
        <v>94</v>
      </c>
      <c r="E167" t="s">
        <v>95</v>
      </c>
      <c r="F167" t="s">
        <v>15</v>
      </c>
      <c r="G167" t="s">
        <v>56</v>
      </c>
      <c r="H167" t="s">
        <v>57</v>
      </c>
      <c r="I167" t="s">
        <v>18</v>
      </c>
      <c r="J167">
        <v>1</v>
      </c>
      <c r="K167">
        <v>9000</v>
      </c>
      <c r="L167">
        <v>9000</v>
      </c>
    </row>
    <row r="168" spans="1:12" x14ac:dyDescent="0.3">
      <c r="A168">
        <v>10167</v>
      </c>
      <c r="B168" s="2">
        <v>45824</v>
      </c>
      <c r="C168" t="s">
        <v>202</v>
      </c>
      <c r="D168" t="s">
        <v>203</v>
      </c>
      <c r="E168" t="s">
        <v>64</v>
      </c>
      <c r="F168" t="s">
        <v>46</v>
      </c>
      <c r="G168" t="s">
        <v>179</v>
      </c>
      <c r="H168" t="s">
        <v>180</v>
      </c>
      <c r="I168" t="s">
        <v>18</v>
      </c>
      <c r="J168">
        <v>1</v>
      </c>
      <c r="K168">
        <v>6500</v>
      </c>
      <c r="L168">
        <v>6500</v>
      </c>
    </row>
    <row r="169" spans="1:12" x14ac:dyDescent="0.3">
      <c r="A169">
        <v>10168</v>
      </c>
      <c r="B169" s="2">
        <v>45687</v>
      </c>
      <c r="C169" t="s">
        <v>91</v>
      </c>
      <c r="D169" t="s">
        <v>92</v>
      </c>
      <c r="E169" t="s">
        <v>40</v>
      </c>
      <c r="F169" t="s">
        <v>15</v>
      </c>
      <c r="G169" t="s">
        <v>89</v>
      </c>
      <c r="H169" t="s">
        <v>90</v>
      </c>
      <c r="I169" t="s">
        <v>18</v>
      </c>
      <c r="J169">
        <v>1</v>
      </c>
      <c r="K169">
        <v>4200</v>
      </c>
      <c r="L169">
        <v>4200</v>
      </c>
    </row>
    <row r="170" spans="1:12" x14ac:dyDescent="0.3">
      <c r="A170">
        <v>10169</v>
      </c>
      <c r="B170" s="2">
        <v>45789</v>
      </c>
      <c r="C170" t="s">
        <v>31</v>
      </c>
      <c r="D170" t="s">
        <v>32</v>
      </c>
      <c r="E170" t="s">
        <v>33</v>
      </c>
      <c r="F170" t="s">
        <v>34</v>
      </c>
      <c r="G170" t="s">
        <v>65</v>
      </c>
      <c r="H170" t="s">
        <v>66</v>
      </c>
      <c r="I170" t="s">
        <v>49</v>
      </c>
      <c r="J170">
        <v>1</v>
      </c>
      <c r="K170">
        <v>2400</v>
      </c>
      <c r="L170">
        <v>2400</v>
      </c>
    </row>
    <row r="171" spans="1:12" x14ac:dyDescent="0.3">
      <c r="A171">
        <v>10170</v>
      </c>
      <c r="B171" s="2">
        <v>45704</v>
      </c>
      <c r="C171" t="s">
        <v>146</v>
      </c>
      <c r="D171" t="s">
        <v>147</v>
      </c>
      <c r="E171" t="s">
        <v>64</v>
      </c>
      <c r="F171" t="s">
        <v>46</v>
      </c>
      <c r="G171" t="s">
        <v>16</v>
      </c>
      <c r="H171" t="s">
        <v>17</v>
      </c>
      <c r="I171" t="s">
        <v>18</v>
      </c>
      <c r="J171">
        <v>1</v>
      </c>
      <c r="K171">
        <v>11000</v>
      </c>
      <c r="L171">
        <v>11000</v>
      </c>
    </row>
    <row r="172" spans="1:12" x14ac:dyDescent="0.3">
      <c r="A172">
        <v>10171</v>
      </c>
      <c r="B172" s="2">
        <v>45745</v>
      </c>
      <c r="C172" t="s">
        <v>212</v>
      </c>
      <c r="D172" t="s">
        <v>213</v>
      </c>
      <c r="E172" t="s">
        <v>69</v>
      </c>
      <c r="F172" t="s">
        <v>28</v>
      </c>
      <c r="G172" t="s">
        <v>75</v>
      </c>
      <c r="H172" t="s">
        <v>76</v>
      </c>
      <c r="I172" t="s">
        <v>49</v>
      </c>
      <c r="J172">
        <v>1</v>
      </c>
      <c r="K172">
        <v>3000</v>
      </c>
      <c r="L172">
        <v>3000</v>
      </c>
    </row>
    <row r="173" spans="1:12" x14ac:dyDescent="0.3">
      <c r="A173">
        <v>10172</v>
      </c>
      <c r="B173" s="2">
        <v>45848</v>
      </c>
      <c r="C173" t="s">
        <v>82</v>
      </c>
      <c r="D173" t="s">
        <v>83</v>
      </c>
      <c r="E173" t="s">
        <v>84</v>
      </c>
      <c r="F173" t="s">
        <v>46</v>
      </c>
      <c r="G173" t="s">
        <v>16</v>
      </c>
      <c r="H173" t="s">
        <v>17</v>
      </c>
      <c r="I173" t="s">
        <v>18</v>
      </c>
      <c r="J173">
        <v>1</v>
      </c>
      <c r="K173">
        <v>11000</v>
      </c>
      <c r="L173">
        <v>11000</v>
      </c>
    </row>
    <row r="174" spans="1:12" x14ac:dyDescent="0.3">
      <c r="A174">
        <v>10173</v>
      </c>
      <c r="B174" s="2">
        <v>45874</v>
      </c>
      <c r="C174" t="s">
        <v>193</v>
      </c>
      <c r="D174" t="s">
        <v>194</v>
      </c>
      <c r="E174" t="s">
        <v>102</v>
      </c>
      <c r="F174" t="s">
        <v>34</v>
      </c>
      <c r="G174" t="s">
        <v>109</v>
      </c>
      <c r="H174" t="s">
        <v>110</v>
      </c>
      <c r="I174" t="s">
        <v>18</v>
      </c>
      <c r="J174">
        <v>1</v>
      </c>
      <c r="K174">
        <v>5000</v>
      </c>
      <c r="L174">
        <v>5000</v>
      </c>
    </row>
    <row r="175" spans="1:12" x14ac:dyDescent="0.3">
      <c r="A175">
        <v>10174</v>
      </c>
      <c r="B175" s="2">
        <v>45816</v>
      </c>
      <c r="C175" t="s">
        <v>100</v>
      </c>
      <c r="D175" t="s">
        <v>101</v>
      </c>
      <c r="E175" t="s">
        <v>102</v>
      </c>
      <c r="F175" t="s">
        <v>34</v>
      </c>
      <c r="G175" t="s">
        <v>35</v>
      </c>
      <c r="H175" t="s">
        <v>36</v>
      </c>
      <c r="I175" t="s">
        <v>37</v>
      </c>
      <c r="J175">
        <v>2</v>
      </c>
      <c r="K175">
        <v>12000</v>
      </c>
      <c r="L175">
        <v>24000</v>
      </c>
    </row>
    <row r="176" spans="1:12" x14ac:dyDescent="0.3">
      <c r="A176">
        <v>10175</v>
      </c>
      <c r="B176" s="2">
        <v>45968</v>
      </c>
      <c r="C176" t="s">
        <v>214</v>
      </c>
      <c r="D176" t="s">
        <v>215</v>
      </c>
      <c r="E176" t="s">
        <v>137</v>
      </c>
      <c r="F176" t="s">
        <v>46</v>
      </c>
      <c r="G176" t="s">
        <v>129</v>
      </c>
      <c r="H176" t="s">
        <v>130</v>
      </c>
      <c r="I176" t="s">
        <v>24</v>
      </c>
      <c r="J176">
        <v>1</v>
      </c>
      <c r="K176">
        <v>1400</v>
      </c>
      <c r="L176">
        <v>1400</v>
      </c>
    </row>
    <row r="177" spans="1:12" x14ac:dyDescent="0.3">
      <c r="A177">
        <v>10176</v>
      </c>
      <c r="B177" s="2">
        <v>45758</v>
      </c>
      <c r="C177" t="s">
        <v>62</v>
      </c>
      <c r="D177" t="s">
        <v>63</v>
      </c>
      <c r="E177" t="s">
        <v>64</v>
      </c>
      <c r="F177" t="s">
        <v>46</v>
      </c>
      <c r="G177" t="s">
        <v>35</v>
      </c>
      <c r="H177" t="s">
        <v>36</v>
      </c>
      <c r="I177" t="s">
        <v>37</v>
      </c>
      <c r="J177">
        <v>1</v>
      </c>
      <c r="K177">
        <v>12000</v>
      </c>
      <c r="L177">
        <v>12000</v>
      </c>
    </row>
    <row r="178" spans="1:12" x14ac:dyDescent="0.3">
      <c r="A178">
        <v>10177</v>
      </c>
      <c r="B178" s="2">
        <v>45976</v>
      </c>
      <c r="C178" t="s">
        <v>156</v>
      </c>
      <c r="D178" t="s">
        <v>157</v>
      </c>
      <c r="E178" t="s">
        <v>95</v>
      </c>
      <c r="F178" t="s">
        <v>15</v>
      </c>
      <c r="G178" t="s">
        <v>65</v>
      </c>
      <c r="H178" t="s">
        <v>66</v>
      </c>
      <c r="I178" t="s">
        <v>49</v>
      </c>
      <c r="J178">
        <v>2</v>
      </c>
      <c r="K178">
        <v>2400</v>
      </c>
      <c r="L178">
        <v>4800</v>
      </c>
    </row>
    <row r="179" spans="1:12" x14ac:dyDescent="0.3">
      <c r="A179">
        <v>10178</v>
      </c>
      <c r="B179" s="2">
        <v>45879</v>
      </c>
      <c r="C179" t="s">
        <v>12</v>
      </c>
      <c r="D179" t="s">
        <v>13</v>
      </c>
      <c r="E179" t="s">
        <v>14</v>
      </c>
      <c r="F179" t="s">
        <v>15</v>
      </c>
      <c r="G179" t="s">
        <v>103</v>
      </c>
      <c r="H179" t="s">
        <v>104</v>
      </c>
      <c r="I179" t="s">
        <v>37</v>
      </c>
      <c r="J179">
        <v>1</v>
      </c>
      <c r="K179">
        <v>28000</v>
      </c>
      <c r="L179">
        <v>28000</v>
      </c>
    </row>
    <row r="180" spans="1:12" x14ac:dyDescent="0.3">
      <c r="A180">
        <v>10179</v>
      </c>
      <c r="B180" s="2">
        <v>45673</v>
      </c>
      <c r="C180" t="s">
        <v>19</v>
      </c>
      <c r="D180" t="s">
        <v>20</v>
      </c>
      <c r="E180" t="s">
        <v>21</v>
      </c>
      <c r="F180" t="s">
        <v>15</v>
      </c>
      <c r="G180" t="s">
        <v>52</v>
      </c>
      <c r="H180" t="s">
        <v>53</v>
      </c>
      <c r="I180" t="s">
        <v>24</v>
      </c>
      <c r="J180">
        <v>2</v>
      </c>
      <c r="K180">
        <v>3500</v>
      </c>
      <c r="L180">
        <v>7000</v>
      </c>
    </row>
    <row r="181" spans="1:12" x14ac:dyDescent="0.3">
      <c r="A181">
        <v>10180</v>
      </c>
      <c r="B181" s="2">
        <v>45982</v>
      </c>
      <c r="C181" t="s">
        <v>133</v>
      </c>
      <c r="D181" t="s">
        <v>134</v>
      </c>
      <c r="E181" t="s">
        <v>33</v>
      </c>
      <c r="F181" t="s">
        <v>34</v>
      </c>
      <c r="G181" t="s">
        <v>22</v>
      </c>
      <c r="H181" t="s">
        <v>23</v>
      </c>
      <c r="I181" t="s">
        <v>24</v>
      </c>
      <c r="J181">
        <v>2</v>
      </c>
      <c r="K181">
        <v>2400</v>
      </c>
      <c r="L181">
        <v>4800</v>
      </c>
    </row>
    <row r="182" spans="1:12" x14ac:dyDescent="0.3">
      <c r="A182">
        <v>10181</v>
      </c>
      <c r="B182" s="2">
        <v>45662</v>
      </c>
      <c r="C182" t="s">
        <v>38</v>
      </c>
      <c r="D182" t="s">
        <v>39</v>
      </c>
      <c r="E182" t="s">
        <v>40</v>
      </c>
      <c r="F182" t="s">
        <v>15</v>
      </c>
      <c r="G182" t="s">
        <v>70</v>
      </c>
      <c r="H182" t="s">
        <v>71</v>
      </c>
      <c r="I182" t="s">
        <v>37</v>
      </c>
      <c r="J182">
        <v>1</v>
      </c>
      <c r="K182">
        <v>2200</v>
      </c>
      <c r="L182">
        <v>2200</v>
      </c>
    </row>
    <row r="183" spans="1:12" x14ac:dyDescent="0.3">
      <c r="A183">
        <v>10182</v>
      </c>
      <c r="B183" s="2">
        <v>45839</v>
      </c>
      <c r="C183" t="s">
        <v>87</v>
      </c>
      <c r="D183" t="s">
        <v>88</v>
      </c>
      <c r="E183" t="s">
        <v>64</v>
      </c>
      <c r="F183" t="s">
        <v>46</v>
      </c>
      <c r="G183" t="s">
        <v>96</v>
      </c>
      <c r="H183" t="s">
        <v>97</v>
      </c>
      <c r="I183" t="s">
        <v>37</v>
      </c>
      <c r="J183">
        <v>1</v>
      </c>
      <c r="K183">
        <v>18000</v>
      </c>
      <c r="L183">
        <v>18000</v>
      </c>
    </row>
    <row r="184" spans="1:12" x14ac:dyDescent="0.3">
      <c r="A184">
        <v>10183</v>
      </c>
      <c r="B184" s="2">
        <v>45944</v>
      </c>
      <c r="C184" t="s">
        <v>133</v>
      </c>
      <c r="D184" t="s">
        <v>134</v>
      </c>
      <c r="E184" t="s">
        <v>33</v>
      </c>
      <c r="F184" t="s">
        <v>34</v>
      </c>
      <c r="G184" t="s">
        <v>163</v>
      </c>
      <c r="H184" t="s">
        <v>164</v>
      </c>
      <c r="I184" t="s">
        <v>49</v>
      </c>
      <c r="J184">
        <v>1</v>
      </c>
      <c r="K184">
        <v>4200</v>
      </c>
      <c r="L184">
        <v>4200</v>
      </c>
    </row>
    <row r="185" spans="1:12" x14ac:dyDescent="0.3">
      <c r="A185">
        <v>10184</v>
      </c>
      <c r="B185" s="2">
        <v>45982</v>
      </c>
      <c r="C185" t="s">
        <v>100</v>
      </c>
      <c r="D185" t="s">
        <v>101</v>
      </c>
      <c r="E185" t="s">
        <v>102</v>
      </c>
      <c r="F185" t="s">
        <v>34</v>
      </c>
      <c r="G185" t="s">
        <v>70</v>
      </c>
      <c r="H185" t="s">
        <v>71</v>
      </c>
      <c r="I185" t="s">
        <v>37</v>
      </c>
      <c r="J185">
        <v>2</v>
      </c>
      <c r="K185">
        <v>2200</v>
      </c>
      <c r="L185">
        <v>4400</v>
      </c>
    </row>
    <row r="186" spans="1:12" x14ac:dyDescent="0.3">
      <c r="A186">
        <v>10185</v>
      </c>
      <c r="B186" s="2">
        <v>45825</v>
      </c>
      <c r="C186" t="s">
        <v>117</v>
      </c>
      <c r="D186" t="s">
        <v>118</v>
      </c>
      <c r="E186" t="s">
        <v>95</v>
      </c>
      <c r="F186" t="s">
        <v>15</v>
      </c>
      <c r="G186" t="s">
        <v>47</v>
      </c>
      <c r="H186" t="s">
        <v>48</v>
      </c>
      <c r="I186" t="s">
        <v>49</v>
      </c>
      <c r="J186">
        <v>2</v>
      </c>
      <c r="K186">
        <v>1600</v>
      </c>
      <c r="L186">
        <v>3200</v>
      </c>
    </row>
    <row r="187" spans="1:12" x14ac:dyDescent="0.3">
      <c r="A187">
        <v>10186</v>
      </c>
      <c r="B187" s="2">
        <v>45897</v>
      </c>
      <c r="C187" t="s">
        <v>185</v>
      </c>
      <c r="D187" t="s">
        <v>186</v>
      </c>
      <c r="E187" t="s">
        <v>14</v>
      </c>
      <c r="F187" t="s">
        <v>15</v>
      </c>
      <c r="G187" t="s">
        <v>113</v>
      </c>
      <c r="H187" t="s">
        <v>114</v>
      </c>
      <c r="I187" t="s">
        <v>37</v>
      </c>
      <c r="J187">
        <v>1</v>
      </c>
      <c r="K187">
        <v>52000</v>
      </c>
      <c r="L187">
        <v>52000</v>
      </c>
    </row>
    <row r="188" spans="1:12" x14ac:dyDescent="0.3">
      <c r="A188">
        <v>10187</v>
      </c>
      <c r="B188" s="2">
        <v>45929</v>
      </c>
      <c r="C188" t="s">
        <v>183</v>
      </c>
      <c r="D188" t="s">
        <v>184</v>
      </c>
      <c r="E188" t="s">
        <v>27</v>
      </c>
      <c r="F188" t="s">
        <v>28</v>
      </c>
      <c r="G188" t="s">
        <v>56</v>
      </c>
      <c r="H188" t="s">
        <v>57</v>
      </c>
      <c r="I188" t="s">
        <v>18</v>
      </c>
      <c r="J188">
        <v>4</v>
      </c>
      <c r="K188">
        <v>9000</v>
      </c>
      <c r="L188">
        <v>36000</v>
      </c>
    </row>
    <row r="189" spans="1:12" x14ac:dyDescent="0.3">
      <c r="A189">
        <v>10188</v>
      </c>
      <c r="B189" s="2">
        <v>45699</v>
      </c>
      <c r="C189" t="s">
        <v>107</v>
      </c>
      <c r="D189" t="s">
        <v>108</v>
      </c>
      <c r="E189" t="s">
        <v>74</v>
      </c>
      <c r="F189" t="s">
        <v>28</v>
      </c>
      <c r="G189" t="s">
        <v>131</v>
      </c>
      <c r="H189" t="s">
        <v>132</v>
      </c>
      <c r="I189" t="s">
        <v>37</v>
      </c>
      <c r="J189">
        <v>2</v>
      </c>
      <c r="K189">
        <v>4500</v>
      </c>
      <c r="L189">
        <v>9000</v>
      </c>
    </row>
    <row r="190" spans="1:12" x14ac:dyDescent="0.3">
      <c r="A190">
        <v>10189</v>
      </c>
      <c r="B190" s="2">
        <v>45946</v>
      </c>
      <c r="C190" t="s">
        <v>171</v>
      </c>
      <c r="D190" t="s">
        <v>172</v>
      </c>
      <c r="E190" t="s">
        <v>45</v>
      </c>
      <c r="F190" t="s">
        <v>46</v>
      </c>
      <c r="G190" t="s">
        <v>129</v>
      </c>
      <c r="H190" t="s">
        <v>130</v>
      </c>
      <c r="I190" t="s">
        <v>24</v>
      </c>
      <c r="J190">
        <v>1</v>
      </c>
      <c r="K190">
        <v>1400</v>
      </c>
      <c r="L190">
        <v>1400</v>
      </c>
    </row>
    <row r="191" spans="1:12" x14ac:dyDescent="0.3">
      <c r="A191">
        <v>10190</v>
      </c>
      <c r="B191" s="2">
        <v>45891</v>
      </c>
      <c r="C191" t="s">
        <v>189</v>
      </c>
      <c r="D191" t="s">
        <v>190</v>
      </c>
      <c r="E191" t="s">
        <v>160</v>
      </c>
      <c r="F191" t="s">
        <v>34</v>
      </c>
      <c r="G191" t="s">
        <v>75</v>
      </c>
      <c r="H191" t="s">
        <v>76</v>
      </c>
      <c r="I191" t="s">
        <v>49</v>
      </c>
      <c r="J191">
        <v>2</v>
      </c>
      <c r="K191">
        <v>3000</v>
      </c>
      <c r="L191">
        <v>6000</v>
      </c>
    </row>
    <row r="192" spans="1:12" x14ac:dyDescent="0.3">
      <c r="A192">
        <v>10191</v>
      </c>
      <c r="B192" s="2">
        <v>45821</v>
      </c>
      <c r="C192" t="s">
        <v>216</v>
      </c>
      <c r="D192" t="s">
        <v>217</v>
      </c>
      <c r="E192" t="s">
        <v>21</v>
      </c>
      <c r="F192" t="s">
        <v>15</v>
      </c>
      <c r="G192" t="s">
        <v>125</v>
      </c>
      <c r="H192" t="s">
        <v>126</v>
      </c>
      <c r="I192" t="s">
        <v>37</v>
      </c>
      <c r="J192">
        <v>1</v>
      </c>
      <c r="K192">
        <v>22000</v>
      </c>
      <c r="L192">
        <v>22000</v>
      </c>
    </row>
    <row r="193" spans="1:12" x14ac:dyDescent="0.3">
      <c r="A193">
        <v>10192</v>
      </c>
      <c r="B193" s="2">
        <v>45931</v>
      </c>
      <c r="C193" t="s">
        <v>12</v>
      </c>
      <c r="D193" t="s">
        <v>13</v>
      </c>
      <c r="E193" t="s">
        <v>14</v>
      </c>
      <c r="F193" t="s">
        <v>15</v>
      </c>
      <c r="G193" t="s">
        <v>41</v>
      </c>
      <c r="H193" t="s">
        <v>42</v>
      </c>
      <c r="I193" t="s">
        <v>37</v>
      </c>
      <c r="J193">
        <v>3</v>
      </c>
      <c r="K193">
        <v>30000</v>
      </c>
      <c r="L193">
        <v>90000</v>
      </c>
    </row>
    <row r="194" spans="1:12" x14ac:dyDescent="0.3">
      <c r="A194">
        <v>10193</v>
      </c>
      <c r="B194" s="2">
        <v>45694</v>
      </c>
      <c r="C194" t="s">
        <v>150</v>
      </c>
      <c r="D194" t="s">
        <v>151</v>
      </c>
      <c r="E194" t="s">
        <v>84</v>
      </c>
      <c r="F194" t="s">
        <v>46</v>
      </c>
      <c r="G194" t="s">
        <v>113</v>
      </c>
      <c r="H194" t="s">
        <v>114</v>
      </c>
      <c r="I194" t="s">
        <v>37</v>
      </c>
      <c r="J194">
        <v>2</v>
      </c>
      <c r="K194">
        <v>52000</v>
      </c>
      <c r="L194">
        <v>104000</v>
      </c>
    </row>
    <row r="195" spans="1:12" x14ac:dyDescent="0.3">
      <c r="A195">
        <v>10194</v>
      </c>
      <c r="B195" s="2">
        <v>45829</v>
      </c>
      <c r="C195" t="s">
        <v>91</v>
      </c>
      <c r="D195" t="s">
        <v>92</v>
      </c>
      <c r="E195" t="s">
        <v>40</v>
      </c>
      <c r="F195" t="s">
        <v>15</v>
      </c>
      <c r="G195" t="s">
        <v>121</v>
      </c>
      <c r="H195" t="s">
        <v>122</v>
      </c>
      <c r="I195" t="s">
        <v>49</v>
      </c>
      <c r="J195">
        <v>2</v>
      </c>
      <c r="K195">
        <v>4800</v>
      </c>
      <c r="L195">
        <v>9600</v>
      </c>
    </row>
    <row r="196" spans="1:12" x14ac:dyDescent="0.3">
      <c r="A196">
        <v>10195</v>
      </c>
      <c r="B196" s="2">
        <v>45822</v>
      </c>
      <c r="C196" t="s">
        <v>181</v>
      </c>
      <c r="D196" t="s">
        <v>182</v>
      </c>
      <c r="E196" t="s">
        <v>21</v>
      </c>
      <c r="F196" t="s">
        <v>15</v>
      </c>
      <c r="G196" t="s">
        <v>89</v>
      </c>
      <c r="H196" t="s">
        <v>90</v>
      </c>
      <c r="I196" t="s">
        <v>18</v>
      </c>
      <c r="J196">
        <v>2</v>
      </c>
      <c r="K196">
        <v>4200</v>
      </c>
      <c r="L196">
        <v>8400</v>
      </c>
    </row>
    <row r="197" spans="1:12" x14ac:dyDescent="0.3">
      <c r="A197">
        <v>10196</v>
      </c>
      <c r="B197" s="2">
        <v>45780</v>
      </c>
      <c r="C197" t="s">
        <v>87</v>
      </c>
      <c r="D197" t="s">
        <v>88</v>
      </c>
      <c r="E197" t="s">
        <v>64</v>
      </c>
      <c r="F197" t="s">
        <v>46</v>
      </c>
      <c r="G197" t="s">
        <v>96</v>
      </c>
      <c r="H197" t="s">
        <v>97</v>
      </c>
      <c r="I197" t="s">
        <v>37</v>
      </c>
      <c r="J197">
        <v>1</v>
      </c>
      <c r="K197">
        <v>18000</v>
      </c>
      <c r="L197">
        <v>18000</v>
      </c>
    </row>
    <row r="198" spans="1:12" x14ac:dyDescent="0.3">
      <c r="A198">
        <v>10197</v>
      </c>
      <c r="B198" s="2">
        <v>45908</v>
      </c>
      <c r="C198" t="s">
        <v>67</v>
      </c>
      <c r="D198" t="s">
        <v>68</v>
      </c>
      <c r="E198" t="s">
        <v>69</v>
      </c>
      <c r="F198" t="s">
        <v>28</v>
      </c>
      <c r="G198" t="s">
        <v>109</v>
      </c>
      <c r="H198" t="s">
        <v>110</v>
      </c>
      <c r="I198" t="s">
        <v>18</v>
      </c>
      <c r="J198">
        <v>1</v>
      </c>
      <c r="K198">
        <v>5000</v>
      </c>
      <c r="L198">
        <v>5000</v>
      </c>
    </row>
    <row r="199" spans="1:12" x14ac:dyDescent="0.3">
      <c r="A199">
        <v>10198</v>
      </c>
      <c r="B199" s="2">
        <v>45716</v>
      </c>
      <c r="C199" t="s">
        <v>154</v>
      </c>
      <c r="D199" t="s">
        <v>155</v>
      </c>
      <c r="E199" t="s">
        <v>74</v>
      </c>
      <c r="F199" t="s">
        <v>28</v>
      </c>
      <c r="G199" t="s">
        <v>103</v>
      </c>
      <c r="H199" t="s">
        <v>104</v>
      </c>
      <c r="I199" t="s">
        <v>37</v>
      </c>
      <c r="J199">
        <v>2</v>
      </c>
      <c r="K199">
        <v>28000</v>
      </c>
      <c r="L199">
        <v>56000</v>
      </c>
    </row>
    <row r="200" spans="1:12" x14ac:dyDescent="0.3">
      <c r="A200">
        <v>10199</v>
      </c>
      <c r="B200" s="2">
        <v>45666</v>
      </c>
      <c r="C200" t="s">
        <v>31</v>
      </c>
      <c r="D200" t="s">
        <v>32</v>
      </c>
      <c r="E200" t="s">
        <v>33</v>
      </c>
      <c r="F200" t="s">
        <v>34</v>
      </c>
      <c r="G200" t="s">
        <v>16</v>
      </c>
      <c r="H200" t="s">
        <v>17</v>
      </c>
      <c r="I200" t="s">
        <v>18</v>
      </c>
      <c r="J200">
        <v>1</v>
      </c>
      <c r="K200">
        <v>11000</v>
      </c>
      <c r="L200">
        <v>11000</v>
      </c>
    </row>
    <row r="201" spans="1:12" x14ac:dyDescent="0.3">
      <c r="A201">
        <v>10200</v>
      </c>
      <c r="B201" s="2">
        <v>45929</v>
      </c>
      <c r="C201" t="s">
        <v>191</v>
      </c>
      <c r="D201" t="s">
        <v>192</v>
      </c>
      <c r="E201" t="s">
        <v>27</v>
      </c>
      <c r="F201" t="s">
        <v>28</v>
      </c>
      <c r="G201" t="s">
        <v>121</v>
      </c>
      <c r="H201" t="s">
        <v>122</v>
      </c>
      <c r="I201" t="s">
        <v>49</v>
      </c>
      <c r="J201">
        <v>1</v>
      </c>
      <c r="K201">
        <v>4800</v>
      </c>
      <c r="L201">
        <v>4800</v>
      </c>
    </row>
    <row r="202" spans="1:12" x14ac:dyDescent="0.3">
      <c r="A202">
        <v>10201</v>
      </c>
      <c r="B202" s="2">
        <v>45924</v>
      </c>
      <c r="C202" t="s">
        <v>133</v>
      </c>
      <c r="D202" t="s">
        <v>134</v>
      </c>
      <c r="E202" t="s">
        <v>33</v>
      </c>
      <c r="F202" t="s">
        <v>34</v>
      </c>
      <c r="G202" t="s">
        <v>35</v>
      </c>
      <c r="H202" t="s">
        <v>36</v>
      </c>
      <c r="I202" t="s">
        <v>37</v>
      </c>
      <c r="J202">
        <v>1</v>
      </c>
      <c r="K202">
        <v>12000</v>
      </c>
      <c r="L202">
        <v>12000</v>
      </c>
    </row>
    <row r="203" spans="1:12" x14ac:dyDescent="0.3">
      <c r="A203">
        <v>10202</v>
      </c>
      <c r="B203" s="2">
        <v>45955</v>
      </c>
      <c r="C203" t="s">
        <v>80</v>
      </c>
      <c r="D203" t="s">
        <v>81</v>
      </c>
      <c r="E203" t="s">
        <v>79</v>
      </c>
      <c r="F203" t="s">
        <v>34</v>
      </c>
      <c r="G203" t="s">
        <v>167</v>
      </c>
      <c r="H203" t="s">
        <v>168</v>
      </c>
      <c r="I203" t="s">
        <v>49</v>
      </c>
      <c r="J203">
        <v>1</v>
      </c>
      <c r="K203">
        <v>3800</v>
      </c>
      <c r="L203">
        <v>3800</v>
      </c>
    </row>
    <row r="204" spans="1:12" x14ac:dyDescent="0.3">
      <c r="A204">
        <v>10203</v>
      </c>
      <c r="B204" s="2">
        <v>45929</v>
      </c>
      <c r="C204" t="s">
        <v>218</v>
      </c>
      <c r="D204" t="s">
        <v>219</v>
      </c>
      <c r="E204" t="s">
        <v>160</v>
      </c>
      <c r="F204" t="s">
        <v>34</v>
      </c>
      <c r="G204" t="s">
        <v>56</v>
      </c>
      <c r="H204" t="s">
        <v>57</v>
      </c>
      <c r="I204" t="s">
        <v>18</v>
      </c>
      <c r="J204">
        <v>1</v>
      </c>
      <c r="K204">
        <v>9000</v>
      </c>
      <c r="L204">
        <v>9000</v>
      </c>
    </row>
    <row r="205" spans="1:12" x14ac:dyDescent="0.3">
      <c r="A205">
        <v>10204</v>
      </c>
      <c r="B205" s="2">
        <v>45696</v>
      </c>
      <c r="C205" t="s">
        <v>115</v>
      </c>
      <c r="D205" t="s">
        <v>116</v>
      </c>
      <c r="E205" t="s">
        <v>33</v>
      </c>
      <c r="F205" t="s">
        <v>34</v>
      </c>
      <c r="G205" t="s">
        <v>35</v>
      </c>
      <c r="H205" t="s">
        <v>36</v>
      </c>
      <c r="I205" t="s">
        <v>37</v>
      </c>
      <c r="J205">
        <v>2</v>
      </c>
      <c r="K205">
        <v>12000</v>
      </c>
      <c r="L205">
        <v>24000</v>
      </c>
    </row>
    <row r="206" spans="1:12" x14ac:dyDescent="0.3">
      <c r="A206">
        <v>10205</v>
      </c>
      <c r="B206" s="2">
        <v>45712</v>
      </c>
      <c r="C206" t="s">
        <v>87</v>
      </c>
      <c r="D206" t="s">
        <v>88</v>
      </c>
      <c r="E206" t="s">
        <v>64</v>
      </c>
      <c r="F206" t="s">
        <v>46</v>
      </c>
      <c r="G206" t="s">
        <v>75</v>
      </c>
      <c r="H206" t="s">
        <v>76</v>
      </c>
      <c r="I206" t="s">
        <v>49</v>
      </c>
      <c r="J206">
        <v>3</v>
      </c>
      <c r="K206">
        <v>3000</v>
      </c>
      <c r="L206">
        <v>9000</v>
      </c>
    </row>
    <row r="207" spans="1:12" x14ac:dyDescent="0.3">
      <c r="A207">
        <v>10206</v>
      </c>
      <c r="B207" s="2">
        <v>45783</v>
      </c>
      <c r="C207" t="s">
        <v>199</v>
      </c>
      <c r="D207" t="s">
        <v>200</v>
      </c>
      <c r="E207" t="s">
        <v>201</v>
      </c>
      <c r="F207" t="s">
        <v>28</v>
      </c>
      <c r="G207" t="s">
        <v>52</v>
      </c>
      <c r="H207" t="s">
        <v>53</v>
      </c>
      <c r="I207" t="s">
        <v>24</v>
      </c>
      <c r="J207">
        <v>1</v>
      </c>
      <c r="K207">
        <v>3500</v>
      </c>
      <c r="L207">
        <v>3500</v>
      </c>
    </row>
    <row r="208" spans="1:12" x14ac:dyDescent="0.3">
      <c r="A208">
        <v>10207</v>
      </c>
      <c r="B208" s="2">
        <v>45926</v>
      </c>
      <c r="C208" t="s">
        <v>169</v>
      </c>
      <c r="D208" t="s">
        <v>170</v>
      </c>
      <c r="E208" t="s">
        <v>64</v>
      </c>
      <c r="F208" t="s">
        <v>46</v>
      </c>
      <c r="G208" t="s">
        <v>75</v>
      </c>
      <c r="H208" t="s">
        <v>76</v>
      </c>
      <c r="I208" t="s">
        <v>49</v>
      </c>
      <c r="J208">
        <v>1</v>
      </c>
      <c r="K208">
        <v>3000</v>
      </c>
      <c r="L208">
        <v>3000</v>
      </c>
    </row>
    <row r="209" spans="1:12" x14ac:dyDescent="0.3">
      <c r="A209">
        <v>10208</v>
      </c>
      <c r="B209" s="2">
        <v>45676</v>
      </c>
      <c r="C209" t="s">
        <v>115</v>
      </c>
      <c r="D209" t="s">
        <v>116</v>
      </c>
      <c r="E209" t="s">
        <v>33</v>
      </c>
      <c r="F209" t="s">
        <v>34</v>
      </c>
      <c r="G209" t="s">
        <v>96</v>
      </c>
      <c r="H209" t="s">
        <v>97</v>
      </c>
      <c r="I209" t="s">
        <v>37</v>
      </c>
      <c r="J209">
        <v>1</v>
      </c>
      <c r="K209">
        <v>18000</v>
      </c>
      <c r="L209">
        <v>18000</v>
      </c>
    </row>
    <row r="210" spans="1:12" x14ac:dyDescent="0.3">
      <c r="A210">
        <v>10209</v>
      </c>
      <c r="B210" s="2">
        <v>45945</v>
      </c>
      <c r="C210" t="s">
        <v>183</v>
      </c>
      <c r="D210" t="s">
        <v>184</v>
      </c>
      <c r="E210" t="s">
        <v>27</v>
      </c>
      <c r="F210" t="s">
        <v>28</v>
      </c>
      <c r="G210" t="s">
        <v>75</v>
      </c>
      <c r="H210" t="s">
        <v>76</v>
      </c>
      <c r="I210" t="s">
        <v>49</v>
      </c>
      <c r="J210">
        <v>1</v>
      </c>
      <c r="K210">
        <v>3000</v>
      </c>
      <c r="L210">
        <v>3000</v>
      </c>
    </row>
    <row r="211" spans="1:12" x14ac:dyDescent="0.3">
      <c r="A211">
        <v>10210</v>
      </c>
      <c r="B211" s="2">
        <v>45840</v>
      </c>
      <c r="C211" t="s">
        <v>175</v>
      </c>
      <c r="D211" t="s">
        <v>176</v>
      </c>
      <c r="E211" t="s">
        <v>84</v>
      </c>
      <c r="F211" t="s">
        <v>46</v>
      </c>
      <c r="G211" t="s">
        <v>47</v>
      </c>
      <c r="H211" t="s">
        <v>48</v>
      </c>
      <c r="I211" t="s">
        <v>49</v>
      </c>
      <c r="J211">
        <v>4</v>
      </c>
      <c r="K211">
        <v>1600</v>
      </c>
      <c r="L211">
        <v>6400</v>
      </c>
    </row>
    <row r="212" spans="1:12" x14ac:dyDescent="0.3">
      <c r="A212">
        <v>10211</v>
      </c>
      <c r="B212" s="2">
        <v>45921</v>
      </c>
      <c r="C212" t="s">
        <v>77</v>
      </c>
      <c r="D212" t="s">
        <v>78</v>
      </c>
      <c r="E212" t="s">
        <v>79</v>
      </c>
      <c r="F212" t="s">
        <v>34</v>
      </c>
      <c r="G212" t="s">
        <v>65</v>
      </c>
      <c r="H212" t="s">
        <v>66</v>
      </c>
      <c r="I212" t="s">
        <v>49</v>
      </c>
      <c r="J212">
        <v>2</v>
      </c>
      <c r="K212">
        <v>2400</v>
      </c>
      <c r="L212">
        <v>4800</v>
      </c>
    </row>
    <row r="213" spans="1:12" x14ac:dyDescent="0.3">
      <c r="A213">
        <v>10212</v>
      </c>
      <c r="B213" s="2">
        <v>45755</v>
      </c>
      <c r="C213" t="s">
        <v>146</v>
      </c>
      <c r="D213" t="s">
        <v>147</v>
      </c>
      <c r="E213" t="s">
        <v>64</v>
      </c>
      <c r="F213" t="s">
        <v>46</v>
      </c>
      <c r="G213" t="s">
        <v>129</v>
      </c>
      <c r="H213" t="s">
        <v>130</v>
      </c>
      <c r="I213" t="s">
        <v>24</v>
      </c>
      <c r="J213">
        <v>2</v>
      </c>
      <c r="K213">
        <v>1400</v>
      </c>
      <c r="L213">
        <v>2800</v>
      </c>
    </row>
    <row r="214" spans="1:12" x14ac:dyDescent="0.3">
      <c r="A214">
        <v>10213</v>
      </c>
      <c r="B214" s="2">
        <v>45704</v>
      </c>
      <c r="C214" t="s">
        <v>185</v>
      </c>
      <c r="D214" t="s">
        <v>186</v>
      </c>
      <c r="E214" t="s">
        <v>14</v>
      </c>
      <c r="F214" t="s">
        <v>15</v>
      </c>
      <c r="G214" t="s">
        <v>113</v>
      </c>
      <c r="H214" t="s">
        <v>114</v>
      </c>
      <c r="I214" t="s">
        <v>37</v>
      </c>
      <c r="J214">
        <v>1</v>
      </c>
      <c r="K214">
        <v>52000</v>
      </c>
      <c r="L214">
        <v>52000</v>
      </c>
    </row>
    <row r="215" spans="1:12" x14ac:dyDescent="0.3">
      <c r="A215">
        <v>10214</v>
      </c>
      <c r="B215" s="2">
        <v>45804</v>
      </c>
      <c r="C215" t="s">
        <v>171</v>
      </c>
      <c r="D215" t="s">
        <v>172</v>
      </c>
      <c r="E215" t="s">
        <v>45</v>
      </c>
      <c r="F215" t="s">
        <v>46</v>
      </c>
      <c r="G215" t="s">
        <v>103</v>
      </c>
      <c r="H215" t="s">
        <v>104</v>
      </c>
      <c r="I215" t="s">
        <v>37</v>
      </c>
      <c r="J215">
        <v>2</v>
      </c>
      <c r="K215">
        <v>28000</v>
      </c>
      <c r="L215">
        <v>56000</v>
      </c>
    </row>
    <row r="216" spans="1:12" x14ac:dyDescent="0.3">
      <c r="A216">
        <v>10215</v>
      </c>
      <c r="B216" s="2">
        <v>45694</v>
      </c>
      <c r="C216" t="s">
        <v>146</v>
      </c>
      <c r="D216" t="s">
        <v>147</v>
      </c>
      <c r="E216" t="s">
        <v>64</v>
      </c>
      <c r="F216" t="s">
        <v>46</v>
      </c>
      <c r="G216" t="s">
        <v>129</v>
      </c>
      <c r="H216" t="s">
        <v>130</v>
      </c>
      <c r="I216" t="s">
        <v>24</v>
      </c>
      <c r="J216">
        <v>3</v>
      </c>
      <c r="K216">
        <v>1400</v>
      </c>
      <c r="L216">
        <v>4200</v>
      </c>
    </row>
    <row r="217" spans="1:12" x14ac:dyDescent="0.3">
      <c r="A217">
        <v>10216</v>
      </c>
      <c r="B217" s="2">
        <v>45983</v>
      </c>
      <c r="C217" t="s">
        <v>210</v>
      </c>
      <c r="D217" t="s">
        <v>211</v>
      </c>
      <c r="E217" t="s">
        <v>40</v>
      </c>
      <c r="F217" t="s">
        <v>15</v>
      </c>
      <c r="G217" t="s">
        <v>125</v>
      </c>
      <c r="H217" t="s">
        <v>126</v>
      </c>
      <c r="I217" t="s">
        <v>37</v>
      </c>
      <c r="J217">
        <v>1</v>
      </c>
      <c r="K217">
        <v>22000</v>
      </c>
      <c r="L217">
        <v>22000</v>
      </c>
    </row>
    <row r="218" spans="1:12" x14ac:dyDescent="0.3">
      <c r="A218">
        <v>10217</v>
      </c>
      <c r="B218" s="2">
        <v>45685</v>
      </c>
      <c r="C218" t="s">
        <v>216</v>
      </c>
      <c r="D218" t="s">
        <v>217</v>
      </c>
      <c r="E218" t="s">
        <v>21</v>
      </c>
      <c r="F218" t="s">
        <v>15</v>
      </c>
      <c r="G218" t="s">
        <v>16</v>
      </c>
      <c r="H218" t="s">
        <v>17</v>
      </c>
      <c r="I218" t="s">
        <v>18</v>
      </c>
      <c r="J218">
        <v>2</v>
      </c>
      <c r="K218">
        <v>11000</v>
      </c>
      <c r="L218">
        <v>22000</v>
      </c>
    </row>
    <row r="219" spans="1:12" x14ac:dyDescent="0.3">
      <c r="A219">
        <v>10218</v>
      </c>
      <c r="B219" s="2">
        <v>45702</v>
      </c>
      <c r="C219" t="s">
        <v>165</v>
      </c>
      <c r="D219" t="s">
        <v>166</v>
      </c>
      <c r="E219" t="s">
        <v>69</v>
      </c>
      <c r="F219" t="s">
        <v>28</v>
      </c>
      <c r="G219" t="s">
        <v>179</v>
      </c>
      <c r="H219" t="s">
        <v>180</v>
      </c>
      <c r="I219" t="s">
        <v>18</v>
      </c>
      <c r="J219">
        <v>1</v>
      </c>
      <c r="K219">
        <v>6500</v>
      </c>
      <c r="L219">
        <v>6500</v>
      </c>
    </row>
    <row r="220" spans="1:12" x14ac:dyDescent="0.3">
      <c r="A220">
        <v>10219</v>
      </c>
      <c r="B220" s="2">
        <v>45703</v>
      </c>
      <c r="C220" t="s">
        <v>173</v>
      </c>
      <c r="D220" t="s">
        <v>174</v>
      </c>
      <c r="E220" t="s">
        <v>137</v>
      </c>
      <c r="F220" t="s">
        <v>46</v>
      </c>
      <c r="G220" t="s">
        <v>70</v>
      </c>
      <c r="H220" t="s">
        <v>71</v>
      </c>
      <c r="I220" t="s">
        <v>37</v>
      </c>
      <c r="J220">
        <v>1</v>
      </c>
      <c r="K220">
        <v>2200</v>
      </c>
      <c r="L220">
        <v>2200</v>
      </c>
    </row>
    <row r="221" spans="1:12" x14ac:dyDescent="0.3">
      <c r="A221">
        <v>10220</v>
      </c>
      <c r="B221" s="2">
        <v>45742</v>
      </c>
      <c r="C221" t="s">
        <v>119</v>
      </c>
      <c r="D221" t="s">
        <v>120</v>
      </c>
      <c r="E221" t="s">
        <v>27</v>
      </c>
      <c r="F221" t="s">
        <v>28</v>
      </c>
      <c r="G221" t="s">
        <v>125</v>
      </c>
      <c r="H221" t="s">
        <v>126</v>
      </c>
      <c r="I221" t="s">
        <v>37</v>
      </c>
      <c r="J221">
        <v>2</v>
      </c>
      <c r="K221">
        <v>22000</v>
      </c>
      <c r="L221">
        <v>44000</v>
      </c>
    </row>
    <row r="222" spans="1:12" x14ac:dyDescent="0.3">
      <c r="A222">
        <v>10221</v>
      </c>
      <c r="B222" s="2">
        <v>45800</v>
      </c>
      <c r="C222" t="s">
        <v>91</v>
      </c>
      <c r="D222" t="s">
        <v>92</v>
      </c>
      <c r="E222" t="s">
        <v>40</v>
      </c>
      <c r="F222" t="s">
        <v>15</v>
      </c>
      <c r="G222" t="s">
        <v>177</v>
      </c>
      <c r="H222" t="s">
        <v>178</v>
      </c>
      <c r="I222" t="s">
        <v>37</v>
      </c>
      <c r="J222">
        <v>5</v>
      </c>
      <c r="K222">
        <v>2500</v>
      </c>
      <c r="L222">
        <v>12500</v>
      </c>
    </row>
    <row r="223" spans="1:12" x14ac:dyDescent="0.3">
      <c r="A223">
        <v>10222</v>
      </c>
      <c r="B223" s="2">
        <v>45667</v>
      </c>
      <c r="C223" t="s">
        <v>135</v>
      </c>
      <c r="D223" t="s">
        <v>136</v>
      </c>
      <c r="E223" t="s">
        <v>137</v>
      </c>
      <c r="F223" t="s">
        <v>46</v>
      </c>
      <c r="G223" t="s">
        <v>89</v>
      </c>
      <c r="H223" t="s">
        <v>90</v>
      </c>
      <c r="I223" t="s">
        <v>18</v>
      </c>
      <c r="J223">
        <v>1</v>
      </c>
      <c r="K223">
        <v>4200</v>
      </c>
      <c r="L223">
        <v>4200</v>
      </c>
    </row>
    <row r="224" spans="1:12" x14ac:dyDescent="0.3">
      <c r="A224">
        <v>10223</v>
      </c>
      <c r="B224" s="2">
        <v>45948</v>
      </c>
      <c r="C224" t="s">
        <v>148</v>
      </c>
      <c r="D224" t="s">
        <v>149</v>
      </c>
      <c r="E224" t="s">
        <v>14</v>
      </c>
      <c r="F224" t="s">
        <v>15</v>
      </c>
      <c r="G224" t="s">
        <v>125</v>
      </c>
      <c r="H224" t="s">
        <v>126</v>
      </c>
      <c r="I224" t="s">
        <v>37</v>
      </c>
      <c r="J224">
        <v>3</v>
      </c>
      <c r="K224">
        <v>22000</v>
      </c>
      <c r="L224">
        <v>66000</v>
      </c>
    </row>
    <row r="225" spans="1:12" x14ac:dyDescent="0.3">
      <c r="A225">
        <v>10224</v>
      </c>
      <c r="B225" s="2">
        <v>45900</v>
      </c>
      <c r="C225" t="s">
        <v>220</v>
      </c>
      <c r="D225" t="s">
        <v>221</v>
      </c>
      <c r="E225" t="s">
        <v>102</v>
      </c>
      <c r="F225" t="s">
        <v>34</v>
      </c>
      <c r="G225" t="s">
        <v>75</v>
      </c>
      <c r="H225" t="s">
        <v>76</v>
      </c>
      <c r="I225" t="s">
        <v>49</v>
      </c>
      <c r="J225">
        <v>3</v>
      </c>
      <c r="K225">
        <v>3000</v>
      </c>
      <c r="L225">
        <v>9000</v>
      </c>
    </row>
    <row r="226" spans="1:12" x14ac:dyDescent="0.3">
      <c r="A226">
        <v>10225</v>
      </c>
      <c r="B226" s="2">
        <v>45747</v>
      </c>
      <c r="C226" t="s">
        <v>133</v>
      </c>
      <c r="D226" t="s">
        <v>134</v>
      </c>
      <c r="E226" t="s">
        <v>33</v>
      </c>
      <c r="F226" t="s">
        <v>34</v>
      </c>
      <c r="G226" t="s">
        <v>75</v>
      </c>
      <c r="H226" t="s">
        <v>76</v>
      </c>
      <c r="I226" t="s">
        <v>49</v>
      </c>
      <c r="J226">
        <v>1</v>
      </c>
      <c r="K226">
        <v>3000</v>
      </c>
      <c r="L226">
        <v>3000</v>
      </c>
    </row>
    <row r="227" spans="1:12" x14ac:dyDescent="0.3">
      <c r="A227">
        <v>10226</v>
      </c>
      <c r="B227" s="2">
        <v>45852</v>
      </c>
      <c r="C227" t="s">
        <v>12</v>
      </c>
      <c r="D227" t="s">
        <v>13</v>
      </c>
      <c r="E227" t="s">
        <v>14</v>
      </c>
      <c r="F227" t="s">
        <v>15</v>
      </c>
      <c r="G227" t="s">
        <v>144</v>
      </c>
      <c r="H227" t="s">
        <v>145</v>
      </c>
      <c r="I227" t="s">
        <v>37</v>
      </c>
      <c r="J227">
        <v>1</v>
      </c>
      <c r="K227">
        <v>65000</v>
      </c>
      <c r="L227">
        <v>65000</v>
      </c>
    </row>
    <row r="228" spans="1:12" x14ac:dyDescent="0.3">
      <c r="A228">
        <v>10227</v>
      </c>
      <c r="B228" s="2">
        <v>46001</v>
      </c>
      <c r="C228" t="s">
        <v>43</v>
      </c>
      <c r="D228" t="s">
        <v>44</v>
      </c>
      <c r="E228" t="s">
        <v>45</v>
      </c>
      <c r="F228" t="s">
        <v>46</v>
      </c>
      <c r="G228" t="s">
        <v>152</v>
      </c>
      <c r="H228" t="s">
        <v>153</v>
      </c>
      <c r="I228" t="s">
        <v>49</v>
      </c>
      <c r="J228">
        <v>2</v>
      </c>
      <c r="K228">
        <v>3200</v>
      </c>
      <c r="L228">
        <v>6400</v>
      </c>
    </row>
    <row r="229" spans="1:12" x14ac:dyDescent="0.3">
      <c r="A229">
        <v>10228</v>
      </c>
      <c r="B229" s="2">
        <v>46007</v>
      </c>
      <c r="C229" t="s">
        <v>91</v>
      </c>
      <c r="D229" t="s">
        <v>92</v>
      </c>
      <c r="E229" t="s">
        <v>40</v>
      </c>
      <c r="F229" t="s">
        <v>15</v>
      </c>
      <c r="G229" t="s">
        <v>70</v>
      </c>
      <c r="H229" t="s">
        <v>71</v>
      </c>
      <c r="I229" t="s">
        <v>37</v>
      </c>
      <c r="J229">
        <v>2</v>
      </c>
      <c r="K229">
        <v>2200</v>
      </c>
      <c r="L229">
        <v>4400</v>
      </c>
    </row>
    <row r="230" spans="1:12" x14ac:dyDescent="0.3">
      <c r="A230">
        <v>10229</v>
      </c>
      <c r="B230" s="2">
        <v>45851</v>
      </c>
      <c r="C230" t="s">
        <v>135</v>
      </c>
      <c r="D230" t="s">
        <v>136</v>
      </c>
      <c r="E230" t="s">
        <v>137</v>
      </c>
      <c r="F230" t="s">
        <v>46</v>
      </c>
      <c r="G230" t="s">
        <v>35</v>
      </c>
      <c r="H230" t="s">
        <v>36</v>
      </c>
      <c r="I230" t="s">
        <v>37</v>
      </c>
      <c r="J230">
        <v>3</v>
      </c>
      <c r="K230">
        <v>12000</v>
      </c>
      <c r="L230">
        <v>36000</v>
      </c>
    </row>
    <row r="231" spans="1:12" x14ac:dyDescent="0.3">
      <c r="A231">
        <v>10230</v>
      </c>
      <c r="B231" s="2">
        <v>45953</v>
      </c>
      <c r="C231" t="s">
        <v>117</v>
      </c>
      <c r="D231" t="s">
        <v>118</v>
      </c>
      <c r="E231" t="s">
        <v>95</v>
      </c>
      <c r="F231" t="s">
        <v>15</v>
      </c>
      <c r="G231" t="s">
        <v>140</v>
      </c>
      <c r="H231" t="s">
        <v>141</v>
      </c>
      <c r="I231" t="s">
        <v>18</v>
      </c>
      <c r="J231">
        <v>2</v>
      </c>
      <c r="K231">
        <v>3000</v>
      </c>
      <c r="L231">
        <v>6000</v>
      </c>
    </row>
    <row r="232" spans="1:12" x14ac:dyDescent="0.3">
      <c r="A232">
        <v>10231</v>
      </c>
      <c r="B232" s="2">
        <v>45930</v>
      </c>
      <c r="C232" t="s">
        <v>127</v>
      </c>
      <c r="D232" t="s">
        <v>128</v>
      </c>
      <c r="E232" t="s">
        <v>102</v>
      </c>
      <c r="F232" t="s">
        <v>34</v>
      </c>
      <c r="G232" t="s">
        <v>131</v>
      </c>
      <c r="H232" t="s">
        <v>132</v>
      </c>
      <c r="I232" t="s">
        <v>37</v>
      </c>
      <c r="J232">
        <v>1</v>
      </c>
      <c r="K232">
        <v>4500</v>
      </c>
      <c r="L232">
        <v>4500</v>
      </c>
    </row>
    <row r="233" spans="1:12" x14ac:dyDescent="0.3">
      <c r="A233">
        <v>10232</v>
      </c>
      <c r="B233" s="2">
        <v>45747</v>
      </c>
      <c r="C233" t="s">
        <v>146</v>
      </c>
      <c r="D233" t="s">
        <v>147</v>
      </c>
      <c r="E233" t="s">
        <v>64</v>
      </c>
      <c r="F233" t="s">
        <v>46</v>
      </c>
      <c r="G233" t="s">
        <v>187</v>
      </c>
      <c r="H233" t="s">
        <v>188</v>
      </c>
      <c r="I233" t="s">
        <v>24</v>
      </c>
      <c r="J233">
        <v>2</v>
      </c>
      <c r="K233">
        <v>5500</v>
      </c>
      <c r="L233">
        <v>11000</v>
      </c>
    </row>
    <row r="234" spans="1:12" x14ac:dyDescent="0.3">
      <c r="A234">
        <v>10233</v>
      </c>
      <c r="B234" s="2">
        <v>45899</v>
      </c>
      <c r="C234" t="s">
        <v>31</v>
      </c>
      <c r="D234" t="s">
        <v>32</v>
      </c>
      <c r="E234" t="s">
        <v>33</v>
      </c>
      <c r="F234" t="s">
        <v>34</v>
      </c>
      <c r="G234" t="s">
        <v>96</v>
      </c>
      <c r="H234" t="s">
        <v>97</v>
      </c>
      <c r="I234" t="s">
        <v>37</v>
      </c>
      <c r="J234">
        <v>2</v>
      </c>
      <c r="K234">
        <v>18000</v>
      </c>
      <c r="L234">
        <v>36000</v>
      </c>
    </row>
    <row r="235" spans="1:12" x14ac:dyDescent="0.3">
      <c r="A235">
        <v>10234</v>
      </c>
      <c r="B235" s="2">
        <v>45997</v>
      </c>
      <c r="C235" t="s">
        <v>133</v>
      </c>
      <c r="D235" t="s">
        <v>134</v>
      </c>
      <c r="E235" t="s">
        <v>33</v>
      </c>
      <c r="F235" t="s">
        <v>34</v>
      </c>
      <c r="G235" t="s">
        <v>98</v>
      </c>
      <c r="H235" t="s">
        <v>99</v>
      </c>
      <c r="I235" t="s">
        <v>24</v>
      </c>
      <c r="J235">
        <v>1</v>
      </c>
      <c r="K235">
        <v>2000</v>
      </c>
      <c r="L235">
        <v>2000</v>
      </c>
    </row>
    <row r="236" spans="1:12" x14ac:dyDescent="0.3">
      <c r="A236">
        <v>10235</v>
      </c>
      <c r="B236" s="2">
        <v>45928</v>
      </c>
      <c r="C236" t="s">
        <v>171</v>
      </c>
      <c r="D236" t="s">
        <v>172</v>
      </c>
      <c r="E236" t="s">
        <v>45</v>
      </c>
      <c r="F236" t="s">
        <v>46</v>
      </c>
      <c r="G236" t="s">
        <v>144</v>
      </c>
      <c r="H236" t="s">
        <v>145</v>
      </c>
      <c r="I236" t="s">
        <v>37</v>
      </c>
      <c r="J236">
        <v>1</v>
      </c>
      <c r="K236">
        <v>65000</v>
      </c>
      <c r="L236">
        <v>65000</v>
      </c>
    </row>
    <row r="237" spans="1:12" x14ac:dyDescent="0.3">
      <c r="A237">
        <v>10236</v>
      </c>
      <c r="B237" s="2">
        <v>45885</v>
      </c>
      <c r="C237" t="s">
        <v>72</v>
      </c>
      <c r="D237" t="s">
        <v>73</v>
      </c>
      <c r="E237" t="s">
        <v>74</v>
      </c>
      <c r="F237" t="s">
        <v>28</v>
      </c>
      <c r="G237" t="s">
        <v>96</v>
      </c>
      <c r="H237" t="s">
        <v>97</v>
      </c>
      <c r="I237" t="s">
        <v>37</v>
      </c>
      <c r="J237">
        <v>2</v>
      </c>
      <c r="K237">
        <v>18000</v>
      </c>
      <c r="L237">
        <v>36000</v>
      </c>
    </row>
    <row r="238" spans="1:12" x14ac:dyDescent="0.3">
      <c r="A238">
        <v>10237</v>
      </c>
      <c r="B238" s="2">
        <v>45978</v>
      </c>
      <c r="C238" t="s">
        <v>19</v>
      </c>
      <c r="D238" t="s">
        <v>20</v>
      </c>
      <c r="E238" t="s">
        <v>21</v>
      </c>
      <c r="F238" t="s">
        <v>15</v>
      </c>
      <c r="G238" t="s">
        <v>70</v>
      </c>
      <c r="H238" t="s">
        <v>71</v>
      </c>
      <c r="I238" t="s">
        <v>37</v>
      </c>
      <c r="J238">
        <v>1</v>
      </c>
      <c r="K238">
        <v>2200</v>
      </c>
      <c r="L238">
        <v>2200</v>
      </c>
    </row>
    <row r="239" spans="1:12" x14ac:dyDescent="0.3">
      <c r="A239">
        <v>10238</v>
      </c>
      <c r="B239" s="2">
        <v>45824</v>
      </c>
      <c r="C239" t="s">
        <v>31</v>
      </c>
      <c r="D239" t="s">
        <v>32</v>
      </c>
      <c r="E239" t="s">
        <v>33</v>
      </c>
      <c r="F239" t="s">
        <v>34</v>
      </c>
      <c r="G239" t="s">
        <v>41</v>
      </c>
      <c r="H239" t="s">
        <v>42</v>
      </c>
      <c r="I239" t="s">
        <v>37</v>
      </c>
      <c r="J239">
        <v>1</v>
      </c>
      <c r="K239">
        <v>30000</v>
      </c>
      <c r="L239">
        <v>30000</v>
      </c>
    </row>
    <row r="240" spans="1:12" x14ac:dyDescent="0.3">
      <c r="A240">
        <v>10239</v>
      </c>
      <c r="B240" s="2">
        <v>45798</v>
      </c>
      <c r="C240" t="s">
        <v>171</v>
      </c>
      <c r="D240" t="s">
        <v>172</v>
      </c>
      <c r="E240" t="s">
        <v>45</v>
      </c>
      <c r="F240" t="s">
        <v>46</v>
      </c>
      <c r="G240" t="s">
        <v>70</v>
      </c>
      <c r="H240" t="s">
        <v>71</v>
      </c>
      <c r="I240" t="s">
        <v>37</v>
      </c>
      <c r="J240">
        <v>1</v>
      </c>
      <c r="K240">
        <v>2200</v>
      </c>
      <c r="L240">
        <v>2200</v>
      </c>
    </row>
    <row r="241" spans="1:12" x14ac:dyDescent="0.3">
      <c r="A241">
        <v>10240</v>
      </c>
      <c r="B241" s="2">
        <v>45810</v>
      </c>
      <c r="C241" t="s">
        <v>214</v>
      </c>
      <c r="D241" t="s">
        <v>215</v>
      </c>
      <c r="E241" t="s">
        <v>137</v>
      </c>
      <c r="F241" t="s">
        <v>46</v>
      </c>
      <c r="G241" t="s">
        <v>129</v>
      </c>
      <c r="H241" t="s">
        <v>130</v>
      </c>
      <c r="I241" t="s">
        <v>24</v>
      </c>
      <c r="J241">
        <v>1</v>
      </c>
      <c r="K241">
        <v>1400</v>
      </c>
      <c r="L241">
        <v>1400</v>
      </c>
    </row>
    <row r="242" spans="1:12" x14ac:dyDescent="0.3">
      <c r="A242">
        <v>10241</v>
      </c>
      <c r="B242" s="2">
        <v>45809</v>
      </c>
      <c r="C242" t="s">
        <v>222</v>
      </c>
      <c r="D242" t="s">
        <v>223</v>
      </c>
      <c r="E242" t="s">
        <v>21</v>
      </c>
      <c r="F242" t="s">
        <v>15</v>
      </c>
      <c r="G242" t="s">
        <v>179</v>
      </c>
      <c r="H242" t="s">
        <v>180</v>
      </c>
      <c r="I242" t="s">
        <v>18</v>
      </c>
      <c r="J242">
        <v>3</v>
      </c>
      <c r="K242">
        <v>6500</v>
      </c>
      <c r="L242">
        <v>19500</v>
      </c>
    </row>
    <row r="243" spans="1:12" x14ac:dyDescent="0.3">
      <c r="A243">
        <v>10242</v>
      </c>
      <c r="B243" s="2">
        <v>45938</v>
      </c>
      <c r="C243" t="s">
        <v>224</v>
      </c>
      <c r="D243" t="s">
        <v>225</v>
      </c>
      <c r="E243" t="s">
        <v>201</v>
      </c>
      <c r="F243" t="s">
        <v>28</v>
      </c>
      <c r="G243" t="s">
        <v>41</v>
      </c>
      <c r="H243" t="s">
        <v>42</v>
      </c>
      <c r="I243" t="s">
        <v>37</v>
      </c>
      <c r="J243">
        <v>1</v>
      </c>
      <c r="K243">
        <v>30000</v>
      </c>
      <c r="L243">
        <v>30000</v>
      </c>
    </row>
    <row r="244" spans="1:12" x14ac:dyDescent="0.3">
      <c r="A244">
        <v>10243</v>
      </c>
      <c r="B244" s="2">
        <v>46022</v>
      </c>
      <c r="C244" t="s">
        <v>191</v>
      </c>
      <c r="D244" t="s">
        <v>192</v>
      </c>
      <c r="E244" t="s">
        <v>27</v>
      </c>
      <c r="F244" t="s">
        <v>28</v>
      </c>
      <c r="G244" t="s">
        <v>65</v>
      </c>
      <c r="H244" t="s">
        <v>66</v>
      </c>
      <c r="I244" t="s">
        <v>49</v>
      </c>
      <c r="J244">
        <v>4</v>
      </c>
      <c r="K244">
        <v>2400</v>
      </c>
      <c r="L244">
        <v>9600</v>
      </c>
    </row>
    <row r="245" spans="1:12" x14ac:dyDescent="0.3">
      <c r="A245">
        <v>10244</v>
      </c>
      <c r="B245" s="2">
        <v>46012</v>
      </c>
      <c r="C245" t="s">
        <v>54</v>
      </c>
      <c r="D245" t="s">
        <v>55</v>
      </c>
      <c r="E245" t="s">
        <v>33</v>
      </c>
      <c r="F245" t="s">
        <v>34</v>
      </c>
      <c r="G245" t="s">
        <v>35</v>
      </c>
      <c r="H245" t="s">
        <v>36</v>
      </c>
      <c r="I245" t="s">
        <v>37</v>
      </c>
      <c r="J245">
        <v>2</v>
      </c>
      <c r="K245">
        <v>12000</v>
      </c>
      <c r="L245">
        <v>24000</v>
      </c>
    </row>
    <row r="246" spans="1:12" x14ac:dyDescent="0.3">
      <c r="A246">
        <v>10245</v>
      </c>
      <c r="B246" s="2">
        <v>45855</v>
      </c>
      <c r="C246" t="s">
        <v>133</v>
      </c>
      <c r="D246" t="s">
        <v>134</v>
      </c>
      <c r="E246" t="s">
        <v>33</v>
      </c>
      <c r="F246" t="s">
        <v>34</v>
      </c>
      <c r="G246" t="s">
        <v>41</v>
      </c>
      <c r="H246" t="s">
        <v>42</v>
      </c>
      <c r="I246" t="s">
        <v>37</v>
      </c>
      <c r="J246">
        <v>1</v>
      </c>
      <c r="K246">
        <v>30000</v>
      </c>
      <c r="L246">
        <v>30000</v>
      </c>
    </row>
    <row r="247" spans="1:12" x14ac:dyDescent="0.3">
      <c r="A247">
        <v>10246</v>
      </c>
      <c r="B247" s="2">
        <v>45764</v>
      </c>
      <c r="C247" t="s">
        <v>50</v>
      </c>
      <c r="D247" t="s">
        <v>51</v>
      </c>
      <c r="E247" t="s">
        <v>14</v>
      </c>
      <c r="F247" t="s">
        <v>15</v>
      </c>
      <c r="G247" t="s">
        <v>60</v>
      </c>
      <c r="H247" t="s">
        <v>61</v>
      </c>
      <c r="I247" t="s">
        <v>18</v>
      </c>
      <c r="J247">
        <v>2</v>
      </c>
      <c r="K247">
        <v>2200</v>
      </c>
      <c r="L247">
        <v>4400</v>
      </c>
    </row>
    <row r="248" spans="1:12" x14ac:dyDescent="0.3">
      <c r="A248">
        <v>10247</v>
      </c>
      <c r="B248" s="2">
        <v>45851</v>
      </c>
      <c r="C248" t="s">
        <v>93</v>
      </c>
      <c r="D248" t="s">
        <v>94</v>
      </c>
      <c r="E248" t="s">
        <v>95</v>
      </c>
      <c r="F248" t="s">
        <v>15</v>
      </c>
      <c r="G248" t="s">
        <v>60</v>
      </c>
      <c r="H248" t="s">
        <v>61</v>
      </c>
      <c r="I248" t="s">
        <v>18</v>
      </c>
      <c r="J248">
        <v>2</v>
      </c>
      <c r="K248">
        <v>2200</v>
      </c>
      <c r="L248">
        <v>4400</v>
      </c>
    </row>
    <row r="249" spans="1:12" x14ac:dyDescent="0.3">
      <c r="A249">
        <v>10248</v>
      </c>
      <c r="B249" s="2">
        <v>45782</v>
      </c>
      <c r="C249" t="s">
        <v>50</v>
      </c>
      <c r="D249" t="s">
        <v>51</v>
      </c>
      <c r="E249" t="s">
        <v>14</v>
      </c>
      <c r="F249" t="s">
        <v>15</v>
      </c>
      <c r="G249" t="s">
        <v>187</v>
      </c>
      <c r="H249" t="s">
        <v>188</v>
      </c>
      <c r="I249" t="s">
        <v>24</v>
      </c>
      <c r="J249">
        <v>1</v>
      </c>
      <c r="K249">
        <v>5500</v>
      </c>
      <c r="L249">
        <v>5500</v>
      </c>
    </row>
    <row r="250" spans="1:12" x14ac:dyDescent="0.3">
      <c r="A250">
        <v>10249</v>
      </c>
      <c r="B250" s="2">
        <v>45758</v>
      </c>
      <c r="C250" t="s">
        <v>93</v>
      </c>
      <c r="D250" t="s">
        <v>94</v>
      </c>
      <c r="E250" t="s">
        <v>95</v>
      </c>
      <c r="F250" t="s">
        <v>15</v>
      </c>
      <c r="G250" t="s">
        <v>121</v>
      </c>
      <c r="H250" t="s">
        <v>122</v>
      </c>
      <c r="I250" t="s">
        <v>49</v>
      </c>
      <c r="J250">
        <v>1</v>
      </c>
      <c r="K250">
        <v>4800</v>
      </c>
      <c r="L250">
        <v>4800</v>
      </c>
    </row>
    <row r="251" spans="1:12" x14ac:dyDescent="0.3">
      <c r="A251">
        <v>10250</v>
      </c>
      <c r="B251" s="2">
        <v>45722</v>
      </c>
      <c r="C251" t="s">
        <v>67</v>
      </c>
      <c r="D251" t="s">
        <v>68</v>
      </c>
      <c r="E251" t="s">
        <v>69</v>
      </c>
      <c r="F251" t="s">
        <v>28</v>
      </c>
      <c r="G251" t="s">
        <v>47</v>
      </c>
      <c r="H251" t="s">
        <v>48</v>
      </c>
      <c r="I251" t="s">
        <v>49</v>
      </c>
      <c r="J251">
        <v>1</v>
      </c>
      <c r="K251">
        <v>1600</v>
      </c>
      <c r="L251">
        <v>1600</v>
      </c>
    </row>
    <row r="252" spans="1:12" x14ac:dyDescent="0.3">
      <c r="A252">
        <v>10251</v>
      </c>
      <c r="B252" s="2">
        <v>45688</v>
      </c>
      <c r="C252" t="s">
        <v>115</v>
      </c>
      <c r="D252" t="s">
        <v>116</v>
      </c>
      <c r="E252" t="s">
        <v>33</v>
      </c>
      <c r="F252" t="s">
        <v>34</v>
      </c>
      <c r="G252" t="s">
        <v>16</v>
      </c>
      <c r="H252" t="s">
        <v>17</v>
      </c>
      <c r="I252" t="s">
        <v>18</v>
      </c>
      <c r="J252">
        <v>2</v>
      </c>
      <c r="K252">
        <v>11000</v>
      </c>
      <c r="L252">
        <v>22000</v>
      </c>
    </row>
    <row r="253" spans="1:12" x14ac:dyDescent="0.3">
      <c r="A253">
        <v>10252</v>
      </c>
      <c r="B253" s="2">
        <v>45921</v>
      </c>
      <c r="C253" t="s">
        <v>197</v>
      </c>
      <c r="D253" t="s">
        <v>198</v>
      </c>
      <c r="E253" t="s">
        <v>95</v>
      </c>
      <c r="F253" t="s">
        <v>15</v>
      </c>
      <c r="G253" t="s">
        <v>75</v>
      </c>
      <c r="H253" t="s">
        <v>76</v>
      </c>
      <c r="I253" t="s">
        <v>49</v>
      </c>
      <c r="J253">
        <v>1</v>
      </c>
      <c r="K253">
        <v>3000</v>
      </c>
      <c r="L253">
        <v>3000</v>
      </c>
    </row>
    <row r="254" spans="1:12" x14ac:dyDescent="0.3">
      <c r="A254">
        <v>10253</v>
      </c>
      <c r="B254" s="2">
        <v>46011</v>
      </c>
      <c r="C254" t="s">
        <v>93</v>
      </c>
      <c r="D254" t="s">
        <v>94</v>
      </c>
      <c r="E254" t="s">
        <v>95</v>
      </c>
      <c r="F254" t="s">
        <v>15</v>
      </c>
      <c r="G254" t="s">
        <v>179</v>
      </c>
      <c r="H254" t="s">
        <v>180</v>
      </c>
      <c r="I254" t="s">
        <v>18</v>
      </c>
      <c r="J254">
        <v>2</v>
      </c>
      <c r="K254">
        <v>6500</v>
      </c>
      <c r="L254">
        <v>13000</v>
      </c>
    </row>
    <row r="255" spans="1:12" x14ac:dyDescent="0.3">
      <c r="A255">
        <v>10254</v>
      </c>
      <c r="B255" s="2">
        <v>45919</v>
      </c>
      <c r="C255" t="s">
        <v>216</v>
      </c>
      <c r="D255" t="s">
        <v>217</v>
      </c>
      <c r="E255" t="s">
        <v>21</v>
      </c>
      <c r="F255" t="s">
        <v>15</v>
      </c>
      <c r="G255" t="s">
        <v>75</v>
      </c>
      <c r="H255" t="s">
        <v>76</v>
      </c>
      <c r="I255" t="s">
        <v>49</v>
      </c>
      <c r="J255">
        <v>1</v>
      </c>
      <c r="K255">
        <v>3000</v>
      </c>
      <c r="L255">
        <v>3000</v>
      </c>
    </row>
    <row r="256" spans="1:12" x14ac:dyDescent="0.3">
      <c r="A256">
        <v>10255</v>
      </c>
      <c r="B256" s="2">
        <v>45917</v>
      </c>
      <c r="C256" t="s">
        <v>82</v>
      </c>
      <c r="D256" t="s">
        <v>83</v>
      </c>
      <c r="E256" t="s">
        <v>84</v>
      </c>
      <c r="F256" t="s">
        <v>46</v>
      </c>
      <c r="G256" t="s">
        <v>98</v>
      </c>
      <c r="H256" t="s">
        <v>99</v>
      </c>
      <c r="I256" t="s">
        <v>24</v>
      </c>
      <c r="J256">
        <v>1</v>
      </c>
      <c r="K256">
        <v>2000</v>
      </c>
      <c r="L256">
        <v>2000</v>
      </c>
    </row>
    <row r="257" spans="1:12" x14ac:dyDescent="0.3">
      <c r="A257">
        <v>10256</v>
      </c>
      <c r="B257" s="2">
        <v>45927</v>
      </c>
      <c r="C257" t="s">
        <v>193</v>
      </c>
      <c r="D257" t="s">
        <v>194</v>
      </c>
      <c r="E257" t="s">
        <v>102</v>
      </c>
      <c r="F257" t="s">
        <v>34</v>
      </c>
      <c r="G257" t="s">
        <v>121</v>
      </c>
      <c r="H257" t="s">
        <v>122</v>
      </c>
      <c r="I257" t="s">
        <v>49</v>
      </c>
      <c r="J257">
        <v>1</v>
      </c>
      <c r="K257">
        <v>4800</v>
      </c>
      <c r="L257">
        <v>4800</v>
      </c>
    </row>
    <row r="258" spans="1:12" x14ac:dyDescent="0.3">
      <c r="A258">
        <v>10257</v>
      </c>
      <c r="B258" s="2">
        <v>45976</v>
      </c>
      <c r="C258" t="s">
        <v>25</v>
      </c>
      <c r="D258" t="s">
        <v>26</v>
      </c>
      <c r="E258" t="s">
        <v>27</v>
      </c>
      <c r="F258" t="s">
        <v>28</v>
      </c>
      <c r="G258" t="s">
        <v>109</v>
      </c>
      <c r="H258" t="s">
        <v>110</v>
      </c>
      <c r="I258" t="s">
        <v>18</v>
      </c>
      <c r="J258">
        <v>3</v>
      </c>
      <c r="K258">
        <v>5000</v>
      </c>
      <c r="L258">
        <v>15000</v>
      </c>
    </row>
    <row r="259" spans="1:12" x14ac:dyDescent="0.3">
      <c r="A259">
        <v>10258</v>
      </c>
      <c r="B259" s="2">
        <v>45782</v>
      </c>
      <c r="C259" t="s">
        <v>100</v>
      </c>
      <c r="D259" t="s">
        <v>101</v>
      </c>
      <c r="E259" t="s">
        <v>102</v>
      </c>
      <c r="F259" t="s">
        <v>34</v>
      </c>
      <c r="G259" t="s">
        <v>129</v>
      </c>
      <c r="H259" t="s">
        <v>130</v>
      </c>
      <c r="I259" t="s">
        <v>24</v>
      </c>
      <c r="J259">
        <v>2</v>
      </c>
      <c r="K259">
        <v>1400</v>
      </c>
      <c r="L259">
        <v>2800</v>
      </c>
    </row>
    <row r="260" spans="1:12" x14ac:dyDescent="0.3">
      <c r="A260">
        <v>10259</v>
      </c>
      <c r="B260" s="2">
        <v>45672</v>
      </c>
      <c r="C260" t="s">
        <v>206</v>
      </c>
      <c r="D260" t="s">
        <v>207</v>
      </c>
      <c r="E260" t="s">
        <v>160</v>
      </c>
      <c r="F260" t="s">
        <v>34</v>
      </c>
      <c r="G260" t="s">
        <v>167</v>
      </c>
      <c r="H260" t="s">
        <v>168</v>
      </c>
      <c r="I260" t="s">
        <v>49</v>
      </c>
      <c r="J260">
        <v>1</v>
      </c>
      <c r="K260">
        <v>3800</v>
      </c>
      <c r="L260">
        <v>3800</v>
      </c>
    </row>
    <row r="261" spans="1:12" x14ac:dyDescent="0.3">
      <c r="A261">
        <v>10260</v>
      </c>
      <c r="B261" s="2">
        <v>45859</v>
      </c>
      <c r="C261" t="s">
        <v>191</v>
      </c>
      <c r="D261" t="s">
        <v>192</v>
      </c>
      <c r="E261" t="s">
        <v>27</v>
      </c>
      <c r="F261" t="s">
        <v>28</v>
      </c>
      <c r="G261" t="s">
        <v>16</v>
      </c>
      <c r="H261" t="s">
        <v>17</v>
      </c>
      <c r="I261" t="s">
        <v>18</v>
      </c>
      <c r="J261">
        <v>1</v>
      </c>
      <c r="K261">
        <v>11000</v>
      </c>
      <c r="L261">
        <v>11000</v>
      </c>
    </row>
    <row r="262" spans="1:12" x14ac:dyDescent="0.3">
      <c r="A262">
        <v>10261</v>
      </c>
      <c r="B262" s="2">
        <v>45755</v>
      </c>
      <c r="C262" t="s">
        <v>107</v>
      </c>
      <c r="D262" t="s">
        <v>108</v>
      </c>
      <c r="E262" t="s">
        <v>74</v>
      </c>
      <c r="F262" t="s">
        <v>28</v>
      </c>
      <c r="G262" t="s">
        <v>109</v>
      </c>
      <c r="H262" t="s">
        <v>110</v>
      </c>
      <c r="I262" t="s">
        <v>18</v>
      </c>
      <c r="J262">
        <v>1</v>
      </c>
      <c r="K262">
        <v>5000</v>
      </c>
      <c r="L262">
        <v>5000</v>
      </c>
    </row>
    <row r="263" spans="1:12" x14ac:dyDescent="0.3">
      <c r="A263">
        <v>10262</v>
      </c>
      <c r="B263" s="2">
        <v>45717</v>
      </c>
      <c r="C263" t="s">
        <v>142</v>
      </c>
      <c r="D263" t="s">
        <v>143</v>
      </c>
      <c r="E263" t="s">
        <v>14</v>
      </c>
      <c r="F263" t="s">
        <v>15</v>
      </c>
      <c r="G263" t="s">
        <v>52</v>
      </c>
      <c r="H263" t="s">
        <v>53</v>
      </c>
      <c r="I263" t="s">
        <v>24</v>
      </c>
      <c r="J263">
        <v>1</v>
      </c>
      <c r="K263">
        <v>3500</v>
      </c>
      <c r="L263">
        <v>3500</v>
      </c>
    </row>
    <row r="264" spans="1:12" x14ac:dyDescent="0.3">
      <c r="A264">
        <v>10263</v>
      </c>
      <c r="B264" s="2">
        <v>45983</v>
      </c>
      <c r="C264" t="s">
        <v>138</v>
      </c>
      <c r="D264" t="s">
        <v>139</v>
      </c>
      <c r="E264" t="s">
        <v>79</v>
      </c>
      <c r="F264" t="s">
        <v>34</v>
      </c>
      <c r="G264" t="s">
        <v>140</v>
      </c>
      <c r="H264" t="s">
        <v>141</v>
      </c>
      <c r="I264" t="s">
        <v>18</v>
      </c>
      <c r="J264">
        <v>1</v>
      </c>
      <c r="K264">
        <v>3000</v>
      </c>
      <c r="L264">
        <v>3000</v>
      </c>
    </row>
    <row r="265" spans="1:12" x14ac:dyDescent="0.3">
      <c r="A265">
        <v>10264</v>
      </c>
      <c r="B265" s="2">
        <v>45778</v>
      </c>
      <c r="C265" t="s">
        <v>62</v>
      </c>
      <c r="D265" t="s">
        <v>63</v>
      </c>
      <c r="E265" t="s">
        <v>64</v>
      </c>
      <c r="F265" t="s">
        <v>46</v>
      </c>
      <c r="G265" t="s">
        <v>41</v>
      </c>
      <c r="H265" t="s">
        <v>42</v>
      </c>
      <c r="I265" t="s">
        <v>37</v>
      </c>
      <c r="J265">
        <v>1</v>
      </c>
      <c r="K265">
        <v>30000</v>
      </c>
      <c r="L265">
        <v>30000</v>
      </c>
    </row>
    <row r="266" spans="1:12" x14ac:dyDescent="0.3">
      <c r="A266">
        <v>10265</v>
      </c>
      <c r="B266" s="2">
        <v>45691</v>
      </c>
      <c r="C266" t="s">
        <v>105</v>
      </c>
      <c r="D266" t="s">
        <v>106</v>
      </c>
      <c r="E266" t="s">
        <v>45</v>
      </c>
      <c r="F266" t="s">
        <v>46</v>
      </c>
      <c r="G266" t="s">
        <v>41</v>
      </c>
      <c r="H266" t="s">
        <v>42</v>
      </c>
      <c r="I266" t="s">
        <v>37</v>
      </c>
      <c r="J266">
        <v>2</v>
      </c>
      <c r="K266">
        <v>30000</v>
      </c>
      <c r="L266">
        <v>60000</v>
      </c>
    </row>
    <row r="267" spans="1:12" x14ac:dyDescent="0.3">
      <c r="A267">
        <v>10266</v>
      </c>
      <c r="B267" s="2">
        <v>45869</v>
      </c>
      <c r="C267" t="s">
        <v>82</v>
      </c>
      <c r="D267" t="s">
        <v>83</v>
      </c>
      <c r="E267" t="s">
        <v>84</v>
      </c>
      <c r="F267" t="s">
        <v>46</v>
      </c>
      <c r="G267" t="s">
        <v>89</v>
      </c>
      <c r="H267" t="s">
        <v>90</v>
      </c>
      <c r="I267" t="s">
        <v>18</v>
      </c>
      <c r="J267">
        <v>1</v>
      </c>
      <c r="K267">
        <v>4200</v>
      </c>
      <c r="L267">
        <v>4200</v>
      </c>
    </row>
    <row r="268" spans="1:12" x14ac:dyDescent="0.3">
      <c r="A268">
        <v>10267</v>
      </c>
      <c r="B268" s="2">
        <v>45941</v>
      </c>
      <c r="C268" t="s">
        <v>12</v>
      </c>
      <c r="D268" t="s">
        <v>13</v>
      </c>
      <c r="E268" t="s">
        <v>14</v>
      </c>
      <c r="F268" t="s">
        <v>15</v>
      </c>
      <c r="G268" t="s">
        <v>75</v>
      </c>
      <c r="H268" t="s">
        <v>76</v>
      </c>
      <c r="I268" t="s">
        <v>49</v>
      </c>
      <c r="J268">
        <v>3</v>
      </c>
      <c r="K268">
        <v>3000</v>
      </c>
      <c r="L268">
        <v>9000</v>
      </c>
    </row>
    <row r="269" spans="1:12" x14ac:dyDescent="0.3">
      <c r="A269">
        <v>10268</v>
      </c>
      <c r="B269" s="2">
        <v>45702</v>
      </c>
      <c r="C269" t="s">
        <v>50</v>
      </c>
      <c r="D269" t="s">
        <v>51</v>
      </c>
      <c r="E269" t="s">
        <v>14</v>
      </c>
      <c r="F269" t="s">
        <v>15</v>
      </c>
      <c r="G269" t="s">
        <v>103</v>
      </c>
      <c r="H269" t="s">
        <v>104</v>
      </c>
      <c r="I269" t="s">
        <v>37</v>
      </c>
      <c r="J269">
        <v>1</v>
      </c>
      <c r="K269">
        <v>28000</v>
      </c>
      <c r="L269">
        <v>28000</v>
      </c>
    </row>
    <row r="270" spans="1:12" x14ac:dyDescent="0.3">
      <c r="A270">
        <v>10269</v>
      </c>
      <c r="B270" s="2">
        <v>45708</v>
      </c>
      <c r="C270" t="s">
        <v>133</v>
      </c>
      <c r="D270" t="s">
        <v>134</v>
      </c>
      <c r="E270" t="s">
        <v>33</v>
      </c>
      <c r="F270" t="s">
        <v>34</v>
      </c>
      <c r="G270" t="s">
        <v>89</v>
      </c>
      <c r="H270" t="s">
        <v>90</v>
      </c>
      <c r="I270" t="s">
        <v>18</v>
      </c>
      <c r="J270">
        <v>3</v>
      </c>
      <c r="K270">
        <v>4200</v>
      </c>
      <c r="L270">
        <v>12600</v>
      </c>
    </row>
    <row r="271" spans="1:12" x14ac:dyDescent="0.3">
      <c r="A271">
        <v>10270</v>
      </c>
      <c r="B271" s="2">
        <v>45725</v>
      </c>
      <c r="C271" t="s">
        <v>226</v>
      </c>
      <c r="D271" t="s">
        <v>227</v>
      </c>
      <c r="E271" t="s">
        <v>79</v>
      </c>
      <c r="F271" t="s">
        <v>34</v>
      </c>
      <c r="G271" t="s">
        <v>52</v>
      </c>
      <c r="H271" t="s">
        <v>53</v>
      </c>
      <c r="I271" t="s">
        <v>24</v>
      </c>
      <c r="J271">
        <v>1</v>
      </c>
      <c r="K271">
        <v>3500</v>
      </c>
      <c r="L271">
        <v>3500</v>
      </c>
    </row>
    <row r="272" spans="1:12" x14ac:dyDescent="0.3">
      <c r="A272">
        <v>10271</v>
      </c>
      <c r="B272" s="2">
        <v>45690</v>
      </c>
      <c r="C272" t="s">
        <v>43</v>
      </c>
      <c r="D272" t="s">
        <v>44</v>
      </c>
      <c r="E272" t="s">
        <v>45</v>
      </c>
      <c r="F272" t="s">
        <v>46</v>
      </c>
      <c r="G272" t="s">
        <v>109</v>
      </c>
      <c r="H272" t="s">
        <v>110</v>
      </c>
      <c r="I272" t="s">
        <v>18</v>
      </c>
      <c r="J272">
        <v>1</v>
      </c>
      <c r="K272">
        <v>5000</v>
      </c>
      <c r="L272">
        <v>5000</v>
      </c>
    </row>
    <row r="273" spans="1:12" x14ac:dyDescent="0.3">
      <c r="A273">
        <v>10272</v>
      </c>
      <c r="B273" s="2">
        <v>45708</v>
      </c>
      <c r="C273" t="s">
        <v>171</v>
      </c>
      <c r="D273" t="s">
        <v>172</v>
      </c>
      <c r="E273" t="s">
        <v>45</v>
      </c>
      <c r="F273" t="s">
        <v>46</v>
      </c>
      <c r="G273" t="s">
        <v>16</v>
      </c>
      <c r="H273" t="s">
        <v>17</v>
      </c>
      <c r="I273" t="s">
        <v>18</v>
      </c>
      <c r="J273">
        <v>5</v>
      </c>
      <c r="K273">
        <v>11000</v>
      </c>
      <c r="L273">
        <v>55000</v>
      </c>
    </row>
    <row r="274" spans="1:12" x14ac:dyDescent="0.3">
      <c r="A274">
        <v>10273</v>
      </c>
      <c r="B274" s="2">
        <v>45693</v>
      </c>
      <c r="C274" t="s">
        <v>72</v>
      </c>
      <c r="D274" t="s">
        <v>73</v>
      </c>
      <c r="E274" t="s">
        <v>74</v>
      </c>
      <c r="F274" t="s">
        <v>28</v>
      </c>
      <c r="G274" t="s">
        <v>109</v>
      </c>
      <c r="H274" t="s">
        <v>110</v>
      </c>
      <c r="I274" t="s">
        <v>18</v>
      </c>
      <c r="J274">
        <v>1</v>
      </c>
      <c r="K274">
        <v>5000</v>
      </c>
      <c r="L274">
        <v>5000</v>
      </c>
    </row>
    <row r="275" spans="1:12" x14ac:dyDescent="0.3">
      <c r="A275">
        <v>10274</v>
      </c>
      <c r="B275" s="2">
        <v>45713</v>
      </c>
      <c r="C275" t="s">
        <v>142</v>
      </c>
      <c r="D275" t="s">
        <v>143</v>
      </c>
      <c r="E275" t="s">
        <v>14</v>
      </c>
      <c r="F275" t="s">
        <v>15</v>
      </c>
      <c r="G275" t="s">
        <v>96</v>
      </c>
      <c r="H275" t="s">
        <v>97</v>
      </c>
      <c r="I275" t="s">
        <v>37</v>
      </c>
      <c r="J275">
        <v>1</v>
      </c>
      <c r="K275">
        <v>18000</v>
      </c>
      <c r="L275">
        <v>18000</v>
      </c>
    </row>
    <row r="276" spans="1:12" x14ac:dyDescent="0.3">
      <c r="A276">
        <v>10275</v>
      </c>
      <c r="B276" s="2">
        <v>45966</v>
      </c>
      <c r="C276" t="s">
        <v>133</v>
      </c>
      <c r="D276" t="s">
        <v>134</v>
      </c>
      <c r="E276" t="s">
        <v>33</v>
      </c>
      <c r="F276" t="s">
        <v>34</v>
      </c>
      <c r="G276" t="s">
        <v>167</v>
      </c>
      <c r="H276" t="s">
        <v>168</v>
      </c>
      <c r="I276" t="s">
        <v>49</v>
      </c>
      <c r="J276">
        <v>2</v>
      </c>
      <c r="K276">
        <v>3800</v>
      </c>
      <c r="L276">
        <v>7600</v>
      </c>
    </row>
    <row r="277" spans="1:12" x14ac:dyDescent="0.3">
      <c r="A277">
        <v>10276</v>
      </c>
      <c r="B277" s="2">
        <v>45880</v>
      </c>
      <c r="C277" t="s">
        <v>181</v>
      </c>
      <c r="D277" t="s">
        <v>182</v>
      </c>
      <c r="E277" t="s">
        <v>21</v>
      </c>
      <c r="F277" t="s">
        <v>15</v>
      </c>
      <c r="G277" t="s">
        <v>163</v>
      </c>
      <c r="H277" t="s">
        <v>164</v>
      </c>
      <c r="I277" t="s">
        <v>49</v>
      </c>
      <c r="J277">
        <v>2</v>
      </c>
      <c r="K277">
        <v>4200</v>
      </c>
      <c r="L277">
        <v>8400</v>
      </c>
    </row>
    <row r="278" spans="1:12" x14ac:dyDescent="0.3">
      <c r="A278">
        <v>10277</v>
      </c>
      <c r="B278" s="2">
        <v>45696</v>
      </c>
      <c r="C278" t="s">
        <v>43</v>
      </c>
      <c r="D278" t="s">
        <v>44</v>
      </c>
      <c r="E278" t="s">
        <v>45</v>
      </c>
      <c r="F278" t="s">
        <v>46</v>
      </c>
      <c r="G278" t="s">
        <v>70</v>
      </c>
      <c r="H278" t="s">
        <v>71</v>
      </c>
      <c r="I278" t="s">
        <v>37</v>
      </c>
      <c r="J278">
        <v>1</v>
      </c>
      <c r="K278">
        <v>2200</v>
      </c>
      <c r="L278">
        <v>2200</v>
      </c>
    </row>
    <row r="279" spans="1:12" x14ac:dyDescent="0.3">
      <c r="A279">
        <v>10278</v>
      </c>
      <c r="B279" s="2">
        <v>45974</v>
      </c>
      <c r="C279" t="s">
        <v>123</v>
      </c>
      <c r="D279" t="s">
        <v>124</v>
      </c>
      <c r="E279" t="s">
        <v>69</v>
      </c>
      <c r="F279" t="s">
        <v>28</v>
      </c>
      <c r="G279" t="s">
        <v>29</v>
      </c>
      <c r="H279" t="s">
        <v>30</v>
      </c>
      <c r="I279" t="s">
        <v>18</v>
      </c>
      <c r="J279">
        <v>1</v>
      </c>
      <c r="K279">
        <v>15000</v>
      </c>
      <c r="L279">
        <v>15000</v>
      </c>
    </row>
    <row r="280" spans="1:12" x14ac:dyDescent="0.3">
      <c r="A280">
        <v>10279</v>
      </c>
      <c r="B280" s="2">
        <v>45954</v>
      </c>
      <c r="C280" t="s">
        <v>212</v>
      </c>
      <c r="D280" t="s">
        <v>213</v>
      </c>
      <c r="E280" t="s">
        <v>69</v>
      </c>
      <c r="F280" t="s">
        <v>28</v>
      </c>
      <c r="G280" t="s">
        <v>140</v>
      </c>
      <c r="H280" t="s">
        <v>141</v>
      </c>
      <c r="I280" t="s">
        <v>18</v>
      </c>
      <c r="J280">
        <v>1</v>
      </c>
      <c r="K280">
        <v>3000</v>
      </c>
      <c r="L280">
        <v>3000</v>
      </c>
    </row>
    <row r="281" spans="1:12" x14ac:dyDescent="0.3">
      <c r="A281">
        <v>10280</v>
      </c>
      <c r="B281" s="2">
        <v>45750</v>
      </c>
      <c r="C281" t="s">
        <v>222</v>
      </c>
      <c r="D281" t="s">
        <v>223</v>
      </c>
      <c r="E281" t="s">
        <v>21</v>
      </c>
      <c r="F281" t="s">
        <v>15</v>
      </c>
      <c r="G281" t="s">
        <v>140</v>
      </c>
      <c r="H281" t="s">
        <v>141</v>
      </c>
      <c r="I281" t="s">
        <v>18</v>
      </c>
      <c r="J281">
        <v>2</v>
      </c>
      <c r="K281">
        <v>3000</v>
      </c>
      <c r="L281">
        <v>6000</v>
      </c>
    </row>
    <row r="282" spans="1:12" x14ac:dyDescent="0.3">
      <c r="A282">
        <v>10281</v>
      </c>
      <c r="B282" s="2">
        <v>45786</v>
      </c>
      <c r="C282" t="s">
        <v>228</v>
      </c>
      <c r="D282" t="s">
        <v>229</v>
      </c>
      <c r="E282" t="s">
        <v>84</v>
      </c>
      <c r="F282" t="s">
        <v>46</v>
      </c>
      <c r="G282" t="s">
        <v>60</v>
      </c>
      <c r="H282" t="s">
        <v>61</v>
      </c>
      <c r="I282" t="s">
        <v>18</v>
      </c>
      <c r="J282">
        <v>2</v>
      </c>
      <c r="K282">
        <v>2200</v>
      </c>
      <c r="L282">
        <v>4400</v>
      </c>
    </row>
    <row r="283" spans="1:12" x14ac:dyDescent="0.3">
      <c r="A283">
        <v>10282</v>
      </c>
      <c r="B283" s="2">
        <v>45791</v>
      </c>
      <c r="C283" t="s">
        <v>93</v>
      </c>
      <c r="D283" t="s">
        <v>94</v>
      </c>
      <c r="E283" t="s">
        <v>95</v>
      </c>
      <c r="F283" t="s">
        <v>15</v>
      </c>
      <c r="G283" t="s">
        <v>121</v>
      </c>
      <c r="H283" t="s">
        <v>122</v>
      </c>
      <c r="I283" t="s">
        <v>49</v>
      </c>
      <c r="J283">
        <v>1</v>
      </c>
      <c r="K283">
        <v>4800</v>
      </c>
      <c r="L283">
        <v>4800</v>
      </c>
    </row>
    <row r="284" spans="1:12" x14ac:dyDescent="0.3">
      <c r="A284">
        <v>10283</v>
      </c>
      <c r="B284" s="2">
        <v>45884</v>
      </c>
      <c r="C284" t="s">
        <v>117</v>
      </c>
      <c r="D284" t="s">
        <v>118</v>
      </c>
      <c r="E284" t="s">
        <v>95</v>
      </c>
      <c r="F284" t="s">
        <v>15</v>
      </c>
      <c r="G284" t="s">
        <v>121</v>
      </c>
      <c r="H284" t="s">
        <v>122</v>
      </c>
      <c r="I284" t="s">
        <v>49</v>
      </c>
      <c r="J284">
        <v>1</v>
      </c>
      <c r="K284">
        <v>4800</v>
      </c>
      <c r="L284">
        <v>4800</v>
      </c>
    </row>
    <row r="285" spans="1:12" x14ac:dyDescent="0.3">
      <c r="A285">
        <v>10284</v>
      </c>
      <c r="B285" s="2">
        <v>45793</v>
      </c>
      <c r="C285" t="s">
        <v>107</v>
      </c>
      <c r="D285" t="s">
        <v>108</v>
      </c>
      <c r="E285" t="s">
        <v>74</v>
      </c>
      <c r="F285" t="s">
        <v>28</v>
      </c>
      <c r="G285" t="s">
        <v>131</v>
      </c>
      <c r="H285" t="s">
        <v>132</v>
      </c>
      <c r="I285" t="s">
        <v>37</v>
      </c>
      <c r="J285">
        <v>1</v>
      </c>
      <c r="K285">
        <v>4500</v>
      </c>
      <c r="L285">
        <v>4500</v>
      </c>
    </row>
    <row r="286" spans="1:12" x14ac:dyDescent="0.3">
      <c r="A286">
        <v>10285</v>
      </c>
      <c r="B286" s="2">
        <v>45759</v>
      </c>
      <c r="C286" t="s">
        <v>230</v>
      </c>
      <c r="D286" t="s">
        <v>231</v>
      </c>
      <c r="E286" t="s">
        <v>84</v>
      </c>
      <c r="F286" t="s">
        <v>46</v>
      </c>
      <c r="G286" t="s">
        <v>96</v>
      </c>
      <c r="H286" t="s">
        <v>97</v>
      </c>
      <c r="I286" t="s">
        <v>37</v>
      </c>
      <c r="J286">
        <v>2</v>
      </c>
      <c r="K286">
        <v>18000</v>
      </c>
      <c r="L286">
        <v>36000</v>
      </c>
    </row>
    <row r="287" spans="1:12" x14ac:dyDescent="0.3">
      <c r="A287">
        <v>10286</v>
      </c>
      <c r="B287" s="2">
        <v>45984</v>
      </c>
      <c r="C287" t="s">
        <v>50</v>
      </c>
      <c r="D287" t="s">
        <v>51</v>
      </c>
      <c r="E287" t="s">
        <v>14</v>
      </c>
      <c r="F287" t="s">
        <v>15</v>
      </c>
      <c r="G287" t="s">
        <v>131</v>
      </c>
      <c r="H287" t="s">
        <v>132</v>
      </c>
      <c r="I287" t="s">
        <v>37</v>
      </c>
      <c r="J287">
        <v>1</v>
      </c>
      <c r="K287">
        <v>4500</v>
      </c>
      <c r="L287">
        <v>4500</v>
      </c>
    </row>
    <row r="288" spans="1:12" x14ac:dyDescent="0.3">
      <c r="A288">
        <v>10287</v>
      </c>
      <c r="B288" s="2">
        <v>45971</v>
      </c>
      <c r="C288" t="s">
        <v>50</v>
      </c>
      <c r="D288" t="s">
        <v>51</v>
      </c>
      <c r="E288" t="s">
        <v>14</v>
      </c>
      <c r="F288" t="s">
        <v>15</v>
      </c>
      <c r="G288" t="s">
        <v>152</v>
      </c>
      <c r="H288" t="s">
        <v>153</v>
      </c>
      <c r="I288" t="s">
        <v>49</v>
      </c>
      <c r="J288">
        <v>1</v>
      </c>
      <c r="K288">
        <v>3200</v>
      </c>
      <c r="L288">
        <v>3200</v>
      </c>
    </row>
    <row r="289" spans="1:12" x14ac:dyDescent="0.3">
      <c r="A289">
        <v>10288</v>
      </c>
      <c r="B289" s="2">
        <v>45848</v>
      </c>
      <c r="C289" t="s">
        <v>206</v>
      </c>
      <c r="D289" t="s">
        <v>207</v>
      </c>
      <c r="E289" t="s">
        <v>160</v>
      </c>
      <c r="F289" t="s">
        <v>34</v>
      </c>
      <c r="G289" t="s">
        <v>41</v>
      </c>
      <c r="H289" t="s">
        <v>42</v>
      </c>
      <c r="I289" t="s">
        <v>37</v>
      </c>
      <c r="J289">
        <v>3</v>
      </c>
      <c r="K289">
        <v>30000</v>
      </c>
      <c r="L289">
        <v>90000</v>
      </c>
    </row>
    <row r="290" spans="1:12" x14ac:dyDescent="0.3">
      <c r="A290">
        <v>10289</v>
      </c>
      <c r="B290" s="2">
        <v>45889</v>
      </c>
      <c r="C290" t="s">
        <v>193</v>
      </c>
      <c r="D290" t="s">
        <v>194</v>
      </c>
      <c r="E290" t="s">
        <v>102</v>
      </c>
      <c r="F290" t="s">
        <v>34</v>
      </c>
      <c r="G290" t="s">
        <v>121</v>
      </c>
      <c r="H290" t="s">
        <v>122</v>
      </c>
      <c r="I290" t="s">
        <v>49</v>
      </c>
      <c r="J290">
        <v>2</v>
      </c>
      <c r="K290">
        <v>4800</v>
      </c>
      <c r="L290">
        <v>9600</v>
      </c>
    </row>
    <row r="291" spans="1:12" x14ac:dyDescent="0.3">
      <c r="A291">
        <v>10290</v>
      </c>
      <c r="B291" s="2">
        <v>45840</v>
      </c>
      <c r="C291" t="s">
        <v>127</v>
      </c>
      <c r="D291" t="s">
        <v>128</v>
      </c>
      <c r="E291" t="s">
        <v>102</v>
      </c>
      <c r="F291" t="s">
        <v>34</v>
      </c>
      <c r="G291" t="s">
        <v>70</v>
      </c>
      <c r="H291" t="s">
        <v>71</v>
      </c>
      <c r="I291" t="s">
        <v>37</v>
      </c>
      <c r="J291">
        <v>1</v>
      </c>
      <c r="K291">
        <v>2200</v>
      </c>
      <c r="L291">
        <v>2200</v>
      </c>
    </row>
    <row r="292" spans="1:12" x14ac:dyDescent="0.3">
      <c r="A292">
        <v>10291</v>
      </c>
      <c r="B292" s="2">
        <v>45903</v>
      </c>
      <c r="C292" t="s">
        <v>232</v>
      </c>
      <c r="D292" t="s">
        <v>233</v>
      </c>
      <c r="E292" t="s">
        <v>79</v>
      </c>
      <c r="F292" t="s">
        <v>34</v>
      </c>
      <c r="G292" t="s">
        <v>96</v>
      </c>
      <c r="H292" t="s">
        <v>97</v>
      </c>
      <c r="I292" t="s">
        <v>37</v>
      </c>
      <c r="J292">
        <v>1</v>
      </c>
      <c r="K292">
        <v>18000</v>
      </c>
      <c r="L292">
        <v>18000</v>
      </c>
    </row>
    <row r="293" spans="1:12" x14ac:dyDescent="0.3">
      <c r="A293">
        <v>10292</v>
      </c>
      <c r="B293" s="2">
        <v>45669</v>
      </c>
      <c r="C293" t="s">
        <v>199</v>
      </c>
      <c r="D293" t="s">
        <v>200</v>
      </c>
      <c r="E293" t="s">
        <v>201</v>
      </c>
      <c r="F293" t="s">
        <v>28</v>
      </c>
      <c r="G293" t="s">
        <v>113</v>
      </c>
      <c r="H293" t="s">
        <v>114</v>
      </c>
      <c r="I293" t="s">
        <v>37</v>
      </c>
      <c r="J293">
        <v>3</v>
      </c>
      <c r="K293">
        <v>52000</v>
      </c>
      <c r="L293">
        <v>156000</v>
      </c>
    </row>
    <row r="294" spans="1:12" x14ac:dyDescent="0.3">
      <c r="A294">
        <v>10293</v>
      </c>
      <c r="B294" s="2">
        <v>45685</v>
      </c>
      <c r="C294" t="s">
        <v>93</v>
      </c>
      <c r="D294" t="s">
        <v>94</v>
      </c>
      <c r="E294" t="s">
        <v>95</v>
      </c>
      <c r="F294" t="s">
        <v>15</v>
      </c>
      <c r="G294" t="s">
        <v>52</v>
      </c>
      <c r="H294" t="s">
        <v>53</v>
      </c>
      <c r="I294" t="s">
        <v>24</v>
      </c>
      <c r="J294">
        <v>1</v>
      </c>
      <c r="K294">
        <v>3500</v>
      </c>
      <c r="L294">
        <v>3500</v>
      </c>
    </row>
    <row r="295" spans="1:12" x14ac:dyDescent="0.3">
      <c r="A295">
        <v>10294</v>
      </c>
      <c r="B295" s="2">
        <v>45811</v>
      </c>
      <c r="C295" t="s">
        <v>50</v>
      </c>
      <c r="D295" t="s">
        <v>51</v>
      </c>
      <c r="E295" t="s">
        <v>14</v>
      </c>
      <c r="F295" t="s">
        <v>15</v>
      </c>
      <c r="G295" t="s">
        <v>96</v>
      </c>
      <c r="H295" t="s">
        <v>97</v>
      </c>
      <c r="I295" t="s">
        <v>37</v>
      </c>
      <c r="J295">
        <v>3</v>
      </c>
      <c r="K295">
        <v>18000</v>
      </c>
      <c r="L295">
        <v>54000</v>
      </c>
    </row>
    <row r="296" spans="1:12" x14ac:dyDescent="0.3">
      <c r="A296">
        <v>10295</v>
      </c>
      <c r="B296" s="2">
        <v>45763</v>
      </c>
      <c r="C296" t="s">
        <v>19</v>
      </c>
      <c r="D296" t="s">
        <v>20</v>
      </c>
      <c r="E296" t="s">
        <v>21</v>
      </c>
      <c r="F296" t="s">
        <v>15</v>
      </c>
      <c r="G296" t="s">
        <v>96</v>
      </c>
      <c r="H296" t="s">
        <v>97</v>
      </c>
      <c r="I296" t="s">
        <v>37</v>
      </c>
      <c r="J296">
        <v>1</v>
      </c>
      <c r="K296">
        <v>18000</v>
      </c>
      <c r="L296">
        <v>18000</v>
      </c>
    </row>
    <row r="297" spans="1:12" x14ac:dyDescent="0.3">
      <c r="A297">
        <v>10296</v>
      </c>
      <c r="B297" s="2">
        <v>46020</v>
      </c>
      <c r="C297" t="s">
        <v>156</v>
      </c>
      <c r="D297" t="s">
        <v>157</v>
      </c>
      <c r="E297" t="s">
        <v>95</v>
      </c>
      <c r="F297" t="s">
        <v>15</v>
      </c>
      <c r="G297" t="s">
        <v>103</v>
      </c>
      <c r="H297" t="s">
        <v>104</v>
      </c>
      <c r="I297" t="s">
        <v>37</v>
      </c>
      <c r="J297">
        <v>1</v>
      </c>
      <c r="K297">
        <v>28000</v>
      </c>
      <c r="L297">
        <v>28000</v>
      </c>
    </row>
    <row r="298" spans="1:12" x14ac:dyDescent="0.3">
      <c r="A298">
        <v>10297</v>
      </c>
      <c r="B298" s="2">
        <v>45891</v>
      </c>
      <c r="C298" t="s">
        <v>230</v>
      </c>
      <c r="D298" t="s">
        <v>231</v>
      </c>
      <c r="E298" t="s">
        <v>84</v>
      </c>
      <c r="F298" t="s">
        <v>46</v>
      </c>
      <c r="G298" t="s">
        <v>152</v>
      </c>
      <c r="H298" t="s">
        <v>153</v>
      </c>
      <c r="I298" t="s">
        <v>49</v>
      </c>
      <c r="J298">
        <v>1</v>
      </c>
      <c r="K298">
        <v>3200</v>
      </c>
      <c r="L298">
        <v>3200</v>
      </c>
    </row>
    <row r="299" spans="1:12" x14ac:dyDescent="0.3">
      <c r="A299">
        <v>10298</v>
      </c>
      <c r="B299" s="2">
        <v>45974</v>
      </c>
      <c r="C299" t="s">
        <v>204</v>
      </c>
      <c r="D299" t="s">
        <v>205</v>
      </c>
      <c r="E299" t="s">
        <v>201</v>
      </c>
      <c r="F299" t="s">
        <v>28</v>
      </c>
      <c r="G299" t="s">
        <v>56</v>
      </c>
      <c r="H299" t="s">
        <v>57</v>
      </c>
      <c r="I299" t="s">
        <v>18</v>
      </c>
      <c r="J299">
        <v>1</v>
      </c>
      <c r="K299">
        <v>9000</v>
      </c>
      <c r="L299">
        <v>9000</v>
      </c>
    </row>
    <row r="300" spans="1:12" x14ac:dyDescent="0.3">
      <c r="A300">
        <v>10299</v>
      </c>
      <c r="B300" s="2">
        <v>45775</v>
      </c>
      <c r="C300" t="s">
        <v>138</v>
      </c>
      <c r="D300" t="s">
        <v>139</v>
      </c>
      <c r="E300" t="s">
        <v>79</v>
      </c>
      <c r="F300" t="s">
        <v>34</v>
      </c>
      <c r="G300" t="s">
        <v>22</v>
      </c>
      <c r="H300" t="s">
        <v>23</v>
      </c>
      <c r="I300" t="s">
        <v>24</v>
      </c>
      <c r="J300">
        <v>1</v>
      </c>
      <c r="K300">
        <v>2400</v>
      </c>
      <c r="L300">
        <v>2400</v>
      </c>
    </row>
    <row r="301" spans="1:12" x14ac:dyDescent="0.3">
      <c r="A301">
        <v>10300</v>
      </c>
      <c r="B301" s="2">
        <v>45694</v>
      </c>
      <c r="C301" t="s">
        <v>54</v>
      </c>
      <c r="D301" t="s">
        <v>55</v>
      </c>
      <c r="E301" t="s">
        <v>33</v>
      </c>
      <c r="F301" t="s">
        <v>34</v>
      </c>
      <c r="G301" t="s">
        <v>187</v>
      </c>
      <c r="H301" t="s">
        <v>188</v>
      </c>
      <c r="I301" t="s">
        <v>24</v>
      </c>
      <c r="J301">
        <v>5</v>
      </c>
      <c r="K301">
        <v>5500</v>
      </c>
      <c r="L301">
        <v>27500</v>
      </c>
    </row>
    <row r="302" spans="1:12" x14ac:dyDescent="0.3">
      <c r="A302">
        <v>10301</v>
      </c>
      <c r="B302" s="2">
        <v>45676</v>
      </c>
      <c r="C302" t="s">
        <v>230</v>
      </c>
      <c r="D302" t="s">
        <v>231</v>
      </c>
      <c r="E302" t="s">
        <v>84</v>
      </c>
      <c r="F302" t="s">
        <v>46</v>
      </c>
      <c r="G302" t="s">
        <v>65</v>
      </c>
      <c r="H302" t="s">
        <v>66</v>
      </c>
      <c r="I302" t="s">
        <v>49</v>
      </c>
      <c r="J302">
        <v>1</v>
      </c>
      <c r="K302">
        <v>2400</v>
      </c>
      <c r="L302">
        <v>2400</v>
      </c>
    </row>
    <row r="303" spans="1:12" x14ac:dyDescent="0.3">
      <c r="A303">
        <v>10302</v>
      </c>
      <c r="B303" s="2">
        <v>45670</v>
      </c>
      <c r="C303" t="s">
        <v>185</v>
      </c>
      <c r="D303" t="s">
        <v>186</v>
      </c>
      <c r="E303" t="s">
        <v>14</v>
      </c>
      <c r="F303" t="s">
        <v>15</v>
      </c>
      <c r="G303" t="s">
        <v>29</v>
      </c>
      <c r="H303" t="s">
        <v>30</v>
      </c>
      <c r="I303" t="s">
        <v>18</v>
      </c>
      <c r="J303">
        <v>2</v>
      </c>
      <c r="K303">
        <v>15000</v>
      </c>
      <c r="L303">
        <v>30000</v>
      </c>
    </row>
    <row r="304" spans="1:12" x14ac:dyDescent="0.3">
      <c r="A304">
        <v>10303</v>
      </c>
      <c r="B304" s="2">
        <v>45847</v>
      </c>
      <c r="C304" t="s">
        <v>234</v>
      </c>
      <c r="D304" t="s">
        <v>235</v>
      </c>
      <c r="E304" t="s">
        <v>137</v>
      </c>
      <c r="F304" t="s">
        <v>46</v>
      </c>
      <c r="G304" t="s">
        <v>179</v>
      </c>
      <c r="H304" t="s">
        <v>180</v>
      </c>
      <c r="I304" t="s">
        <v>18</v>
      </c>
      <c r="J304">
        <v>2</v>
      </c>
      <c r="K304">
        <v>6500</v>
      </c>
      <c r="L304">
        <v>13000</v>
      </c>
    </row>
    <row r="305" spans="1:12" x14ac:dyDescent="0.3">
      <c r="A305">
        <v>10304</v>
      </c>
      <c r="B305" s="2">
        <v>45684</v>
      </c>
      <c r="C305" t="s">
        <v>183</v>
      </c>
      <c r="D305" t="s">
        <v>184</v>
      </c>
      <c r="E305" t="s">
        <v>27</v>
      </c>
      <c r="F305" t="s">
        <v>28</v>
      </c>
      <c r="G305" t="s">
        <v>109</v>
      </c>
      <c r="H305" t="s">
        <v>110</v>
      </c>
      <c r="I305" t="s">
        <v>18</v>
      </c>
      <c r="J305">
        <v>1</v>
      </c>
      <c r="K305">
        <v>5000</v>
      </c>
      <c r="L305">
        <v>5000</v>
      </c>
    </row>
    <row r="306" spans="1:12" x14ac:dyDescent="0.3">
      <c r="A306">
        <v>10305</v>
      </c>
      <c r="B306" s="2">
        <v>45932</v>
      </c>
      <c r="C306" t="s">
        <v>133</v>
      </c>
      <c r="D306" t="s">
        <v>134</v>
      </c>
      <c r="E306" t="s">
        <v>33</v>
      </c>
      <c r="F306" t="s">
        <v>34</v>
      </c>
      <c r="G306" t="s">
        <v>152</v>
      </c>
      <c r="H306" t="s">
        <v>153</v>
      </c>
      <c r="I306" t="s">
        <v>49</v>
      </c>
      <c r="J306">
        <v>1</v>
      </c>
      <c r="K306">
        <v>3200</v>
      </c>
      <c r="L306">
        <v>3200</v>
      </c>
    </row>
    <row r="307" spans="1:12" x14ac:dyDescent="0.3">
      <c r="A307">
        <v>10306</v>
      </c>
      <c r="B307" s="2">
        <v>45890</v>
      </c>
      <c r="C307" t="s">
        <v>72</v>
      </c>
      <c r="D307" t="s">
        <v>73</v>
      </c>
      <c r="E307" t="s">
        <v>74</v>
      </c>
      <c r="F307" t="s">
        <v>28</v>
      </c>
      <c r="G307" t="s">
        <v>113</v>
      </c>
      <c r="H307" t="s">
        <v>114</v>
      </c>
      <c r="I307" t="s">
        <v>37</v>
      </c>
      <c r="J307">
        <v>4</v>
      </c>
      <c r="K307">
        <v>52000</v>
      </c>
      <c r="L307">
        <v>208000</v>
      </c>
    </row>
    <row r="308" spans="1:12" x14ac:dyDescent="0.3">
      <c r="A308">
        <v>10307</v>
      </c>
      <c r="B308" s="2">
        <v>45983</v>
      </c>
      <c r="C308" t="s">
        <v>199</v>
      </c>
      <c r="D308" t="s">
        <v>200</v>
      </c>
      <c r="E308" t="s">
        <v>201</v>
      </c>
      <c r="F308" t="s">
        <v>28</v>
      </c>
      <c r="G308" t="s">
        <v>16</v>
      </c>
      <c r="H308" t="s">
        <v>17</v>
      </c>
      <c r="I308" t="s">
        <v>18</v>
      </c>
      <c r="J308">
        <v>2</v>
      </c>
      <c r="K308">
        <v>11000</v>
      </c>
      <c r="L308">
        <v>22000</v>
      </c>
    </row>
    <row r="309" spans="1:12" x14ac:dyDescent="0.3">
      <c r="A309">
        <v>10308</v>
      </c>
      <c r="B309" s="2">
        <v>45706</v>
      </c>
      <c r="C309" t="s">
        <v>220</v>
      </c>
      <c r="D309" t="s">
        <v>221</v>
      </c>
      <c r="E309" t="s">
        <v>102</v>
      </c>
      <c r="F309" t="s">
        <v>34</v>
      </c>
      <c r="G309" t="s">
        <v>131</v>
      </c>
      <c r="H309" t="s">
        <v>132</v>
      </c>
      <c r="I309" t="s">
        <v>37</v>
      </c>
      <c r="J309">
        <v>2</v>
      </c>
      <c r="K309">
        <v>4500</v>
      </c>
      <c r="L309">
        <v>9000</v>
      </c>
    </row>
    <row r="310" spans="1:12" x14ac:dyDescent="0.3">
      <c r="A310">
        <v>10309</v>
      </c>
      <c r="B310" s="2">
        <v>45894</v>
      </c>
      <c r="C310" t="s">
        <v>212</v>
      </c>
      <c r="D310" t="s">
        <v>213</v>
      </c>
      <c r="E310" t="s">
        <v>69</v>
      </c>
      <c r="F310" t="s">
        <v>28</v>
      </c>
      <c r="G310" t="s">
        <v>96</v>
      </c>
      <c r="H310" t="s">
        <v>97</v>
      </c>
      <c r="I310" t="s">
        <v>37</v>
      </c>
      <c r="J310">
        <v>2</v>
      </c>
      <c r="K310">
        <v>18000</v>
      </c>
      <c r="L310">
        <v>36000</v>
      </c>
    </row>
    <row r="311" spans="1:12" x14ac:dyDescent="0.3">
      <c r="A311">
        <v>10310</v>
      </c>
      <c r="B311" s="2">
        <v>46011</v>
      </c>
      <c r="C311" t="s">
        <v>133</v>
      </c>
      <c r="D311" t="s">
        <v>134</v>
      </c>
      <c r="E311" t="s">
        <v>33</v>
      </c>
      <c r="F311" t="s">
        <v>34</v>
      </c>
      <c r="G311" t="s">
        <v>177</v>
      </c>
      <c r="H311" t="s">
        <v>178</v>
      </c>
      <c r="I311" t="s">
        <v>37</v>
      </c>
      <c r="J311">
        <v>1</v>
      </c>
      <c r="K311">
        <v>2500</v>
      </c>
      <c r="L311">
        <v>2500</v>
      </c>
    </row>
    <row r="312" spans="1:12" x14ac:dyDescent="0.3">
      <c r="A312">
        <v>10311</v>
      </c>
      <c r="B312" s="2">
        <v>45855</v>
      </c>
      <c r="C312" t="s">
        <v>105</v>
      </c>
      <c r="D312" t="s">
        <v>106</v>
      </c>
      <c r="E312" t="s">
        <v>45</v>
      </c>
      <c r="F312" t="s">
        <v>46</v>
      </c>
      <c r="G312" t="s">
        <v>103</v>
      </c>
      <c r="H312" t="s">
        <v>104</v>
      </c>
      <c r="I312" t="s">
        <v>37</v>
      </c>
      <c r="J312">
        <v>1</v>
      </c>
      <c r="K312">
        <v>28000</v>
      </c>
      <c r="L312">
        <v>28000</v>
      </c>
    </row>
    <row r="313" spans="1:12" x14ac:dyDescent="0.3">
      <c r="A313">
        <v>10312</v>
      </c>
      <c r="B313" s="2">
        <v>45663</v>
      </c>
      <c r="C313" t="s">
        <v>206</v>
      </c>
      <c r="D313" t="s">
        <v>207</v>
      </c>
      <c r="E313" t="s">
        <v>160</v>
      </c>
      <c r="F313" t="s">
        <v>34</v>
      </c>
      <c r="G313" t="s">
        <v>113</v>
      </c>
      <c r="H313" t="s">
        <v>114</v>
      </c>
      <c r="I313" t="s">
        <v>37</v>
      </c>
      <c r="J313">
        <v>1</v>
      </c>
      <c r="K313">
        <v>52000</v>
      </c>
      <c r="L313">
        <v>52000</v>
      </c>
    </row>
    <row r="314" spans="1:12" x14ac:dyDescent="0.3">
      <c r="A314">
        <v>10313</v>
      </c>
      <c r="B314" s="2">
        <v>45770</v>
      </c>
      <c r="C314" t="s">
        <v>82</v>
      </c>
      <c r="D314" t="s">
        <v>83</v>
      </c>
      <c r="E314" t="s">
        <v>84</v>
      </c>
      <c r="F314" t="s">
        <v>46</v>
      </c>
      <c r="G314" t="s">
        <v>96</v>
      </c>
      <c r="H314" t="s">
        <v>97</v>
      </c>
      <c r="I314" t="s">
        <v>37</v>
      </c>
      <c r="J314">
        <v>1</v>
      </c>
      <c r="K314">
        <v>18000</v>
      </c>
      <c r="L314">
        <v>18000</v>
      </c>
    </row>
    <row r="315" spans="1:12" x14ac:dyDescent="0.3">
      <c r="A315">
        <v>10314</v>
      </c>
      <c r="B315" s="2">
        <v>45945</v>
      </c>
      <c r="C315" t="s">
        <v>169</v>
      </c>
      <c r="D315" t="s">
        <v>170</v>
      </c>
      <c r="E315" t="s">
        <v>64</v>
      </c>
      <c r="F315" t="s">
        <v>46</v>
      </c>
      <c r="G315" t="s">
        <v>131</v>
      </c>
      <c r="H315" t="s">
        <v>132</v>
      </c>
      <c r="I315" t="s">
        <v>37</v>
      </c>
      <c r="J315">
        <v>1</v>
      </c>
      <c r="K315">
        <v>4500</v>
      </c>
      <c r="L315">
        <v>4500</v>
      </c>
    </row>
    <row r="316" spans="1:12" x14ac:dyDescent="0.3">
      <c r="A316">
        <v>10315</v>
      </c>
      <c r="B316" s="2">
        <v>45895</v>
      </c>
      <c r="C316" t="s">
        <v>216</v>
      </c>
      <c r="D316" t="s">
        <v>217</v>
      </c>
      <c r="E316" t="s">
        <v>21</v>
      </c>
      <c r="F316" t="s">
        <v>15</v>
      </c>
      <c r="G316" t="s">
        <v>47</v>
      </c>
      <c r="H316" t="s">
        <v>48</v>
      </c>
      <c r="I316" t="s">
        <v>49</v>
      </c>
      <c r="J316">
        <v>2</v>
      </c>
      <c r="K316">
        <v>1600</v>
      </c>
      <c r="L316">
        <v>3200</v>
      </c>
    </row>
    <row r="317" spans="1:12" x14ac:dyDescent="0.3">
      <c r="A317">
        <v>10316</v>
      </c>
      <c r="B317" s="2">
        <v>45745</v>
      </c>
      <c r="C317" t="s">
        <v>220</v>
      </c>
      <c r="D317" t="s">
        <v>221</v>
      </c>
      <c r="E317" t="s">
        <v>102</v>
      </c>
      <c r="F317" t="s">
        <v>34</v>
      </c>
      <c r="G317" t="s">
        <v>167</v>
      </c>
      <c r="H317" t="s">
        <v>168</v>
      </c>
      <c r="I317" t="s">
        <v>49</v>
      </c>
      <c r="J317">
        <v>1</v>
      </c>
      <c r="K317">
        <v>3800</v>
      </c>
      <c r="L317">
        <v>3800</v>
      </c>
    </row>
    <row r="318" spans="1:12" x14ac:dyDescent="0.3">
      <c r="A318">
        <v>10317</v>
      </c>
      <c r="B318" s="2">
        <v>45857</v>
      </c>
      <c r="C318" t="s">
        <v>226</v>
      </c>
      <c r="D318" t="s">
        <v>227</v>
      </c>
      <c r="E318" t="s">
        <v>79</v>
      </c>
      <c r="F318" t="s">
        <v>34</v>
      </c>
      <c r="G318" t="s">
        <v>47</v>
      </c>
      <c r="H318" t="s">
        <v>48</v>
      </c>
      <c r="I318" t="s">
        <v>49</v>
      </c>
      <c r="J318">
        <v>1</v>
      </c>
      <c r="K318">
        <v>1600</v>
      </c>
      <c r="L318">
        <v>1600</v>
      </c>
    </row>
    <row r="319" spans="1:12" x14ac:dyDescent="0.3">
      <c r="A319">
        <v>10318</v>
      </c>
      <c r="B319" s="2">
        <v>45754</v>
      </c>
      <c r="C319" t="s">
        <v>135</v>
      </c>
      <c r="D319" t="s">
        <v>136</v>
      </c>
      <c r="E319" t="s">
        <v>137</v>
      </c>
      <c r="F319" t="s">
        <v>46</v>
      </c>
      <c r="G319" t="s">
        <v>70</v>
      </c>
      <c r="H319" t="s">
        <v>71</v>
      </c>
      <c r="I319" t="s">
        <v>37</v>
      </c>
      <c r="J319">
        <v>2</v>
      </c>
      <c r="K319">
        <v>2200</v>
      </c>
      <c r="L319">
        <v>4400</v>
      </c>
    </row>
    <row r="320" spans="1:12" x14ac:dyDescent="0.3">
      <c r="A320">
        <v>10319</v>
      </c>
      <c r="B320" s="2">
        <v>45985</v>
      </c>
      <c r="C320" t="s">
        <v>117</v>
      </c>
      <c r="D320" t="s">
        <v>118</v>
      </c>
      <c r="E320" t="s">
        <v>95</v>
      </c>
      <c r="F320" t="s">
        <v>15</v>
      </c>
      <c r="G320" t="s">
        <v>89</v>
      </c>
      <c r="H320" t="s">
        <v>90</v>
      </c>
      <c r="I320" t="s">
        <v>18</v>
      </c>
      <c r="J320">
        <v>2</v>
      </c>
      <c r="K320">
        <v>4200</v>
      </c>
      <c r="L320">
        <v>8400</v>
      </c>
    </row>
    <row r="321" spans="1:12" x14ac:dyDescent="0.3">
      <c r="A321">
        <v>10320</v>
      </c>
      <c r="B321" s="2">
        <v>45931</v>
      </c>
      <c r="C321" t="s">
        <v>119</v>
      </c>
      <c r="D321" t="s">
        <v>120</v>
      </c>
      <c r="E321" t="s">
        <v>27</v>
      </c>
      <c r="F321" t="s">
        <v>28</v>
      </c>
      <c r="G321" t="s">
        <v>131</v>
      </c>
      <c r="H321" t="s">
        <v>132</v>
      </c>
      <c r="I321" t="s">
        <v>37</v>
      </c>
      <c r="J321">
        <v>1</v>
      </c>
      <c r="K321">
        <v>4500</v>
      </c>
      <c r="L321">
        <v>4500</v>
      </c>
    </row>
    <row r="322" spans="1:12" x14ac:dyDescent="0.3">
      <c r="A322">
        <v>10321</v>
      </c>
      <c r="B322" s="2">
        <v>45773</v>
      </c>
      <c r="C322" t="s">
        <v>226</v>
      </c>
      <c r="D322" t="s">
        <v>227</v>
      </c>
      <c r="E322" t="s">
        <v>79</v>
      </c>
      <c r="F322" t="s">
        <v>34</v>
      </c>
      <c r="G322" t="s">
        <v>167</v>
      </c>
      <c r="H322" t="s">
        <v>168</v>
      </c>
      <c r="I322" t="s">
        <v>49</v>
      </c>
      <c r="J322">
        <v>2</v>
      </c>
      <c r="K322">
        <v>3800</v>
      </c>
      <c r="L322">
        <v>7600</v>
      </c>
    </row>
    <row r="323" spans="1:12" x14ac:dyDescent="0.3">
      <c r="A323">
        <v>10322</v>
      </c>
      <c r="B323" s="2">
        <v>45814</v>
      </c>
      <c r="C323" t="s">
        <v>85</v>
      </c>
      <c r="D323" t="s">
        <v>86</v>
      </c>
      <c r="E323" t="s">
        <v>45</v>
      </c>
      <c r="F323" t="s">
        <v>46</v>
      </c>
      <c r="G323" t="s">
        <v>187</v>
      </c>
      <c r="H323" t="s">
        <v>188</v>
      </c>
      <c r="I323" t="s">
        <v>24</v>
      </c>
      <c r="J323">
        <v>1</v>
      </c>
      <c r="K323">
        <v>5500</v>
      </c>
      <c r="L323">
        <v>5500</v>
      </c>
    </row>
    <row r="324" spans="1:12" x14ac:dyDescent="0.3">
      <c r="A324">
        <v>10323</v>
      </c>
      <c r="B324" s="2">
        <v>45710</v>
      </c>
      <c r="C324" t="s">
        <v>175</v>
      </c>
      <c r="D324" t="s">
        <v>176</v>
      </c>
      <c r="E324" t="s">
        <v>84</v>
      </c>
      <c r="F324" t="s">
        <v>46</v>
      </c>
      <c r="G324" t="s">
        <v>22</v>
      </c>
      <c r="H324" t="s">
        <v>23</v>
      </c>
      <c r="I324" t="s">
        <v>24</v>
      </c>
      <c r="J324">
        <v>1</v>
      </c>
      <c r="K324">
        <v>2400</v>
      </c>
      <c r="L324">
        <v>2400</v>
      </c>
    </row>
    <row r="325" spans="1:12" x14ac:dyDescent="0.3">
      <c r="A325">
        <v>10324</v>
      </c>
      <c r="B325" s="2">
        <v>45870</v>
      </c>
      <c r="C325" t="s">
        <v>138</v>
      </c>
      <c r="D325" t="s">
        <v>139</v>
      </c>
      <c r="E325" t="s">
        <v>79</v>
      </c>
      <c r="F325" t="s">
        <v>34</v>
      </c>
      <c r="G325" t="s">
        <v>98</v>
      </c>
      <c r="H325" t="s">
        <v>99</v>
      </c>
      <c r="I325" t="s">
        <v>24</v>
      </c>
      <c r="J325">
        <v>1</v>
      </c>
      <c r="K325">
        <v>2000</v>
      </c>
      <c r="L325">
        <v>2000</v>
      </c>
    </row>
    <row r="326" spans="1:12" x14ac:dyDescent="0.3">
      <c r="A326">
        <v>10325</v>
      </c>
      <c r="B326" s="2">
        <v>46017</v>
      </c>
      <c r="C326" t="s">
        <v>50</v>
      </c>
      <c r="D326" t="s">
        <v>51</v>
      </c>
      <c r="E326" t="s">
        <v>14</v>
      </c>
      <c r="F326" t="s">
        <v>15</v>
      </c>
      <c r="G326" t="s">
        <v>131</v>
      </c>
      <c r="H326" t="s">
        <v>132</v>
      </c>
      <c r="I326" t="s">
        <v>37</v>
      </c>
      <c r="J326">
        <v>3</v>
      </c>
      <c r="K326">
        <v>4500</v>
      </c>
      <c r="L326">
        <v>13500</v>
      </c>
    </row>
    <row r="327" spans="1:12" x14ac:dyDescent="0.3">
      <c r="A327">
        <v>10326</v>
      </c>
      <c r="B327" s="2">
        <v>45880</v>
      </c>
      <c r="C327" t="s">
        <v>146</v>
      </c>
      <c r="D327" t="s">
        <v>147</v>
      </c>
      <c r="E327" t="s">
        <v>64</v>
      </c>
      <c r="F327" t="s">
        <v>46</v>
      </c>
      <c r="G327" t="s">
        <v>113</v>
      </c>
      <c r="H327" t="s">
        <v>114</v>
      </c>
      <c r="I327" t="s">
        <v>37</v>
      </c>
      <c r="J327">
        <v>1</v>
      </c>
      <c r="K327">
        <v>52000</v>
      </c>
      <c r="L327">
        <v>52000</v>
      </c>
    </row>
    <row r="328" spans="1:12" x14ac:dyDescent="0.3">
      <c r="A328">
        <v>10327</v>
      </c>
      <c r="B328" s="2">
        <v>45934</v>
      </c>
      <c r="C328" t="s">
        <v>236</v>
      </c>
      <c r="D328" t="s">
        <v>237</v>
      </c>
      <c r="E328" t="s">
        <v>201</v>
      </c>
      <c r="F328" t="s">
        <v>28</v>
      </c>
      <c r="G328" t="s">
        <v>103</v>
      </c>
      <c r="H328" t="s">
        <v>104</v>
      </c>
      <c r="I328" t="s">
        <v>37</v>
      </c>
      <c r="J328">
        <v>1</v>
      </c>
      <c r="K328">
        <v>28000</v>
      </c>
      <c r="L328">
        <v>28000</v>
      </c>
    </row>
    <row r="329" spans="1:12" x14ac:dyDescent="0.3">
      <c r="A329">
        <v>10328</v>
      </c>
      <c r="B329" s="2">
        <v>45978</v>
      </c>
      <c r="C329" t="s">
        <v>193</v>
      </c>
      <c r="D329" t="s">
        <v>194</v>
      </c>
      <c r="E329" t="s">
        <v>102</v>
      </c>
      <c r="F329" t="s">
        <v>34</v>
      </c>
      <c r="G329" t="s">
        <v>103</v>
      </c>
      <c r="H329" t="s">
        <v>104</v>
      </c>
      <c r="I329" t="s">
        <v>37</v>
      </c>
      <c r="J329">
        <v>3</v>
      </c>
      <c r="K329">
        <v>28000</v>
      </c>
      <c r="L329">
        <v>84000</v>
      </c>
    </row>
    <row r="330" spans="1:12" x14ac:dyDescent="0.3">
      <c r="A330">
        <v>10329</v>
      </c>
      <c r="B330" s="2">
        <v>45924</v>
      </c>
      <c r="C330" t="s">
        <v>58</v>
      </c>
      <c r="D330" t="s">
        <v>59</v>
      </c>
      <c r="E330" t="s">
        <v>21</v>
      </c>
      <c r="F330" t="s">
        <v>15</v>
      </c>
      <c r="G330" t="s">
        <v>16</v>
      </c>
      <c r="H330" t="s">
        <v>17</v>
      </c>
      <c r="I330" t="s">
        <v>18</v>
      </c>
      <c r="J330">
        <v>3</v>
      </c>
      <c r="K330">
        <v>11000</v>
      </c>
      <c r="L330">
        <v>33000</v>
      </c>
    </row>
    <row r="331" spans="1:12" x14ac:dyDescent="0.3">
      <c r="A331">
        <v>10330</v>
      </c>
      <c r="B331" s="2">
        <v>45973</v>
      </c>
      <c r="C331" t="s">
        <v>202</v>
      </c>
      <c r="D331" t="s">
        <v>203</v>
      </c>
      <c r="E331" t="s">
        <v>64</v>
      </c>
      <c r="F331" t="s">
        <v>46</v>
      </c>
      <c r="G331" t="s">
        <v>60</v>
      </c>
      <c r="H331" t="s">
        <v>61</v>
      </c>
      <c r="I331" t="s">
        <v>18</v>
      </c>
      <c r="J331">
        <v>1</v>
      </c>
      <c r="K331">
        <v>2200</v>
      </c>
      <c r="L331">
        <v>2200</v>
      </c>
    </row>
    <row r="332" spans="1:12" x14ac:dyDescent="0.3">
      <c r="A332">
        <v>10331</v>
      </c>
      <c r="B332" s="2">
        <v>45910</v>
      </c>
      <c r="C332" t="s">
        <v>100</v>
      </c>
      <c r="D332" t="s">
        <v>101</v>
      </c>
      <c r="E332" t="s">
        <v>102</v>
      </c>
      <c r="F332" t="s">
        <v>34</v>
      </c>
      <c r="G332" t="s">
        <v>47</v>
      </c>
      <c r="H332" t="s">
        <v>48</v>
      </c>
      <c r="I332" t="s">
        <v>49</v>
      </c>
      <c r="J332">
        <v>4</v>
      </c>
      <c r="K332">
        <v>1600</v>
      </c>
      <c r="L332">
        <v>6400</v>
      </c>
    </row>
    <row r="333" spans="1:12" x14ac:dyDescent="0.3">
      <c r="A333">
        <v>10332</v>
      </c>
      <c r="B333" s="2">
        <v>45978</v>
      </c>
      <c r="C333" t="s">
        <v>85</v>
      </c>
      <c r="D333" t="s">
        <v>86</v>
      </c>
      <c r="E333" t="s">
        <v>45</v>
      </c>
      <c r="F333" t="s">
        <v>46</v>
      </c>
      <c r="G333" t="s">
        <v>109</v>
      </c>
      <c r="H333" t="s">
        <v>110</v>
      </c>
      <c r="I333" t="s">
        <v>18</v>
      </c>
      <c r="J333">
        <v>2</v>
      </c>
      <c r="K333">
        <v>5000</v>
      </c>
      <c r="L333">
        <v>10000</v>
      </c>
    </row>
    <row r="334" spans="1:12" x14ac:dyDescent="0.3">
      <c r="A334">
        <v>10333</v>
      </c>
      <c r="B334" s="2">
        <v>45788</v>
      </c>
      <c r="C334" t="s">
        <v>230</v>
      </c>
      <c r="D334" t="s">
        <v>231</v>
      </c>
      <c r="E334" t="s">
        <v>84</v>
      </c>
      <c r="F334" t="s">
        <v>46</v>
      </c>
      <c r="G334" t="s">
        <v>103</v>
      </c>
      <c r="H334" t="s">
        <v>104</v>
      </c>
      <c r="I334" t="s">
        <v>37</v>
      </c>
      <c r="J334">
        <v>2</v>
      </c>
      <c r="K334">
        <v>28000</v>
      </c>
      <c r="L334">
        <v>56000</v>
      </c>
    </row>
    <row r="335" spans="1:12" x14ac:dyDescent="0.3">
      <c r="A335">
        <v>10334</v>
      </c>
      <c r="B335" s="2">
        <v>45933</v>
      </c>
      <c r="C335" t="s">
        <v>208</v>
      </c>
      <c r="D335" t="s">
        <v>209</v>
      </c>
      <c r="E335" t="s">
        <v>95</v>
      </c>
      <c r="F335" t="s">
        <v>15</v>
      </c>
      <c r="G335" t="s">
        <v>163</v>
      </c>
      <c r="H335" t="s">
        <v>164</v>
      </c>
      <c r="I335" t="s">
        <v>49</v>
      </c>
      <c r="J335">
        <v>3</v>
      </c>
      <c r="K335">
        <v>4200</v>
      </c>
      <c r="L335">
        <v>12600</v>
      </c>
    </row>
    <row r="336" spans="1:12" x14ac:dyDescent="0.3">
      <c r="A336">
        <v>10335</v>
      </c>
      <c r="B336" s="2">
        <v>45668</v>
      </c>
      <c r="C336" t="s">
        <v>156</v>
      </c>
      <c r="D336" t="s">
        <v>157</v>
      </c>
      <c r="E336" t="s">
        <v>95</v>
      </c>
      <c r="F336" t="s">
        <v>15</v>
      </c>
      <c r="G336" t="s">
        <v>152</v>
      </c>
      <c r="H336" t="s">
        <v>153</v>
      </c>
      <c r="I336" t="s">
        <v>49</v>
      </c>
      <c r="J336">
        <v>1</v>
      </c>
      <c r="K336">
        <v>3200</v>
      </c>
      <c r="L336">
        <v>3200</v>
      </c>
    </row>
    <row r="337" spans="1:12" x14ac:dyDescent="0.3">
      <c r="A337">
        <v>10336</v>
      </c>
      <c r="B337" s="2">
        <v>45964</v>
      </c>
      <c r="C337" t="s">
        <v>117</v>
      </c>
      <c r="D337" t="s">
        <v>118</v>
      </c>
      <c r="E337" t="s">
        <v>95</v>
      </c>
      <c r="F337" t="s">
        <v>15</v>
      </c>
      <c r="G337" t="s">
        <v>113</v>
      </c>
      <c r="H337" t="s">
        <v>114</v>
      </c>
      <c r="I337" t="s">
        <v>37</v>
      </c>
      <c r="J337">
        <v>1</v>
      </c>
      <c r="K337">
        <v>52000</v>
      </c>
      <c r="L337">
        <v>52000</v>
      </c>
    </row>
    <row r="338" spans="1:12" x14ac:dyDescent="0.3">
      <c r="A338">
        <v>10337</v>
      </c>
      <c r="B338" s="2">
        <v>45864</v>
      </c>
      <c r="C338" t="s">
        <v>133</v>
      </c>
      <c r="D338" t="s">
        <v>134</v>
      </c>
      <c r="E338" t="s">
        <v>33</v>
      </c>
      <c r="F338" t="s">
        <v>34</v>
      </c>
      <c r="G338" t="s">
        <v>47</v>
      </c>
      <c r="H338" t="s">
        <v>48</v>
      </c>
      <c r="I338" t="s">
        <v>49</v>
      </c>
      <c r="J338">
        <v>1</v>
      </c>
      <c r="K338">
        <v>1600</v>
      </c>
      <c r="L338">
        <v>1600</v>
      </c>
    </row>
    <row r="339" spans="1:12" x14ac:dyDescent="0.3">
      <c r="A339">
        <v>10338</v>
      </c>
      <c r="B339" s="2">
        <v>45720</v>
      </c>
      <c r="C339" t="s">
        <v>105</v>
      </c>
      <c r="D339" t="s">
        <v>106</v>
      </c>
      <c r="E339" t="s">
        <v>45</v>
      </c>
      <c r="F339" t="s">
        <v>46</v>
      </c>
      <c r="G339" t="s">
        <v>167</v>
      </c>
      <c r="H339" t="s">
        <v>168</v>
      </c>
      <c r="I339" t="s">
        <v>49</v>
      </c>
      <c r="J339">
        <v>1</v>
      </c>
      <c r="K339">
        <v>3800</v>
      </c>
      <c r="L339">
        <v>3800</v>
      </c>
    </row>
    <row r="340" spans="1:12" x14ac:dyDescent="0.3">
      <c r="A340">
        <v>10339</v>
      </c>
      <c r="B340" s="2">
        <v>45764</v>
      </c>
      <c r="C340" t="s">
        <v>238</v>
      </c>
      <c r="D340" t="s">
        <v>239</v>
      </c>
      <c r="E340" t="s">
        <v>137</v>
      </c>
      <c r="F340" t="s">
        <v>46</v>
      </c>
      <c r="G340" t="s">
        <v>35</v>
      </c>
      <c r="H340" t="s">
        <v>36</v>
      </c>
      <c r="I340" t="s">
        <v>37</v>
      </c>
      <c r="J340">
        <v>1</v>
      </c>
      <c r="K340">
        <v>12000</v>
      </c>
      <c r="L340">
        <v>12000</v>
      </c>
    </row>
    <row r="341" spans="1:12" x14ac:dyDescent="0.3">
      <c r="A341">
        <v>10340</v>
      </c>
      <c r="B341" s="2">
        <v>45662</v>
      </c>
      <c r="C341" t="s">
        <v>191</v>
      </c>
      <c r="D341" t="s">
        <v>192</v>
      </c>
      <c r="E341" t="s">
        <v>27</v>
      </c>
      <c r="F341" t="s">
        <v>28</v>
      </c>
      <c r="G341" t="s">
        <v>98</v>
      </c>
      <c r="H341" t="s">
        <v>99</v>
      </c>
      <c r="I341" t="s">
        <v>24</v>
      </c>
      <c r="J341">
        <v>1</v>
      </c>
      <c r="K341">
        <v>2000</v>
      </c>
      <c r="L341">
        <v>2000</v>
      </c>
    </row>
    <row r="342" spans="1:12" x14ac:dyDescent="0.3">
      <c r="A342">
        <v>10341</v>
      </c>
      <c r="B342" s="2">
        <v>45837</v>
      </c>
      <c r="C342" t="s">
        <v>222</v>
      </c>
      <c r="D342" t="s">
        <v>223</v>
      </c>
      <c r="E342" t="s">
        <v>21</v>
      </c>
      <c r="F342" t="s">
        <v>15</v>
      </c>
      <c r="G342" t="s">
        <v>56</v>
      </c>
      <c r="H342" t="s">
        <v>57</v>
      </c>
      <c r="I342" t="s">
        <v>18</v>
      </c>
      <c r="J342">
        <v>1</v>
      </c>
      <c r="K342">
        <v>9000</v>
      </c>
      <c r="L342">
        <v>9000</v>
      </c>
    </row>
    <row r="343" spans="1:12" x14ac:dyDescent="0.3">
      <c r="A343">
        <v>10342</v>
      </c>
      <c r="B343" s="2">
        <v>45725</v>
      </c>
      <c r="C343" t="s">
        <v>105</v>
      </c>
      <c r="D343" t="s">
        <v>106</v>
      </c>
      <c r="E343" t="s">
        <v>45</v>
      </c>
      <c r="F343" t="s">
        <v>46</v>
      </c>
      <c r="G343" t="s">
        <v>129</v>
      </c>
      <c r="H343" t="s">
        <v>130</v>
      </c>
      <c r="I343" t="s">
        <v>24</v>
      </c>
      <c r="J343">
        <v>3</v>
      </c>
      <c r="K343">
        <v>1400</v>
      </c>
      <c r="L343">
        <v>4200</v>
      </c>
    </row>
    <row r="344" spans="1:12" x14ac:dyDescent="0.3">
      <c r="A344">
        <v>10343</v>
      </c>
      <c r="B344" s="2">
        <v>45815</v>
      </c>
      <c r="C344" t="s">
        <v>43</v>
      </c>
      <c r="D344" t="s">
        <v>44</v>
      </c>
      <c r="E344" t="s">
        <v>45</v>
      </c>
      <c r="F344" t="s">
        <v>46</v>
      </c>
      <c r="G344" t="s">
        <v>131</v>
      </c>
      <c r="H344" t="s">
        <v>132</v>
      </c>
      <c r="I344" t="s">
        <v>37</v>
      </c>
      <c r="J344">
        <v>2</v>
      </c>
      <c r="K344">
        <v>4500</v>
      </c>
      <c r="L344">
        <v>9000</v>
      </c>
    </row>
    <row r="345" spans="1:12" x14ac:dyDescent="0.3">
      <c r="A345">
        <v>10344</v>
      </c>
      <c r="B345" s="2">
        <v>45942</v>
      </c>
      <c r="C345" t="s">
        <v>38</v>
      </c>
      <c r="D345" t="s">
        <v>39</v>
      </c>
      <c r="E345" t="s">
        <v>40</v>
      </c>
      <c r="F345" t="s">
        <v>15</v>
      </c>
      <c r="G345" t="s">
        <v>75</v>
      </c>
      <c r="H345" t="s">
        <v>76</v>
      </c>
      <c r="I345" t="s">
        <v>49</v>
      </c>
      <c r="J345">
        <v>1</v>
      </c>
      <c r="K345">
        <v>3000</v>
      </c>
      <c r="L345">
        <v>3000</v>
      </c>
    </row>
    <row r="346" spans="1:12" x14ac:dyDescent="0.3">
      <c r="A346">
        <v>10345</v>
      </c>
      <c r="B346" s="2">
        <v>45846</v>
      </c>
      <c r="C346" t="s">
        <v>58</v>
      </c>
      <c r="D346" t="s">
        <v>59</v>
      </c>
      <c r="E346" t="s">
        <v>21</v>
      </c>
      <c r="F346" t="s">
        <v>15</v>
      </c>
      <c r="G346" t="s">
        <v>70</v>
      </c>
      <c r="H346" t="s">
        <v>71</v>
      </c>
      <c r="I346" t="s">
        <v>37</v>
      </c>
      <c r="J346">
        <v>3</v>
      </c>
      <c r="K346">
        <v>2200</v>
      </c>
      <c r="L346">
        <v>6600</v>
      </c>
    </row>
    <row r="347" spans="1:12" x14ac:dyDescent="0.3">
      <c r="A347">
        <v>10346</v>
      </c>
      <c r="B347" s="2">
        <v>45951</v>
      </c>
      <c r="C347" t="s">
        <v>240</v>
      </c>
      <c r="D347" t="s">
        <v>241</v>
      </c>
      <c r="E347" t="s">
        <v>74</v>
      </c>
      <c r="F347" t="s">
        <v>28</v>
      </c>
      <c r="G347" t="s">
        <v>121</v>
      </c>
      <c r="H347" t="s">
        <v>122</v>
      </c>
      <c r="I347" t="s">
        <v>49</v>
      </c>
      <c r="J347">
        <v>2</v>
      </c>
      <c r="K347">
        <v>4800</v>
      </c>
      <c r="L347">
        <v>9600</v>
      </c>
    </row>
    <row r="348" spans="1:12" x14ac:dyDescent="0.3">
      <c r="A348">
        <v>10347</v>
      </c>
      <c r="B348" s="2">
        <v>45820</v>
      </c>
      <c r="C348" t="s">
        <v>19</v>
      </c>
      <c r="D348" t="s">
        <v>20</v>
      </c>
      <c r="E348" t="s">
        <v>21</v>
      </c>
      <c r="F348" t="s">
        <v>15</v>
      </c>
      <c r="G348" t="s">
        <v>96</v>
      </c>
      <c r="H348" t="s">
        <v>97</v>
      </c>
      <c r="I348" t="s">
        <v>37</v>
      </c>
      <c r="J348">
        <v>4</v>
      </c>
      <c r="K348">
        <v>18000</v>
      </c>
      <c r="L348">
        <v>72000</v>
      </c>
    </row>
    <row r="349" spans="1:12" x14ac:dyDescent="0.3">
      <c r="A349">
        <v>10348</v>
      </c>
      <c r="B349" s="2">
        <v>45827</v>
      </c>
      <c r="C349" t="s">
        <v>238</v>
      </c>
      <c r="D349" t="s">
        <v>239</v>
      </c>
      <c r="E349" t="s">
        <v>137</v>
      </c>
      <c r="F349" t="s">
        <v>46</v>
      </c>
      <c r="G349" t="s">
        <v>22</v>
      </c>
      <c r="H349" t="s">
        <v>23</v>
      </c>
      <c r="I349" t="s">
        <v>24</v>
      </c>
      <c r="J349">
        <v>2</v>
      </c>
      <c r="K349">
        <v>2400</v>
      </c>
      <c r="L349">
        <v>4800</v>
      </c>
    </row>
    <row r="350" spans="1:12" x14ac:dyDescent="0.3">
      <c r="A350">
        <v>10349</v>
      </c>
      <c r="B350" s="2">
        <v>45753</v>
      </c>
      <c r="C350" t="s">
        <v>67</v>
      </c>
      <c r="D350" t="s">
        <v>68</v>
      </c>
      <c r="E350" t="s">
        <v>69</v>
      </c>
      <c r="F350" t="s">
        <v>28</v>
      </c>
      <c r="G350" t="s">
        <v>121</v>
      </c>
      <c r="H350" t="s">
        <v>122</v>
      </c>
      <c r="I350" t="s">
        <v>49</v>
      </c>
      <c r="J350">
        <v>1</v>
      </c>
      <c r="K350">
        <v>4800</v>
      </c>
      <c r="L350">
        <v>4800</v>
      </c>
    </row>
    <row r="351" spans="1:12" x14ac:dyDescent="0.3">
      <c r="A351">
        <v>10350</v>
      </c>
      <c r="B351" s="2">
        <v>45773</v>
      </c>
      <c r="C351" t="s">
        <v>158</v>
      </c>
      <c r="D351" t="s">
        <v>159</v>
      </c>
      <c r="E351" t="s">
        <v>160</v>
      </c>
      <c r="F351" t="s">
        <v>34</v>
      </c>
      <c r="G351" t="s">
        <v>65</v>
      </c>
      <c r="H351" t="s">
        <v>66</v>
      </c>
      <c r="I351" t="s">
        <v>49</v>
      </c>
      <c r="J351">
        <v>4</v>
      </c>
      <c r="K351">
        <v>2400</v>
      </c>
      <c r="L351">
        <v>9600</v>
      </c>
    </row>
    <row r="352" spans="1:12" x14ac:dyDescent="0.3">
      <c r="A352">
        <v>10351</v>
      </c>
      <c r="B352" s="2">
        <v>45890</v>
      </c>
      <c r="C352" t="s">
        <v>119</v>
      </c>
      <c r="D352" t="s">
        <v>120</v>
      </c>
      <c r="E352" t="s">
        <v>27</v>
      </c>
      <c r="F352" t="s">
        <v>28</v>
      </c>
      <c r="G352" t="s">
        <v>89</v>
      </c>
      <c r="H352" t="s">
        <v>90</v>
      </c>
      <c r="I352" t="s">
        <v>18</v>
      </c>
      <c r="J352">
        <v>1</v>
      </c>
      <c r="K352">
        <v>4200</v>
      </c>
      <c r="L352">
        <v>4200</v>
      </c>
    </row>
    <row r="353" spans="1:12" x14ac:dyDescent="0.3">
      <c r="A353">
        <v>10352</v>
      </c>
      <c r="B353" s="2">
        <v>45806</v>
      </c>
      <c r="C353" t="s">
        <v>38</v>
      </c>
      <c r="D353" t="s">
        <v>39</v>
      </c>
      <c r="E353" t="s">
        <v>40</v>
      </c>
      <c r="F353" t="s">
        <v>15</v>
      </c>
      <c r="G353" t="s">
        <v>98</v>
      </c>
      <c r="H353" t="s">
        <v>99</v>
      </c>
      <c r="I353" t="s">
        <v>24</v>
      </c>
      <c r="J353">
        <v>2</v>
      </c>
      <c r="K353">
        <v>2000</v>
      </c>
      <c r="L353">
        <v>4000</v>
      </c>
    </row>
    <row r="354" spans="1:12" x14ac:dyDescent="0.3">
      <c r="A354">
        <v>10353</v>
      </c>
      <c r="B354" s="2">
        <v>45895</v>
      </c>
      <c r="C354" t="s">
        <v>119</v>
      </c>
      <c r="D354" t="s">
        <v>120</v>
      </c>
      <c r="E354" t="s">
        <v>27</v>
      </c>
      <c r="F354" t="s">
        <v>28</v>
      </c>
      <c r="G354" t="s">
        <v>96</v>
      </c>
      <c r="H354" t="s">
        <v>97</v>
      </c>
      <c r="I354" t="s">
        <v>37</v>
      </c>
      <c r="J354">
        <v>1</v>
      </c>
      <c r="K354">
        <v>18000</v>
      </c>
      <c r="L354">
        <v>18000</v>
      </c>
    </row>
    <row r="355" spans="1:12" x14ac:dyDescent="0.3">
      <c r="A355">
        <v>10354</v>
      </c>
      <c r="B355" s="2">
        <v>45926</v>
      </c>
      <c r="C355" t="s">
        <v>107</v>
      </c>
      <c r="D355" t="s">
        <v>108</v>
      </c>
      <c r="E355" t="s">
        <v>74</v>
      </c>
      <c r="F355" t="s">
        <v>28</v>
      </c>
      <c r="G355" t="s">
        <v>121</v>
      </c>
      <c r="H355" t="s">
        <v>122</v>
      </c>
      <c r="I355" t="s">
        <v>49</v>
      </c>
      <c r="J355">
        <v>1</v>
      </c>
      <c r="K355">
        <v>4800</v>
      </c>
      <c r="L355">
        <v>4800</v>
      </c>
    </row>
    <row r="356" spans="1:12" x14ac:dyDescent="0.3">
      <c r="A356">
        <v>10355</v>
      </c>
      <c r="B356" s="2">
        <v>45719</v>
      </c>
      <c r="C356" t="s">
        <v>222</v>
      </c>
      <c r="D356" t="s">
        <v>223</v>
      </c>
      <c r="E356" t="s">
        <v>21</v>
      </c>
      <c r="F356" t="s">
        <v>15</v>
      </c>
      <c r="G356" t="s">
        <v>109</v>
      </c>
      <c r="H356" t="s">
        <v>110</v>
      </c>
      <c r="I356" t="s">
        <v>18</v>
      </c>
      <c r="J356">
        <v>2</v>
      </c>
      <c r="K356">
        <v>5000</v>
      </c>
      <c r="L356">
        <v>10000</v>
      </c>
    </row>
    <row r="357" spans="1:12" x14ac:dyDescent="0.3">
      <c r="A357">
        <v>10356</v>
      </c>
      <c r="B357" s="2">
        <v>45925</v>
      </c>
      <c r="C357" t="s">
        <v>38</v>
      </c>
      <c r="D357" t="s">
        <v>39</v>
      </c>
      <c r="E357" t="s">
        <v>40</v>
      </c>
      <c r="F357" t="s">
        <v>15</v>
      </c>
      <c r="G357" t="s">
        <v>65</v>
      </c>
      <c r="H357" t="s">
        <v>66</v>
      </c>
      <c r="I357" t="s">
        <v>49</v>
      </c>
      <c r="J357">
        <v>3</v>
      </c>
      <c r="K357">
        <v>2400</v>
      </c>
      <c r="L357">
        <v>7200</v>
      </c>
    </row>
    <row r="358" spans="1:12" x14ac:dyDescent="0.3">
      <c r="A358">
        <v>10357</v>
      </c>
      <c r="B358" s="2">
        <v>45953</v>
      </c>
      <c r="C358" t="s">
        <v>228</v>
      </c>
      <c r="D358" t="s">
        <v>229</v>
      </c>
      <c r="E358" t="s">
        <v>84</v>
      </c>
      <c r="F358" t="s">
        <v>46</v>
      </c>
      <c r="G358" t="s">
        <v>177</v>
      </c>
      <c r="H358" t="s">
        <v>178</v>
      </c>
      <c r="I358" t="s">
        <v>37</v>
      </c>
      <c r="J358">
        <v>3</v>
      </c>
      <c r="K358">
        <v>2500</v>
      </c>
      <c r="L358">
        <v>7500</v>
      </c>
    </row>
    <row r="359" spans="1:12" x14ac:dyDescent="0.3">
      <c r="A359">
        <v>10358</v>
      </c>
      <c r="B359" s="2">
        <v>46002</v>
      </c>
      <c r="C359" t="s">
        <v>19</v>
      </c>
      <c r="D359" t="s">
        <v>20</v>
      </c>
      <c r="E359" t="s">
        <v>21</v>
      </c>
      <c r="F359" t="s">
        <v>15</v>
      </c>
      <c r="G359" t="s">
        <v>96</v>
      </c>
      <c r="H359" t="s">
        <v>97</v>
      </c>
      <c r="I359" t="s">
        <v>37</v>
      </c>
      <c r="J359">
        <v>1</v>
      </c>
      <c r="K359">
        <v>18000</v>
      </c>
      <c r="L359">
        <v>18000</v>
      </c>
    </row>
    <row r="360" spans="1:12" x14ac:dyDescent="0.3">
      <c r="A360">
        <v>10359</v>
      </c>
      <c r="B360" s="2">
        <v>45947</v>
      </c>
      <c r="C360" t="s">
        <v>202</v>
      </c>
      <c r="D360" t="s">
        <v>203</v>
      </c>
      <c r="E360" t="s">
        <v>64</v>
      </c>
      <c r="F360" t="s">
        <v>46</v>
      </c>
      <c r="G360" t="s">
        <v>187</v>
      </c>
      <c r="H360" t="s">
        <v>188</v>
      </c>
      <c r="I360" t="s">
        <v>24</v>
      </c>
      <c r="J360">
        <v>4</v>
      </c>
      <c r="K360">
        <v>5500</v>
      </c>
      <c r="L360">
        <v>22000</v>
      </c>
    </row>
    <row r="361" spans="1:12" x14ac:dyDescent="0.3">
      <c r="A361">
        <v>10360</v>
      </c>
      <c r="B361" s="2">
        <v>45923</v>
      </c>
      <c r="C361" t="s">
        <v>80</v>
      </c>
      <c r="D361" t="s">
        <v>81</v>
      </c>
      <c r="E361" t="s">
        <v>79</v>
      </c>
      <c r="F361" t="s">
        <v>34</v>
      </c>
      <c r="G361" t="s">
        <v>96</v>
      </c>
      <c r="H361" t="s">
        <v>97</v>
      </c>
      <c r="I361" t="s">
        <v>37</v>
      </c>
      <c r="J361">
        <v>2</v>
      </c>
      <c r="K361">
        <v>18000</v>
      </c>
      <c r="L361">
        <v>36000</v>
      </c>
    </row>
    <row r="362" spans="1:12" x14ac:dyDescent="0.3">
      <c r="A362">
        <v>10361</v>
      </c>
      <c r="B362" s="2">
        <v>45939</v>
      </c>
      <c r="C362" t="s">
        <v>54</v>
      </c>
      <c r="D362" t="s">
        <v>55</v>
      </c>
      <c r="E362" t="s">
        <v>33</v>
      </c>
      <c r="F362" t="s">
        <v>34</v>
      </c>
      <c r="G362" t="s">
        <v>113</v>
      </c>
      <c r="H362" t="s">
        <v>114</v>
      </c>
      <c r="I362" t="s">
        <v>37</v>
      </c>
      <c r="J362">
        <v>1</v>
      </c>
      <c r="K362">
        <v>52000</v>
      </c>
      <c r="L362">
        <v>52000</v>
      </c>
    </row>
    <row r="363" spans="1:12" x14ac:dyDescent="0.3">
      <c r="A363">
        <v>10362</v>
      </c>
      <c r="B363" s="2">
        <v>45749</v>
      </c>
      <c r="C363" t="s">
        <v>189</v>
      </c>
      <c r="D363" t="s">
        <v>190</v>
      </c>
      <c r="E363" t="s">
        <v>160</v>
      </c>
      <c r="F363" t="s">
        <v>34</v>
      </c>
      <c r="G363" t="s">
        <v>179</v>
      </c>
      <c r="H363" t="s">
        <v>180</v>
      </c>
      <c r="I363" t="s">
        <v>18</v>
      </c>
      <c r="J363">
        <v>1</v>
      </c>
      <c r="K363">
        <v>6500</v>
      </c>
      <c r="L363">
        <v>6500</v>
      </c>
    </row>
    <row r="364" spans="1:12" x14ac:dyDescent="0.3">
      <c r="A364">
        <v>10363</v>
      </c>
      <c r="B364" s="2">
        <v>45944</v>
      </c>
      <c r="C364" t="s">
        <v>58</v>
      </c>
      <c r="D364" t="s">
        <v>59</v>
      </c>
      <c r="E364" t="s">
        <v>21</v>
      </c>
      <c r="F364" t="s">
        <v>15</v>
      </c>
      <c r="G364" t="s">
        <v>70</v>
      </c>
      <c r="H364" t="s">
        <v>71</v>
      </c>
      <c r="I364" t="s">
        <v>37</v>
      </c>
      <c r="J364">
        <v>2</v>
      </c>
      <c r="K364">
        <v>2200</v>
      </c>
      <c r="L364">
        <v>4400</v>
      </c>
    </row>
    <row r="365" spans="1:12" x14ac:dyDescent="0.3">
      <c r="A365">
        <v>10364</v>
      </c>
      <c r="B365" s="2">
        <v>45686</v>
      </c>
      <c r="C365" t="s">
        <v>222</v>
      </c>
      <c r="D365" t="s">
        <v>223</v>
      </c>
      <c r="E365" t="s">
        <v>21</v>
      </c>
      <c r="F365" t="s">
        <v>15</v>
      </c>
      <c r="G365" t="s">
        <v>144</v>
      </c>
      <c r="H365" t="s">
        <v>145</v>
      </c>
      <c r="I365" t="s">
        <v>37</v>
      </c>
      <c r="J365">
        <v>3</v>
      </c>
      <c r="K365">
        <v>65000</v>
      </c>
      <c r="L365">
        <v>195000</v>
      </c>
    </row>
    <row r="366" spans="1:12" x14ac:dyDescent="0.3">
      <c r="A366">
        <v>10365</v>
      </c>
      <c r="B366" s="2">
        <v>45818</v>
      </c>
      <c r="C366" t="s">
        <v>77</v>
      </c>
      <c r="D366" t="s">
        <v>78</v>
      </c>
      <c r="E366" t="s">
        <v>79</v>
      </c>
      <c r="F366" t="s">
        <v>34</v>
      </c>
      <c r="G366" t="s">
        <v>144</v>
      </c>
      <c r="H366" t="s">
        <v>145</v>
      </c>
      <c r="I366" t="s">
        <v>37</v>
      </c>
      <c r="J366">
        <v>2</v>
      </c>
      <c r="K366">
        <v>65000</v>
      </c>
      <c r="L366">
        <v>130000</v>
      </c>
    </row>
    <row r="367" spans="1:12" x14ac:dyDescent="0.3">
      <c r="A367">
        <v>10366</v>
      </c>
      <c r="B367" s="2">
        <v>45667</v>
      </c>
      <c r="C367" t="s">
        <v>150</v>
      </c>
      <c r="D367" t="s">
        <v>151</v>
      </c>
      <c r="E367" t="s">
        <v>84</v>
      </c>
      <c r="F367" t="s">
        <v>46</v>
      </c>
      <c r="G367" t="s">
        <v>16</v>
      </c>
      <c r="H367" t="s">
        <v>17</v>
      </c>
      <c r="I367" t="s">
        <v>18</v>
      </c>
      <c r="J367">
        <v>2</v>
      </c>
      <c r="K367">
        <v>11000</v>
      </c>
      <c r="L367">
        <v>22000</v>
      </c>
    </row>
    <row r="368" spans="1:12" x14ac:dyDescent="0.3">
      <c r="A368">
        <v>10367</v>
      </c>
      <c r="B368" s="2">
        <v>45759</v>
      </c>
      <c r="C368" t="s">
        <v>12</v>
      </c>
      <c r="D368" t="s">
        <v>13</v>
      </c>
      <c r="E368" t="s">
        <v>14</v>
      </c>
      <c r="F368" t="s">
        <v>15</v>
      </c>
      <c r="G368" t="s">
        <v>163</v>
      </c>
      <c r="H368" t="s">
        <v>164</v>
      </c>
      <c r="I368" t="s">
        <v>49</v>
      </c>
      <c r="J368">
        <v>2</v>
      </c>
      <c r="K368">
        <v>4200</v>
      </c>
      <c r="L368">
        <v>8400</v>
      </c>
    </row>
    <row r="369" spans="1:12" x14ac:dyDescent="0.3">
      <c r="A369">
        <v>10368</v>
      </c>
      <c r="B369" s="2">
        <v>45770</v>
      </c>
      <c r="C369" t="s">
        <v>218</v>
      </c>
      <c r="D369" t="s">
        <v>219</v>
      </c>
      <c r="E369" t="s">
        <v>160</v>
      </c>
      <c r="F369" t="s">
        <v>34</v>
      </c>
      <c r="G369" t="s">
        <v>16</v>
      </c>
      <c r="H369" t="s">
        <v>17</v>
      </c>
      <c r="I369" t="s">
        <v>18</v>
      </c>
      <c r="J369">
        <v>1</v>
      </c>
      <c r="K369">
        <v>11000</v>
      </c>
      <c r="L369">
        <v>11000</v>
      </c>
    </row>
    <row r="370" spans="1:12" x14ac:dyDescent="0.3">
      <c r="A370">
        <v>10369</v>
      </c>
      <c r="B370" s="2">
        <v>45817</v>
      </c>
      <c r="C370" t="s">
        <v>175</v>
      </c>
      <c r="D370" t="s">
        <v>176</v>
      </c>
      <c r="E370" t="s">
        <v>84</v>
      </c>
      <c r="F370" t="s">
        <v>46</v>
      </c>
      <c r="G370" t="s">
        <v>103</v>
      </c>
      <c r="H370" t="s">
        <v>104</v>
      </c>
      <c r="I370" t="s">
        <v>37</v>
      </c>
      <c r="J370">
        <v>2</v>
      </c>
      <c r="K370">
        <v>28000</v>
      </c>
      <c r="L370">
        <v>56000</v>
      </c>
    </row>
    <row r="371" spans="1:12" x14ac:dyDescent="0.3">
      <c r="A371">
        <v>10370</v>
      </c>
      <c r="B371" s="2">
        <v>45928</v>
      </c>
      <c r="C371" t="s">
        <v>91</v>
      </c>
      <c r="D371" t="s">
        <v>92</v>
      </c>
      <c r="E371" t="s">
        <v>40</v>
      </c>
      <c r="F371" t="s">
        <v>15</v>
      </c>
      <c r="G371" t="s">
        <v>89</v>
      </c>
      <c r="H371" t="s">
        <v>90</v>
      </c>
      <c r="I371" t="s">
        <v>18</v>
      </c>
      <c r="J371">
        <v>2</v>
      </c>
      <c r="K371">
        <v>4200</v>
      </c>
      <c r="L371">
        <v>8400</v>
      </c>
    </row>
    <row r="372" spans="1:12" x14ac:dyDescent="0.3">
      <c r="A372">
        <v>10371</v>
      </c>
      <c r="B372" s="2">
        <v>46021</v>
      </c>
      <c r="C372" t="s">
        <v>58</v>
      </c>
      <c r="D372" t="s">
        <v>59</v>
      </c>
      <c r="E372" t="s">
        <v>21</v>
      </c>
      <c r="F372" t="s">
        <v>15</v>
      </c>
      <c r="G372" t="s">
        <v>109</v>
      </c>
      <c r="H372" t="s">
        <v>110</v>
      </c>
      <c r="I372" t="s">
        <v>18</v>
      </c>
      <c r="J372">
        <v>1</v>
      </c>
      <c r="K372">
        <v>5000</v>
      </c>
      <c r="L372">
        <v>5000</v>
      </c>
    </row>
    <row r="373" spans="1:12" x14ac:dyDescent="0.3">
      <c r="A373">
        <v>10372</v>
      </c>
      <c r="B373" s="2">
        <v>45863</v>
      </c>
      <c r="C373" t="s">
        <v>156</v>
      </c>
      <c r="D373" t="s">
        <v>157</v>
      </c>
      <c r="E373" t="s">
        <v>95</v>
      </c>
      <c r="F373" t="s">
        <v>15</v>
      </c>
      <c r="G373" t="s">
        <v>41</v>
      </c>
      <c r="H373" t="s">
        <v>42</v>
      </c>
      <c r="I373" t="s">
        <v>37</v>
      </c>
      <c r="J373">
        <v>1</v>
      </c>
      <c r="K373">
        <v>30000</v>
      </c>
      <c r="L373">
        <v>30000</v>
      </c>
    </row>
    <row r="374" spans="1:12" x14ac:dyDescent="0.3">
      <c r="A374">
        <v>10373</v>
      </c>
      <c r="B374" s="2">
        <v>45672</v>
      </c>
      <c r="C374" t="s">
        <v>156</v>
      </c>
      <c r="D374" t="s">
        <v>157</v>
      </c>
      <c r="E374" t="s">
        <v>95</v>
      </c>
      <c r="F374" t="s">
        <v>15</v>
      </c>
      <c r="G374" t="s">
        <v>144</v>
      </c>
      <c r="H374" t="s">
        <v>145</v>
      </c>
      <c r="I374" t="s">
        <v>37</v>
      </c>
      <c r="J374">
        <v>1</v>
      </c>
      <c r="K374">
        <v>65000</v>
      </c>
      <c r="L374">
        <v>65000</v>
      </c>
    </row>
    <row r="375" spans="1:12" x14ac:dyDescent="0.3">
      <c r="A375">
        <v>10374</v>
      </c>
      <c r="B375" s="2">
        <v>45814</v>
      </c>
      <c r="C375" t="s">
        <v>238</v>
      </c>
      <c r="D375" t="s">
        <v>239</v>
      </c>
      <c r="E375" t="s">
        <v>137</v>
      </c>
      <c r="F375" t="s">
        <v>46</v>
      </c>
      <c r="G375" t="s">
        <v>144</v>
      </c>
      <c r="H375" t="s">
        <v>145</v>
      </c>
      <c r="I375" t="s">
        <v>37</v>
      </c>
      <c r="J375">
        <v>1</v>
      </c>
      <c r="K375">
        <v>65000</v>
      </c>
      <c r="L375">
        <v>65000</v>
      </c>
    </row>
    <row r="376" spans="1:12" x14ac:dyDescent="0.3">
      <c r="A376">
        <v>10375</v>
      </c>
      <c r="B376" s="2">
        <v>45816</v>
      </c>
      <c r="C376" t="s">
        <v>236</v>
      </c>
      <c r="D376" t="s">
        <v>237</v>
      </c>
      <c r="E376" t="s">
        <v>201</v>
      </c>
      <c r="F376" t="s">
        <v>28</v>
      </c>
      <c r="G376" t="s">
        <v>98</v>
      </c>
      <c r="H376" t="s">
        <v>99</v>
      </c>
      <c r="I376" t="s">
        <v>24</v>
      </c>
      <c r="J376">
        <v>1</v>
      </c>
      <c r="K376">
        <v>2000</v>
      </c>
      <c r="L376">
        <v>2000</v>
      </c>
    </row>
    <row r="377" spans="1:12" x14ac:dyDescent="0.3">
      <c r="A377">
        <v>10376</v>
      </c>
      <c r="B377" s="2">
        <v>45702</v>
      </c>
      <c r="C377" t="s">
        <v>236</v>
      </c>
      <c r="D377" t="s">
        <v>237</v>
      </c>
      <c r="E377" t="s">
        <v>201</v>
      </c>
      <c r="F377" t="s">
        <v>28</v>
      </c>
      <c r="G377" t="s">
        <v>109</v>
      </c>
      <c r="H377" t="s">
        <v>110</v>
      </c>
      <c r="I377" t="s">
        <v>18</v>
      </c>
      <c r="J377">
        <v>3</v>
      </c>
      <c r="K377">
        <v>5000</v>
      </c>
      <c r="L377">
        <v>15000</v>
      </c>
    </row>
    <row r="378" spans="1:12" x14ac:dyDescent="0.3">
      <c r="A378">
        <v>10377</v>
      </c>
      <c r="B378" s="2">
        <v>45837</v>
      </c>
      <c r="C378" t="s">
        <v>91</v>
      </c>
      <c r="D378" t="s">
        <v>92</v>
      </c>
      <c r="E378" t="s">
        <v>40</v>
      </c>
      <c r="F378" t="s">
        <v>15</v>
      </c>
      <c r="G378" t="s">
        <v>177</v>
      </c>
      <c r="H378" t="s">
        <v>178</v>
      </c>
      <c r="I378" t="s">
        <v>37</v>
      </c>
      <c r="J378">
        <v>1</v>
      </c>
      <c r="K378">
        <v>2500</v>
      </c>
      <c r="L378">
        <v>2500</v>
      </c>
    </row>
    <row r="379" spans="1:12" x14ac:dyDescent="0.3">
      <c r="A379">
        <v>10378</v>
      </c>
      <c r="B379" s="2">
        <v>45699</v>
      </c>
      <c r="C379" t="s">
        <v>31</v>
      </c>
      <c r="D379" t="s">
        <v>32</v>
      </c>
      <c r="E379" t="s">
        <v>33</v>
      </c>
      <c r="F379" t="s">
        <v>34</v>
      </c>
      <c r="G379" t="s">
        <v>187</v>
      </c>
      <c r="H379" t="s">
        <v>188</v>
      </c>
      <c r="I379" t="s">
        <v>24</v>
      </c>
      <c r="J379">
        <v>3</v>
      </c>
      <c r="K379">
        <v>5500</v>
      </c>
      <c r="L379">
        <v>16500</v>
      </c>
    </row>
    <row r="380" spans="1:12" x14ac:dyDescent="0.3">
      <c r="A380">
        <v>10379</v>
      </c>
      <c r="B380" s="2">
        <v>45919</v>
      </c>
      <c r="C380" t="s">
        <v>133</v>
      </c>
      <c r="D380" t="s">
        <v>134</v>
      </c>
      <c r="E380" t="s">
        <v>33</v>
      </c>
      <c r="F380" t="s">
        <v>34</v>
      </c>
      <c r="G380" t="s">
        <v>109</v>
      </c>
      <c r="H380" t="s">
        <v>110</v>
      </c>
      <c r="I380" t="s">
        <v>18</v>
      </c>
      <c r="J380">
        <v>2</v>
      </c>
      <c r="K380">
        <v>5000</v>
      </c>
      <c r="L380">
        <v>10000</v>
      </c>
    </row>
    <row r="381" spans="1:12" x14ac:dyDescent="0.3">
      <c r="A381">
        <v>10380</v>
      </c>
      <c r="B381" s="2">
        <v>45888</v>
      </c>
      <c r="C381" t="s">
        <v>220</v>
      </c>
      <c r="D381" t="s">
        <v>221</v>
      </c>
      <c r="E381" t="s">
        <v>102</v>
      </c>
      <c r="F381" t="s">
        <v>34</v>
      </c>
      <c r="G381" t="s">
        <v>163</v>
      </c>
      <c r="H381" t="s">
        <v>164</v>
      </c>
      <c r="I381" t="s">
        <v>49</v>
      </c>
      <c r="J381">
        <v>1</v>
      </c>
      <c r="K381">
        <v>4200</v>
      </c>
      <c r="L381">
        <v>4200</v>
      </c>
    </row>
    <row r="382" spans="1:12" x14ac:dyDescent="0.3">
      <c r="A382">
        <v>10381</v>
      </c>
      <c r="B382" s="2">
        <v>45967</v>
      </c>
      <c r="C382" t="s">
        <v>234</v>
      </c>
      <c r="D382" t="s">
        <v>235</v>
      </c>
      <c r="E382" t="s">
        <v>137</v>
      </c>
      <c r="F382" t="s">
        <v>46</v>
      </c>
      <c r="G382" t="s">
        <v>163</v>
      </c>
      <c r="H382" t="s">
        <v>164</v>
      </c>
      <c r="I382" t="s">
        <v>49</v>
      </c>
      <c r="J382">
        <v>2</v>
      </c>
      <c r="K382">
        <v>4200</v>
      </c>
      <c r="L382">
        <v>8400</v>
      </c>
    </row>
    <row r="383" spans="1:12" x14ac:dyDescent="0.3">
      <c r="A383">
        <v>10382</v>
      </c>
      <c r="B383" s="2">
        <v>45762</v>
      </c>
      <c r="C383" t="s">
        <v>31</v>
      </c>
      <c r="D383" t="s">
        <v>32</v>
      </c>
      <c r="E383" t="s">
        <v>33</v>
      </c>
      <c r="F383" t="s">
        <v>34</v>
      </c>
      <c r="G383" t="s">
        <v>152</v>
      </c>
      <c r="H383" t="s">
        <v>153</v>
      </c>
      <c r="I383" t="s">
        <v>49</v>
      </c>
      <c r="J383">
        <v>2</v>
      </c>
      <c r="K383">
        <v>3200</v>
      </c>
      <c r="L383">
        <v>6400</v>
      </c>
    </row>
    <row r="384" spans="1:12" x14ac:dyDescent="0.3">
      <c r="A384">
        <v>10383</v>
      </c>
      <c r="B384" s="2">
        <v>45755</v>
      </c>
      <c r="C384" t="s">
        <v>91</v>
      </c>
      <c r="D384" t="s">
        <v>92</v>
      </c>
      <c r="E384" t="s">
        <v>40</v>
      </c>
      <c r="F384" t="s">
        <v>15</v>
      </c>
      <c r="G384" t="s">
        <v>121</v>
      </c>
      <c r="H384" t="s">
        <v>122</v>
      </c>
      <c r="I384" t="s">
        <v>49</v>
      </c>
      <c r="J384">
        <v>1</v>
      </c>
      <c r="K384">
        <v>4800</v>
      </c>
      <c r="L384">
        <v>4800</v>
      </c>
    </row>
    <row r="385" spans="1:12" x14ac:dyDescent="0.3">
      <c r="A385">
        <v>10384</v>
      </c>
      <c r="B385" s="2">
        <v>45907</v>
      </c>
      <c r="C385" t="s">
        <v>171</v>
      </c>
      <c r="D385" t="s">
        <v>172</v>
      </c>
      <c r="E385" t="s">
        <v>45</v>
      </c>
      <c r="F385" t="s">
        <v>46</v>
      </c>
      <c r="G385" t="s">
        <v>41</v>
      </c>
      <c r="H385" t="s">
        <v>42</v>
      </c>
      <c r="I385" t="s">
        <v>37</v>
      </c>
      <c r="J385">
        <v>2</v>
      </c>
      <c r="K385">
        <v>30000</v>
      </c>
      <c r="L385">
        <v>60000</v>
      </c>
    </row>
    <row r="386" spans="1:12" x14ac:dyDescent="0.3">
      <c r="A386">
        <v>10385</v>
      </c>
      <c r="B386" s="2">
        <v>45846</v>
      </c>
      <c r="C386" t="s">
        <v>58</v>
      </c>
      <c r="D386" t="s">
        <v>59</v>
      </c>
      <c r="E386" t="s">
        <v>21</v>
      </c>
      <c r="F386" t="s">
        <v>15</v>
      </c>
      <c r="G386" t="s">
        <v>109</v>
      </c>
      <c r="H386" t="s">
        <v>110</v>
      </c>
      <c r="I386" t="s">
        <v>18</v>
      </c>
      <c r="J386">
        <v>2</v>
      </c>
      <c r="K386">
        <v>5000</v>
      </c>
      <c r="L386">
        <v>10000</v>
      </c>
    </row>
    <row r="387" spans="1:12" x14ac:dyDescent="0.3">
      <c r="A387">
        <v>10386</v>
      </c>
      <c r="B387" s="2">
        <v>45962</v>
      </c>
      <c r="C387" t="s">
        <v>12</v>
      </c>
      <c r="D387" t="s">
        <v>13</v>
      </c>
      <c r="E387" t="s">
        <v>14</v>
      </c>
      <c r="F387" t="s">
        <v>15</v>
      </c>
      <c r="G387" t="s">
        <v>75</v>
      </c>
      <c r="H387" t="s">
        <v>76</v>
      </c>
      <c r="I387" t="s">
        <v>49</v>
      </c>
      <c r="J387">
        <v>2</v>
      </c>
      <c r="K387">
        <v>3000</v>
      </c>
      <c r="L387">
        <v>6000</v>
      </c>
    </row>
    <row r="388" spans="1:12" x14ac:dyDescent="0.3">
      <c r="A388">
        <v>10387</v>
      </c>
      <c r="B388" s="2">
        <v>45669</v>
      </c>
      <c r="C388" t="s">
        <v>105</v>
      </c>
      <c r="D388" t="s">
        <v>106</v>
      </c>
      <c r="E388" t="s">
        <v>45</v>
      </c>
      <c r="F388" t="s">
        <v>46</v>
      </c>
      <c r="G388" t="s">
        <v>52</v>
      </c>
      <c r="H388" t="s">
        <v>53</v>
      </c>
      <c r="I388" t="s">
        <v>24</v>
      </c>
      <c r="J388">
        <v>2</v>
      </c>
      <c r="K388">
        <v>3500</v>
      </c>
      <c r="L388">
        <v>7000</v>
      </c>
    </row>
    <row r="389" spans="1:12" x14ac:dyDescent="0.3">
      <c r="A389">
        <v>10388</v>
      </c>
      <c r="B389" s="2">
        <v>45791</v>
      </c>
      <c r="C389" t="s">
        <v>87</v>
      </c>
      <c r="D389" t="s">
        <v>88</v>
      </c>
      <c r="E389" t="s">
        <v>64</v>
      </c>
      <c r="F389" t="s">
        <v>46</v>
      </c>
      <c r="G389" t="s">
        <v>177</v>
      </c>
      <c r="H389" t="s">
        <v>178</v>
      </c>
      <c r="I389" t="s">
        <v>37</v>
      </c>
      <c r="J389">
        <v>2</v>
      </c>
      <c r="K389">
        <v>2500</v>
      </c>
      <c r="L389">
        <v>5000</v>
      </c>
    </row>
    <row r="390" spans="1:12" x14ac:dyDescent="0.3">
      <c r="A390">
        <v>10389</v>
      </c>
      <c r="B390" s="2">
        <v>45775</v>
      </c>
      <c r="C390" t="s">
        <v>181</v>
      </c>
      <c r="D390" t="s">
        <v>182</v>
      </c>
      <c r="E390" t="s">
        <v>21</v>
      </c>
      <c r="F390" t="s">
        <v>15</v>
      </c>
      <c r="G390" t="s">
        <v>109</v>
      </c>
      <c r="H390" t="s">
        <v>110</v>
      </c>
      <c r="I390" t="s">
        <v>18</v>
      </c>
      <c r="J390">
        <v>3</v>
      </c>
      <c r="K390">
        <v>5000</v>
      </c>
      <c r="L390">
        <v>15000</v>
      </c>
    </row>
    <row r="391" spans="1:12" x14ac:dyDescent="0.3">
      <c r="A391">
        <v>10390</v>
      </c>
      <c r="B391" s="2">
        <v>45923</v>
      </c>
      <c r="C391" t="s">
        <v>58</v>
      </c>
      <c r="D391" t="s">
        <v>59</v>
      </c>
      <c r="E391" t="s">
        <v>21</v>
      </c>
      <c r="F391" t="s">
        <v>15</v>
      </c>
      <c r="G391" t="s">
        <v>16</v>
      </c>
      <c r="H391" t="s">
        <v>17</v>
      </c>
      <c r="I391" t="s">
        <v>18</v>
      </c>
      <c r="J391">
        <v>1</v>
      </c>
      <c r="K391">
        <v>11000</v>
      </c>
      <c r="L391">
        <v>11000</v>
      </c>
    </row>
    <row r="392" spans="1:12" x14ac:dyDescent="0.3">
      <c r="A392">
        <v>10391</v>
      </c>
      <c r="B392" s="2">
        <v>45895</v>
      </c>
      <c r="C392" t="s">
        <v>105</v>
      </c>
      <c r="D392" t="s">
        <v>106</v>
      </c>
      <c r="E392" t="s">
        <v>45</v>
      </c>
      <c r="F392" t="s">
        <v>46</v>
      </c>
      <c r="G392" t="s">
        <v>131</v>
      </c>
      <c r="H392" t="s">
        <v>132</v>
      </c>
      <c r="I392" t="s">
        <v>37</v>
      </c>
      <c r="J392">
        <v>1</v>
      </c>
      <c r="K392">
        <v>4500</v>
      </c>
      <c r="L392">
        <v>4500</v>
      </c>
    </row>
    <row r="393" spans="1:12" x14ac:dyDescent="0.3">
      <c r="A393">
        <v>10392</v>
      </c>
      <c r="B393" s="2">
        <v>45794</v>
      </c>
      <c r="C393" t="s">
        <v>142</v>
      </c>
      <c r="D393" t="s">
        <v>143</v>
      </c>
      <c r="E393" t="s">
        <v>14</v>
      </c>
      <c r="F393" t="s">
        <v>15</v>
      </c>
      <c r="G393" t="s">
        <v>41</v>
      </c>
      <c r="H393" t="s">
        <v>42</v>
      </c>
      <c r="I393" t="s">
        <v>37</v>
      </c>
      <c r="J393">
        <v>1</v>
      </c>
      <c r="K393">
        <v>30000</v>
      </c>
      <c r="L393">
        <v>30000</v>
      </c>
    </row>
    <row r="394" spans="1:12" x14ac:dyDescent="0.3">
      <c r="A394">
        <v>10393</v>
      </c>
      <c r="B394" s="2">
        <v>46006</v>
      </c>
      <c r="C394" t="s">
        <v>105</v>
      </c>
      <c r="D394" t="s">
        <v>106</v>
      </c>
      <c r="E394" t="s">
        <v>45</v>
      </c>
      <c r="F394" t="s">
        <v>46</v>
      </c>
      <c r="G394" t="s">
        <v>22</v>
      </c>
      <c r="H394" t="s">
        <v>23</v>
      </c>
      <c r="I394" t="s">
        <v>24</v>
      </c>
      <c r="J394">
        <v>2</v>
      </c>
      <c r="K394">
        <v>2400</v>
      </c>
      <c r="L394">
        <v>4800</v>
      </c>
    </row>
    <row r="395" spans="1:12" x14ac:dyDescent="0.3">
      <c r="A395">
        <v>10394</v>
      </c>
      <c r="B395" s="2">
        <v>45866</v>
      </c>
      <c r="C395" t="s">
        <v>206</v>
      </c>
      <c r="D395" t="s">
        <v>207</v>
      </c>
      <c r="E395" t="s">
        <v>160</v>
      </c>
      <c r="F395" t="s">
        <v>34</v>
      </c>
      <c r="G395" t="s">
        <v>35</v>
      </c>
      <c r="H395" t="s">
        <v>36</v>
      </c>
      <c r="I395" t="s">
        <v>37</v>
      </c>
      <c r="J395">
        <v>1</v>
      </c>
      <c r="K395">
        <v>12000</v>
      </c>
      <c r="L395">
        <v>12000</v>
      </c>
    </row>
    <row r="396" spans="1:12" x14ac:dyDescent="0.3">
      <c r="A396">
        <v>10395</v>
      </c>
      <c r="B396" s="2">
        <v>45951</v>
      </c>
      <c r="C396" t="s">
        <v>133</v>
      </c>
      <c r="D396" t="s">
        <v>134</v>
      </c>
      <c r="E396" t="s">
        <v>33</v>
      </c>
      <c r="F396" t="s">
        <v>34</v>
      </c>
      <c r="G396" t="s">
        <v>75</v>
      </c>
      <c r="H396" t="s">
        <v>76</v>
      </c>
      <c r="I396" t="s">
        <v>49</v>
      </c>
      <c r="J396">
        <v>1</v>
      </c>
      <c r="K396">
        <v>3000</v>
      </c>
      <c r="L396">
        <v>3000</v>
      </c>
    </row>
    <row r="397" spans="1:12" x14ac:dyDescent="0.3">
      <c r="A397">
        <v>10396</v>
      </c>
      <c r="B397" s="2">
        <v>45747</v>
      </c>
      <c r="C397" t="s">
        <v>82</v>
      </c>
      <c r="D397" t="s">
        <v>83</v>
      </c>
      <c r="E397" t="s">
        <v>84</v>
      </c>
      <c r="F397" t="s">
        <v>46</v>
      </c>
      <c r="G397" t="s">
        <v>140</v>
      </c>
      <c r="H397" t="s">
        <v>141</v>
      </c>
      <c r="I397" t="s">
        <v>18</v>
      </c>
      <c r="J397">
        <v>1</v>
      </c>
      <c r="K397">
        <v>3000</v>
      </c>
      <c r="L397">
        <v>3000</v>
      </c>
    </row>
    <row r="398" spans="1:12" x14ac:dyDescent="0.3">
      <c r="A398">
        <v>10397</v>
      </c>
      <c r="B398" s="2">
        <v>45726</v>
      </c>
      <c r="C398" t="s">
        <v>197</v>
      </c>
      <c r="D398" t="s">
        <v>198</v>
      </c>
      <c r="E398" t="s">
        <v>95</v>
      </c>
      <c r="F398" t="s">
        <v>15</v>
      </c>
      <c r="G398" t="s">
        <v>65</v>
      </c>
      <c r="H398" t="s">
        <v>66</v>
      </c>
      <c r="I398" t="s">
        <v>49</v>
      </c>
      <c r="J398">
        <v>2</v>
      </c>
      <c r="K398">
        <v>2400</v>
      </c>
      <c r="L398">
        <v>4800</v>
      </c>
    </row>
    <row r="399" spans="1:12" x14ac:dyDescent="0.3">
      <c r="A399">
        <v>10398</v>
      </c>
      <c r="B399" s="2">
        <v>45671</v>
      </c>
      <c r="C399" t="s">
        <v>181</v>
      </c>
      <c r="D399" t="s">
        <v>182</v>
      </c>
      <c r="E399" t="s">
        <v>21</v>
      </c>
      <c r="F399" t="s">
        <v>15</v>
      </c>
      <c r="G399" t="s">
        <v>152</v>
      </c>
      <c r="H399" t="s">
        <v>153</v>
      </c>
      <c r="I399" t="s">
        <v>49</v>
      </c>
      <c r="J399">
        <v>2</v>
      </c>
      <c r="K399">
        <v>3200</v>
      </c>
      <c r="L399">
        <v>6400</v>
      </c>
    </row>
    <row r="400" spans="1:12" x14ac:dyDescent="0.3">
      <c r="A400">
        <v>10399</v>
      </c>
      <c r="B400" s="2">
        <v>45772</v>
      </c>
      <c r="C400" t="s">
        <v>195</v>
      </c>
      <c r="D400" t="s">
        <v>196</v>
      </c>
      <c r="E400" t="s">
        <v>102</v>
      </c>
      <c r="F400" t="s">
        <v>34</v>
      </c>
      <c r="G400" t="s">
        <v>125</v>
      </c>
      <c r="H400" t="s">
        <v>126</v>
      </c>
      <c r="I400" t="s">
        <v>37</v>
      </c>
      <c r="J400">
        <v>4</v>
      </c>
      <c r="K400">
        <v>22000</v>
      </c>
      <c r="L400">
        <v>88000</v>
      </c>
    </row>
    <row r="401" spans="1:12" x14ac:dyDescent="0.3">
      <c r="A401">
        <v>10400</v>
      </c>
      <c r="B401" s="2">
        <v>46007</v>
      </c>
      <c r="C401" t="s">
        <v>43</v>
      </c>
      <c r="D401" t="s">
        <v>44</v>
      </c>
      <c r="E401" t="s">
        <v>45</v>
      </c>
      <c r="F401" t="s">
        <v>46</v>
      </c>
      <c r="G401" t="s">
        <v>144</v>
      </c>
      <c r="H401" t="s">
        <v>145</v>
      </c>
      <c r="I401" t="s">
        <v>37</v>
      </c>
      <c r="J401">
        <v>2</v>
      </c>
      <c r="K401">
        <v>65000</v>
      </c>
      <c r="L401">
        <v>130000</v>
      </c>
    </row>
    <row r="402" spans="1:12" x14ac:dyDescent="0.3">
      <c r="A402">
        <v>10401</v>
      </c>
      <c r="B402" s="2">
        <v>45853</v>
      </c>
      <c r="C402" t="s">
        <v>123</v>
      </c>
      <c r="D402" t="s">
        <v>124</v>
      </c>
      <c r="E402" t="s">
        <v>69</v>
      </c>
      <c r="F402" t="s">
        <v>28</v>
      </c>
      <c r="G402" t="s">
        <v>70</v>
      </c>
      <c r="H402" t="s">
        <v>71</v>
      </c>
      <c r="I402" t="s">
        <v>37</v>
      </c>
      <c r="J402">
        <v>1</v>
      </c>
      <c r="K402">
        <v>2200</v>
      </c>
      <c r="L402">
        <v>2200</v>
      </c>
    </row>
    <row r="403" spans="1:12" x14ac:dyDescent="0.3">
      <c r="A403">
        <v>10402</v>
      </c>
      <c r="B403" s="2">
        <v>45924</v>
      </c>
      <c r="C403" t="s">
        <v>54</v>
      </c>
      <c r="D403" t="s">
        <v>55</v>
      </c>
      <c r="E403" t="s">
        <v>33</v>
      </c>
      <c r="F403" t="s">
        <v>34</v>
      </c>
      <c r="G403" t="s">
        <v>41</v>
      </c>
      <c r="H403" t="s">
        <v>42</v>
      </c>
      <c r="I403" t="s">
        <v>37</v>
      </c>
      <c r="J403">
        <v>2</v>
      </c>
      <c r="K403">
        <v>30000</v>
      </c>
      <c r="L403">
        <v>60000</v>
      </c>
    </row>
    <row r="404" spans="1:12" x14ac:dyDescent="0.3">
      <c r="A404">
        <v>10403</v>
      </c>
      <c r="B404" s="2">
        <v>45720</v>
      </c>
      <c r="C404" t="s">
        <v>226</v>
      </c>
      <c r="D404" t="s">
        <v>227</v>
      </c>
      <c r="E404" t="s">
        <v>79</v>
      </c>
      <c r="F404" t="s">
        <v>34</v>
      </c>
      <c r="G404" t="s">
        <v>144</v>
      </c>
      <c r="H404" t="s">
        <v>145</v>
      </c>
      <c r="I404" t="s">
        <v>37</v>
      </c>
      <c r="J404">
        <v>1</v>
      </c>
      <c r="K404">
        <v>65000</v>
      </c>
      <c r="L404">
        <v>65000</v>
      </c>
    </row>
    <row r="405" spans="1:12" x14ac:dyDescent="0.3">
      <c r="A405">
        <v>10404</v>
      </c>
      <c r="B405" s="2">
        <v>45711</v>
      </c>
      <c r="C405" t="s">
        <v>87</v>
      </c>
      <c r="D405" t="s">
        <v>88</v>
      </c>
      <c r="E405" t="s">
        <v>64</v>
      </c>
      <c r="F405" t="s">
        <v>46</v>
      </c>
      <c r="G405" t="s">
        <v>60</v>
      </c>
      <c r="H405" t="s">
        <v>61</v>
      </c>
      <c r="I405" t="s">
        <v>18</v>
      </c>
      <c r="J405">
        <v>1</v>
      </c>
      <c r="K405">
        <v>2200</v>
      </c>
      <c r="L405">
        <v>2200</v>
      </c>
    </row>
    <row r="406" spans="1:12" x14ac:dyDescent="0.3">
      <c r="A406">
        <v>10405</v>
      </c>
      <c r="B406" s="2">
        <v>45749</v>
      </c>
      <c r="C406" t="s">
        <v>148</v>
      </c>
      <c r="D406" t="s">
        <v>149</v>
      </c>
      <c r="E406" t="s">
        <v>14</v>
      </c>
      <c r="F406" t="s">
        <v>15</v>
      </c>
      <c r="G406" t="s">
        <v>125</v>
      </c>
      <c r="H406" t="s">
        <v>126</v>
      </c>
      <c r="I406" t="s">
        <v>37</v>
      </c>
      <c r="J406">
        <v>1</v>
      </c>
      <c r="K406">
        <v>22000</v>
      </c>
      <c r="L406">
        <v>22000</v>
      </c>
    </row>
    <row r="407" spans="1:12" x14ac:dyDescent="0.3">
      <c r="A407">
        <v>10406</v>
      </c>
      <c r="B407" s="2">
        <v>45757</v>
      </c>
      <c r="C407" t="s">
        <v>100</v>
      </c>
      <c r="D407" t="s">
        <v>101</v>
      </c>
      <c r="E407" t="s">
        <v>102</v>
      </c>
      <c r="F407" t="s">
        <v>34</v>
      </c>
      <c r="G407" t="s">
        <v>121</v>
      </c>
      <c r="H407" t="s">
        <v>122</v>
      </c>
      <c r="I407" t="s">
        <v>49</v>
      </c>
      <c r="J407">
        <v>5</v>
      </c>
      <c r="K407">
        <v>4800</v>
      </c>
      <c r="L407">
        <v>24000</v>
      </c>
    </row>
    <row r="408" spans="1:12" x14ac:dyDescent="0.3">
      <c r="A408">
        <v>10407</v>
      </c>
      <c r="B408" s="2">
        <v>45729</v>
      </c>
      <c r="C408" t="s">
        <v>87</v>
      </c>
      <c r="D408" t="s">
        <v>88</v>
      </c>
      <c r="E408" t="s">
        <v>64</v>
      </c>
      <c r="F408" t="s">
        <v>46</v>
      </c>
      <c r="G408" t="s">
        <v>129</v>
      </c>
      <c r="H408" t="s">
        <v>130</v>
      </c>
      <c r="I408" t="s">
        <v>24</v>
      </c>
      <c r="J408">
        <v>3</v>
      </c>
      <c r="K408">
        <v>1400</v>
      </c>
      <c r="L408">
        <v>4200</v>
      </c>
    </row>
    <row r="409" spans="1:12" x14ac:dyDescent="0.3">
      <c r="A409">
        <v>10408</v>
      </c>
      <c r="B409" s="2">
        <v>45919</v>
      </c>
      <c r="C409" t="s">
        <v>72</v>
      </c>
      <c r="D409" t="s">
        <v>73</v>
      </c>
      <c r="E409" t="s">
        <v>74</v>
      </c>
      <c r="F409" t="s">
        <v>28</v>
      </c>
      <c r="G409" t="s">
        <v>144</v>
      </c>
      <c r="H409" t="s">
        <v>145</v>
      </c>
      <c r="I409" t="s">
        <v>37</v>
      </c>
      <c r="J409">
        <v>1</v>
      </c>
      <c r="K409">
        <v>65000</v>
      </c>
      <c r="L409">
        <v>65000</v>
      </c>
    </row>
    <row r="410" spans="1:12" x14ac:dyDescent="0.3">
      <c r="A410">
        <v>10409</v>
      </c>
      <c r="B410" s="2">
        <v>45979</v>
      </c>
      <c r="C410" t="s">
        <v>43</v>
      </c>
      <c r="D410" t="s">
        <v>44</v>
      </c>
      <c r="E410" t="s">
        <v>45</v>
      </c>
      <c r="F410" t="s">
        <v>46</v>
      </c>
      <c r="G410" t="s">
        <v>29</v>
      </c>
      <c r="H410" t="s">
        <v>30</v>
      </c>
      <c r="I410" t="s">
        <v>18</v>
      </c>
      <c r="J410">
        <v>1</v>
      </c>
      <c r="K410">
        <v>15000</v>
      </c>
      <c r="L410">
        <v>15000</v>
      </c>
    </row>
    <row r="411" spans="1:12" x14ac:dyDescent="0.3">
      <c r="A411">
        <v>10410</v>
      </c>
      <c r="B411" s="2">
        <v>45834</v>
      </c>
      <c r="C411" t="s">
        <v>58</v>
      </c>
      <c r="D411" t="s">
        <v>59</v>
      </c>
      <c r="E411" t="s">
        <v>21</v>
      </c>
      <c r="F411" t="s">
        <v>15</v>
      </c>
      <c r="G411" t="s">
        <v>56</v>
      </c>
      <c r="H411" t="s">
        <v>57</v>
      </c>
      <c r="I411" t="s">
        <v>18</v>
      </c>
      <c r="J411">
        <v>1</v>
      </c>
      <c r="K411">
        <v>9000</v>
      </c>
      <c r="L411">
        <v>9000</v>
      </c>
    </row>
    <row r="412" spans="1:12" x14ac:dyDescent="0.3">
      <c r="A412">
        <v>10411</v>
      </c>
      <c r="B412" s="2">
        <v>45723</v>
      </c>
      <c r="C412" t="s">
        <v>175</v>
      </c>
      <c r="D412" t="s">
        <v>176</v>
      </c>
      <c r="E412" t="s">
        <v>84</v>
      </c>
      <c r="F412" t="s">
        <v>46</v>
      </c>
      <c r="G412" t="s">
        <v>144</v>
      </c>
      <c r="H412" t="s">
        <v>145</v>
      </c>
      <c r="I412" t="s">
        <v>37</v>
      </c>
      <c r="J412">
        <v>1</v>
      </c>
      <c r="K412">
        <v>65000</v>
      </c>
      <c r="L412">
        <v>65000</v>
      </c>
    </row>
    <row r="413" spans="1:12" x14ac:dyDescent="0.3">
      <c r="A413">
        <v>10412</v>
      </c>
      <c r="B413" s="2">
        <v>45954</v>
      </c>
      <c r="C413" t="s">
        <v>72</v>
      </c>
      <c r="D413" t="s">
        <v>73</v>
      </c>
      <c r="E413" t="s">
        <v>74</v>
      </c>
      <c r="F413" t="s">
        <v>28</v>
      </c>
      <c r="G413" t="s">
        <v>121</v>
      </c>
      <c r="H413" t="s">
        <v>122</v>
      </c>
      <c r="I413" t="s">
        <v>49</v>
      </c>
      <c r="J413">
        <v>1</v>
      </c>
      <c r="K413">
        <v>4800</v>
      </c>
      <c r="L413">
        <v>4800</v>
      </c>
    </row>
    <row r="414" spans="1:12" x14ac:dyDescent="0.3">
      <c r="A414">
        <v>10413</v>
      </c>
      <c r="B414" s="2">
        <v>45771</v>
      </c>
      <c r="C414" t="s">
        <v>105</v>
      </c>
      <c r="D414" t="s">
        <v>106</v>
      </c>
      <c r="E414" t="s">
        <v>45</v>
      </c>
      <c r="F414" t="s">
        <v>46</v>
      </c>
      <c r="G414" t="s">
        <v>103</v>
      </c>
      <c r="H414" t="s">
        <v>104</v>
      </c>
      <c r="I414" t="s">
        <v>37</v>
      </c>
      <c r="J414">
        <v>1</v>
      </c>
      <c r="K414">
        <v>28000</v>
      </c>
      <c r="L414">
        <v>28000</v>
      </c>
    </row>
    <row r="415" spans="1:12" x14ac:dyDescent="0.3">
      <c r="A415">
        <v>10414</v>
      </c>
      <c r="B415" s="2">
        <v>45821</v>
      </c>
      <c r="C415" t="s">
        <v>93</v>
      </c>
      <c r="D415" t="s">
        <v>94</v>
      </c>
      <c r="E415" t="s">
        <v>95</v>
      </c>
      <c r="F415" t="s">
        <v>15</v>
      </c>
      <c r="G415" t="s">
        <v>179</v>
      </c>
      <c r="H415" t="s">
        <v>180</v>
      </c>
      <c r="I415" t="s">
        <v>18</v>
      </c>
      <c r="J415">
        <v>3</v>
      </c>
      <c r="K415">
        <v>6500</v>
      </c>
      <c r="L415">
        <v>19500</v>
      </c>
    </row>
    <row r="416" spans="1:12" x14ac:dyDescent="0.3">
      <c r="A416">
        <v>10415</v>
      </c>
      <c r="B416" s="2">
        <v>45843</v>
      </c>
      <c r="C416" t="s">
        <v>146</v>
      </c>
      <c r="D416" t="s">
        <v>147</v>
      </c>
      <c r="E416" t="s">
        <v>64</v>
      </c>
      <c r="F416" t="s">
        <v>46</v>
      </c>
      <c r="G416" t="s">
        <v>103</v>
      </c>
      <c r="H416" t="s">
        <v>104</v>
      </c>
      <c r="I416" t="s">
        <v>37</v>
      </c>
      <c r="J416">
        <v>1</v>
      </c>
      <c r="K416">
        <v>28000</v>
      </c>
      <c r="L416">
        <v>28000</v>
      </c>
    </row>
    <row r="417" spans="1:12" x14ac:dyDescent="0.3">
      <c r="A417">
        <v>10416</v>
      </c>
      <c r="B417" s="2">
        <v>45685</v>
      </c>
      <c r="C417" t="s">
        <v>197</v>
      </c>
      <c r="D417" t="s">
        <v>198</v>
      </c>
      <c r="E417" t="s">
        <v>95</v>
      </c>
      <c r="F417" t="s">
        <v>15</v>
      </c>
      <c r="G417" t="s">
        <v>52</v>
      </c>
      <c r="H417" t="s">
        <v>53</v>
      </c>
      <c r="I417" t="s">
        <v>24</v>
      </c>
      <c r="J417">
        <v>1</v>
      </c>
      <c r="K417">
        <v>3500</v>
      </c>
      <c r="L417">
        <v>3500</v>
      </c>
    </row>
    <row r="418" spans="1:12" x14ac:dyDescent="0.3">
      <c r="A418">
        <v>10417</v>
      </c>
      <c r="B418" s="2">
        <v>45694</v>
      </c>
      <c r="C418" t="s">
        <v>62</v>
      </c>
      <c r="D418" t="s">
        <v>63</v>
      </c>
      <c r="E418" t="s">
        <v>64</v>
      </c>
      <c r="F418" t="s">
        <v>46</v>
      </c>
      <c r="G418" t="s">
        <v>65</v>
      </c>
      <c r="H418" t="s">
        <v>66</v>
      </c>
      <c r="I418" t="s">
        <v>49</v>
      </c>
      <c r="J418">
        <v>2</v>
      </c>
      <c r="K418">
        <v>2400</v>
      </c>
      <c r="L418">
        <v>4800</v>
      </c>
    </row>
    <row r="419" spans="1:12" x14ac:dyDescent="0.3">
      <c r="A419">
        <v>10418</v>
      </c>
      <c r="B419" s="2">
        <v>45695</v>
      </c>
      <c r="C419" t="s">
        <v>105</v>
      </c>
      <c r="D419" t="s">
        <v>106</v>
      </c>
      <c r="E419" t="s">
        <v>45</v>
      </c>
      <c r="F419" t="s">
        <v>46</v>
      </c>
      <c r="G419" t="s">
        <v>163</v>
      </c>
      <c r="H419" t="s">
        <v>164</v>
      </c>
      <c r="I419" t="s">
        <v>49</v>
      </c>
      <c r="J419">
        <v>4</v>
      </c>
      <c r="K419">
        <v>4200</v>
      </c>
      <c r="L419">
        <v>16800</v>
      </c>
    </row>
    <row r="420" spans="1:12" x14ac:dyDescent="0.3">
      <c r="A420">
        <v>10419</v>
      </c>
      <c r="B420" s="2">
        <v>45796</v>
      </c>
      <c r="C420" t="s">
        <v>138</v>
      </c>
      <c r="D420" t="s">
        <v>139</v>
      </c>
      <c r="E420" t="s">
        <v>79</v>
      </c>
      <c r="F420" t="s">
        <v>34</v>
      </c>
      <c r="G420" t="s">
        <v>121</v>
      </c>
      <c r="H420" t="s">
        <v>122</v>
      </c>
      <c r="I420" t="s">
        <v>49</v>
      </c>
      <c r="J420">
        <v>1</v>
      </c>
      <c r="K420">
        <v>4800</v>
      </c>
      <c r="L420">
        <v>4800</v>
      </c>
    </row>
    <row r="421" spans="1:12" x14ac:dyDescent="0.3">
      <c r="A421">
        <v>10420</v>
      </c>
      <c r="B421" s="2">
        <v>45831</v>
      </c>
      <c r="C421" t="s">
        <v>119</v>
      </c>
      <c r="D421" t="s">
        <v>120</v>
      </c>
      <c r="E421" t="s">
        <v>27</v>
      </c>
      <c r="F421" t="s">
        <v>28</v>
      </c>
      <c r="G421" t="s">
        <v>113</v>
      </c>
      <c r="H421" t="s">
        <v>114</v>
      </c>
      <c r="I421" t="s">
        <v>37</v>
      </c>
      <c r="J421">
        <v>2</v>
      </c>
      <c r="K421">
        <v>52000</v>
      </c>
      <c r="L421">
        <v>104000</v>
      </c>
    </row>
    <row r="422" spans="1:12" x14ac:dyDescent="0.3">
      <c r="A422">
        <v>10421</v>
      </c>
      <c r="B422" s="2">
        <v>45993</v>
      </c>
      <c r="C422" t="s">
        <v>146</v>
      </c>
      <c r="D422" t="s">
        <v>147</v>
      </c>
      <c r="E422" t="s">
        <v>64</v>
      </c>
      <c r="F422" t="s">
        <v>46</v>
      </c>
      <c r="G422" t="s">
        <v>167</v>
      </c>
      <c r="H422" t="s">
        <v>168</v>
      </c>
      <c r="I422" t="s">
        <v>49</v>
      </c>
      <c r="J422">
        <v>1</v>
      </c>
      <c r="K422">
        <v>3800</v>
      </c>
      <c r="L422">
        <v>3800</v>
      </c>
    </row>
    <row r="423" spans="1:12" x14ac:dyDescent="0.3">
      <c r="A423">
        <v>10422</v>
      </c>
      <c r="B423" s="2">
        <v>45824</v>
      </c>
      <c r="C423" t="s">
        <v>142</v>
      </c>
      <c r="D423" t="s">
        <v>143</v>
      </c>
      <c r="E423" t="s">
        <v>14</v>
      </c>
      <c r="F423" t="s">
        <v>15</v>
      </c>
      <c r="G423" t="s">
        <v>163</v>
      </c>
      <c r="H423" t="s">
        <v>164</v>
      </c>
      <c r="I423" t="s">
        <v>49</v>
      </c>
      <c r="J423">
        <v>1</v>
      </c>
      <c r="K423">
        <v>4200</v>
      </c>
      <c r="L423">
        <v>4200</v>
      </c>
    </row>
    <row r="424" spans="1:12" x14ac:dyDescent="0.3">
      <c r="A424">
        <v>10423</v>
      </c>
      <c r="B424" s="2">
        <v>45757</v>
      </c>
      <c r="C424" t="s">
        <v>12</v>
      </c>
      <c r="D424" t="s">
        <v>13</v>
      </c>
      <c r="E424" t="s">
        <v>14</v>
      </c>
      <c r="F424" t="s">
        <v>15</v>
      </c>
      <c r="G424" t="s">
        <v>113</v>
      </c>
      <c r="H424" t="s">
        <v>114</v>
      </c>
      <c r="I424" t="s">
        <v>37</v>
      </c>
      <c r="J424">
        <v>3</v>
      </c>
      <c r="K424">
        <v>52000</v>
      </c>
      <c r="L424">
        <v>156000</v>
      </c>
    </row>
    <row r="425" spans="1:12" x14ac:dyDescent="0.3">
      <c r="A425">
        <v>10424</v>
      </c>
      <c r="B425" s="2">
        <v>45837</v>
      </c>
      <c r="C425" t="s">
        <v>117</v>
      </c>
      <c r="D425" t="s">
        <v>118</v>
      </c>
      <c r="E425" t="s">
        <v>95</v>
      </c>
      <c r="F425" t="s">
        <v>15</v>
      </c>
      <c r="G425" t="s">
        <v>125</v>
      </c>
      <c r="H425" t="s">
        <v>126</v>
      </c>
      <c r="I425" t="s">
        <v>37</v>
      </c>
      <c r="J425">
        <v>1</v>
      </c>
      <c r="K425">
        <v>22000</v>
      </c>
      <c r="L425">
        <v>22000</v>
      </c>
    </row>
    <row r="426" spans="1:12" x14ac:dyDescent="0.3">
      <c r="A426">
        <v>10425</v>
      </c>
      <c r="B426" s="2">
        <v>45658</v>
      </c>
      <c r="C426" t="s">
        <v>12</v>
      </c>
      <c r="D426" t="s">
        <v>13</v>
      </c>
      <c r="E426" t="s">
        <v>14</v>
      </c>
      <c r="F426" t="s">
        <v>15</v>
      </c>
      <c r="G426" t="s">
        <v>167</v>
      </c>
      <c r="H426" t="s">
        <v>168</v>
      </c>
      <c r="I426" t="s">
        <v>49</v>
      </c>
      <c r="J426">
        <v>1</v>
      </c>
      <c r="K426">
        <v>3800</v>
      </c>
      <c r="L426">
        <v>3800</v>
      </c>
    </row>
    <row r="427" spans="1:12" x14ac:dyDescent="0.3">
      <c r="A427">
        <v>10426</v>
      </c>
      <c r="B427" s="2">
        <v>45930</v>
      </c>
      <c r="C427" t="s">
        <v>43</v>
      </c>
      <c r="D427" t="s">
        <v>44</v>
      </c>
      <c r="E427" t="s">
        <v>45</v>
      </c>
      <c r="F427" t="s">
        <v>46</v>
      </c>
      <c r="G427" t="s">
        <v>113</v>
      </c>
      <c r="H427" t="s">
        <v>114</v>
      </c>
      <c r="I427" t="s">
        <v>37</v>
      </c>
      <c r="J427">
        <v>3</v>
      </c>
      <c r="K427">
        <v>52000</v>
      </c>
      <c r="L427">
        <v>156000</v>
      </c>
    </row>
    <row r="428" spans="1:12" x14ac:dyDescent="0.3">
      <c r="A428">
        <v>10427</v>
      </c>
      <c r="B428" s="2">
        <v>45717</v>
      </c>
      <c r="C428" t="s">
        <v>218</v>
      </c>
      <c r="D428" t="s">
        <v>219</v>
      </c>
      <c r="E428" t="s">
        <v>160</v>
      </c>
      <c r="F428" t="s">
        <v>34</v>
      </c>
      <c r="G428" t="s">
        <v>96</v>
      </c>
      <c r="H428" t="s">
        <v>97</v>
      </c>
      <c r="I428" t="s">
        <v>37</v>
      </c>
      <c r="J428">
        <v>3</v>
      </c>
      <c r="K428">
        <v>18000</v>
      </c>
      <c r="L428">
        <v>54000</v>
      </c>
    </row>
    <row r="429" spans="1:12" x14ac:dyDescent="0.3">
      <c r="A429">
        <v>10428</v>
      </c>
      <c r="B429" s="2">
        <v>45948</v>
      </c>
      <c r="C429" t="s">
        <v>193</v>
      </c>
      <c r="D429" t="s">
        <v>194</v>
      </c>
      <c r="E429" t="s">
        <v>102</v>
      </c>
      <c r="F429" t="s">
        <v>34</v>
      </c>
      <c r="G429" t="s">
        <v>131</v>
      </c>
      <c r="H429" t="s">
        <v>132</v>
      </c>
      <c r="I429" t="s">
        <v>37</v>
      </c>
      <c r="J429">
        <v>1</v>
      </c>
      <c r="K429">
        <v>4500</v>
      </c>
      <c r="L429">
        <v>4500</v>
      </c>
    </row>
    <row r="430" spans="1:12" x14ac:dyDescent="0.3">
      <c r="A430">
        <v>10429</v>
      </c>
      <c r="B430" s="2">
        <v>45918</v>
      </c>
      <c r="C430" t="s">
        <v>208</v>
      </c>
      <c r="D430" t="s">
        <v>209</v>
      </c>
      <c r="E430" t="s">
        <v>95</v>
      </c>
      <c r="F430" t="s">
        <v>15</v>
      </c>
      <c r="G430" t="s">
        <v>75</v>
      </c>
      <c r="H430" t="s">
        <v>76</v>
      </c>
      <c r="I430" t="s">
        <v>49</v>
      </c>
      <c r="J430">
        <v>1</v>
      </c>
      <c r="K430">
        <v>3000</v>
      </c>
      <c r="L430">
        <v>3000</v>
      </c>
    </row>
    <row r="431" spans="1:12" x14ac:dyDescent="0.3">
      <c r="A431">
        <v>10430</v>
      </c>
      <c r="B431" s="2">
        <v>45849</v>
      </c>
      <c r="C431" t="s">
        <v>123</v>
      </c>
      <c r="D431" t="s">
        <v>124</v>
      </c>
      <c r="E431" t="s">
        <v>69</v>
      </c>
      <c r="F431" t="s">
        <v>28</v>
      </c>
      <c r="G431" t="s">
        <v>75</v>
      </c>
      <c r="H431" t="s">
        <v>76</v>
      </c>
      <c r="I431" t="s">
        <v>49</v>
      </c>
      <c r="J431">
        <v>2</v>
      </c>
      <c r="K431">
        <v>3000</v>
      </c>
      <c r="L431">
        <v>6000</v>
      </c>
    </row>
    <row r="432" spans="1:12" x14ac:dyDescent="0.3">
      <c r="A432">
        <v>10431</v>
      </c>
      <c r="B432" s="2">
        <v>45724</v>
      </c>
      <c r="C432" t="s">
        <v>197</v>
      </c>
      <c r="D432" t="s">
        <v>198</v>
      </c>
      <c r="E432" t="s">
        <v>95</v>
      </c>
      <c r="F432" t="s">
        <v>15</v>
      </c>
      <c r="G432" t="s">
        <v>187</v>
      </c>
      <c r="H432" t="s">
        <v>188</v>
      </c>
      <c r="I432" t="s">
        <v>24</v>
      </c>
      <c r="J432">
        <v>1</v>
      </c>
      <c r="K432">
        <v>5500</v>
      </c>
      <c r="L432">
        <v>5500</v>
      </c>
    </row>
    <row r="433" spans="1:12" x14ac:dyDescent="0.3">
      <c r="A433">
        <v>10432</v>
      </c>
      <c r="B433" s="2">
        <v>45925</v>
      </c>
      <c r="C433" t="s">
        <v>117</v>
      </c>
      <c r="D433" t="s">
        <v>118</v>
      </c>
      <c r="E433" t="s">
        <v>95</v>
      </c>
      <c r="F433" t="s">
        <v>15</v>
      </c>
      <c r="G433" t="s">
        <v>65</v>
      </c>
      <c r="H433" t="s">
        <v>66</v>
      </c>
      <c r="I433" t="s">
        <v>49</v>
      </c>
      <c r="J433">
        <v>3</v>
      </c>
      <c r="K433">
        <v>2400</v>
      </c>
      <c r="L433">
        <v>7200</v>
      </c>
    </row>
    <row r="434" spans="1:12" x14ac:dyDescent="0.3">
      <c r="A434">
        <v>10433</v>
      </c>
      <c r="B434" s="2">
        <v>45930</v>
      </c>
      <c r="C434" t="s">
        <v>43</v>
      </c>
      <c r="D434" t="s">
        <v>44</v>
      </c>
      <c r="E434" t="s">
        <v>45</v>
      </c>
      <c r="F434" t="s">
        <v>46</v>
      </c>
      <c r="G434" t="s">
        <v>103</v>
      </c>
      <c r="H434" t="s">
        <v>104</v>
      </c>
      <c r="I434" t="s">
        <v>37</v>
      </c>
      <c r="J434">
        <v>1</v>
      </c>
      <c r="K434">
        <v>28000</v>
      </c>
      <c r="L434">
        <v>28000</v>
      </c>
    </row>
    <row r="435" spans="1:12" x14ac:dyDescent="0.3">
      <c r="A435">
        <v>10434</v>
      </c>
      <c r="B435" s="2">
        <v>45664</v>
      </c>
      <c r="C435" t="s">
        <v>72</v>
      </c>
      <c r="D435" t="s">
        <v>73</v>
      </c>
      <c r="E435" t="s">
        <v>74</v>
      </c>
      <c r="F435" t="s">
        <v>28</v>
      </c>
      <c r="G435" t="s">
        <v>131</v>
      </c>
      <c r="H435" t="s">
        <v>132</v>
      </c>
      <c r="I435" t="s">
        <v>37</v>
      </c>
      <c r="J435">
        <v>1</v>
      </c>
      <c r="K435">
        <v>4500</v>
      </c>
      <c r="L435">
        <v>4500</v>
      </c>
    </row>
    <row r="436" spans="1:12" x14ac:dyDescent="0.3">
      <c r="A436">
        <v>10435</v>
      </c>
      <c r="B436" s="2">
        <v>45856</v>
      </c>
      <c r="C436" t="s">
        <v>105</v>
      </c>
      <c r="D436" t="s">
        <v>106</v>
      </c>
      <c r="E436" t="s">
        <v>45</v>
      </c>
      <c r="F436" t="s">
        <v>46</v>
      </c>
      <c r="G436" t="s">
        <v>131</v>
      </c>
      <c r="H436" t="s">
        <v>132</v>
      </c>
      <c r="I436" t="s">
        <v>37</v>
      </c>
      <c r="J436">
        <v>1</v>
      </c>
      <c r="K436">
        <v>4500</v>
      </c>
      <c r="L436">
        <v>4500</v>
      </c>
    </row>
    <row r="437" spans="1:12" x14ac:dyDescent="0.3">
      <c r="A437">
        <v>10436</v>
      </c>
      <c r="B437" s="2">
        <v>45789</v>
      </c>
      <c r="C437" t="s">
        <v>50</v>
      </c>
      <c r="D437" t="s">
        <v>51</v>
      </c>
      <c r="E437" t="s">
        <v>14</v>
      </c>
      <c r="F437" t="s">
        <v>15</v>
      </c>
      <c r="G437" t="s">
        <v>47</v>
      </c>
      <c r="H437" t="s">
        <v>48</v>
      </c>
      <c r="I437" t="s">
        <v>49</v>
      </c>
      <c r="J437">
        <v>1</v>
      </c>
      <c r="K437">
        <v>1600</v>
      </c>
      <c r="L437">
        <v>1600</v>
      </c>
    </row>
    <row r="438" spans="1:12" x14ac:dyDescent="0.3">
      <c r="A438">
        <v>10437</v>
      </c>
      <c r="B438" s="2">
        <v>45694</v>
      </c>
      <c r="C438" t="s">
        <v>175</v>
      </c>
      <c r="D438" t="s">
        <v>176</v>
      </c>
      <c r="E438" t="s">
        <v>84</v>
      </c>
      <c r="F438" t="s">
        <v>46</v>
      </c>
      <c r="G438" t="s">
        <v>96</v>
      </c>
      <c r="H438" t="s">
        <v>97</v>
      </c>
      <c r="I438" t="s">
        <v>37</v>
      </c>
      <c r="J438">
        <v>2</v>
      </c>
      <c r="K438">
        <v>18000</v>
      </c>
      <c r="L438">
        <v>36000</v>
      </c>
    </row>
    <row r="439" spans="1:12" x14ac:dyDescent="0.3">
      <c r="A439">
        <v>10438</v>
      </c>
      <c r="B439" s="2">
        <v>45979</v>
      </c>
      <c r="C439" t="s">
        <v>133</v>
      </c>
      <c r="D439" t="s">
        <v>134</v>
      </c>
      <c r="E439" t="s">
        <v>33</v>
      </c>
      <c r="F439" t="s">
        <v>34</v>
      </c>
      <c r="G439" t="s">
        <v>75</v>
      </c>
      <c r="H439" t="s">
        <v>76</v>
      </c>
      <c r="I439" t="s">
        <v>49</v>
      </c>
      <c r="J439">
        <v>3</v>
      </c>
      <c r="K439">
        <v>3000</v>
      </c>
      <c r="L439">
        <v>9000</v>
      </c>
    </row>
    <row r="440" spans="1:12" x14ac:dyDescent="0.3">
      <c r="A440">
        <v>10439</v>
      </c>
      <c r="B440" s="2">
        <v>45885</v>
      </c>
      <c r="C440" t="s">
        <v>181</v>
      </c>
      <c r="D440" t="s">
        <v>182</v>
      </c>
      <c r="E440" t="s">
        <v>21</v>
      </c>
      <c r="F440" t="s">
        <v>15</v>
      </c>
      <c r="G440" t="s">
        <v>121</v>
      </c>
      <c r="H440" t="s">
        <v>122</v>
      </c>
      <c r="I440" t="s">
        <v>49</v>
      </c>
      <c r="J440">
        <v>1</v>
      </c>
      <c r="K440">
        <v>4800</v>
      </c>
      <c r="L440">
        <v>4800</v>
      </c>
    </row>
    <row r="441" spans="1:12" x14ac:dyDescent="0.3">
      <c r="A441">
        <v>10440</v>
      </c>
      <c r="B441" s="2">
        <v>45897</v>
      </c>
      <c r="C441" t="s">
        <v>146</v>
      </c>
      <c r="D441" t="s">
        <v>147</v>
      </c>
      <c r="E441" t="s">
        <v>64</v>
      </c>
      <c r="F441" t="s">
        <v>46</v>
      </c>
      <c r="G441" t="s">
        <v>75</v>
      </c>
      <c r="H441" t="s">
        <v>76</v>
      </c>
      <c r="I441" t="s">
        <v>49</v>
      </c>
      <c r="J441">
        <v>1</v>
      </c>
      <c r="K441">
        <v>3000</v>
      </c>
      <c r="L441">
        <v>3000</v>
      </c>
    </row>
    <row r="442" spans="1:12" x14ac:dyDescent="0.3">
      <c r="A442">
        <v>10441</v>
      </c>
      <c r="B442" s="2">
        <v>45684</v>
      </c>
      <c r="C442" t="s">
        <v>204</v>
      </c>
      <c r="D442" t="s">
        <v>205</v>
      </c>
      <c r="E442" t="s">
        <v>201</v>
      </c>
      <c r="F442" t="s">
        <v>28</v>
      </c>
      <c r="G442" t="s">
        <v>179</v>
      </c>
      <c r="H442" t="s">
        <v>180</v>
      </c>
      <c r="I442" t="s">
        <v>18</v>
      </c>
      <c r="J442">
        <v>2</v>
      </c>
      <c r="K442">
        <v>6500</v>
      </c>
      <c r="L442">
        <v>13000</v>
      </c>
    </row>
    <row r="443" spans="1:12" x14ac:dyDescent="0.3">
      <c r="A443">
        <v>10442</v>
      </c>
      <c r="B443" s="2">
        <v>45859</v>
      </c>
      <c r="C443" t="s">
        <v>50</v>
      </c>
      <c r="D443" t="s">
        <v>51</v>
      </c>
      <c r="E443" t="s">
        <v>14</v>
      </c>
      <c r="F443" t="s">
        <v>15</v>
      </c>
      <c r="G443" t="s">
        <v>96</v>
      </c>
      <c r="H443" t="s">
        <v>97</v>
      </c>
      <c r="I443" t="s">
        <v>37</v>
      </c>
      <c r="J443">
        <v>1</v>
      </c>
      <c r="K443">
        <v>18000</v>
      </c>
      <c r="L443">
        <v>18000</v>
      </c>
    </row>
    <row r="444" spans="1:12" x14ac:dyDescent="0.3">
      <c r="A444">
        <v>10443</v>
      </c>
      <c r="B444" s="2">
        <v>45682</v>
      </c>
      <c r="C444" t="s">
        <v>175</v>
      </c>
      <c r="D444" t="s">
        <v>176</v>
      </c>
      <c r="E444" t="s">
        <v>84</v>
      </c>
      <c r="F444" t="s">
        <v>46</v>
      </c>
      <c r="G444" t="s">
        <v>29</v>
      </c>
      <c r="H444" t="s">
        <v>30</v>
      </c>
      <c r="I444" t="s">
        <v>18</v>
      </c>
      <c r="J444">
        <v>1</v>
      </c>
      <c r="K444">
        <v>15000</v>
      </c>
      <c r="L444">
        <v>15000</v>
      </c>
    </row>
    <row r="445" spans="1:12" x14ac:dyDescent="0.3">
      <c r="A445">
        <v>10444</v>
      </c>
      <c r="B445" s="2">
        <v>45762</v>
      </c>
      <c r="C445" t="s">
        <v>169</v>
      </c>
      <c r="D445" t="s">
        <v>170</v>
      </c>
      <c r="E445" t="s">
        <v>64</v>
      </c>
      <c r="F445" t="s">
        <v>46</v>
      </c>
      <c r="G445" t="s">
        <v>35</v>
      </c>
      <c r="H445" t="s">
        <v>36</v>
      </c>
      <c r="I445" t="s">
        <v>37</v>
      </c>
      <c r="J445">
        <v>1</v>
      </c>
      <c r="K445">
        <v>12000</v>
      </c>
      <c r="L445">
        <v>12000</v>
      </c>
    </row>
    <row r="446" spans="1:12" x14ac:dyDescent="0.3">
      <c r="A446">
        <v>10445</v>
      </c>
      <c r="B446" s="2">
        <v>45966</v>
      </c>
      <c r="C446" t="s">
        <v>111</v>
      </c>
      <c r="D446" t="s">
        <v>112</v>
      </c>
      <c r="E446" t="s">
        <v>40</v>
      </c>
      <c r="F446" t="s">
        <v>15</v>
      </c>
      <c r="G446" t="s">
        <v>167</v>
      </c>
      <c r="H446" t="s">
        <v>168</v>
      </c>
      <c r="I446" t="s">
        <v>49</v>
      </c>
      <c r="J446">
        <v>1</v>
      </c>
      <c r="K446">
        <v>3800</v>
      </c>
      <c r="L446">
        <v>3800</v>
      </c>
    </row>
    <row r="447" spans="1:12" x14ac:dyDescent="0.3">
      <c r="A447">
        <v>10446</v>
      </c>
      <c r="B447" s="2">
        <v>45713</v>
      </c>
      <c r="C447" t="s">
        <v>142</v>
      </c>
      <c r="D447" t="s">
        <v>143</v>
      </c>
      <c r="E447" t="s">
        <v>14</v>
      </c>
      <c r="F447" t="s">
        <v>15</v>
      </c>
      <c r="G447" t="s">
        <v>16</v>
      </c>
      <c r="H447" t="s">
        <v>17</v>
      </c>
      <c r="I447" t="s">
        <v>18</v>
      </c>
      <c r="J447">
        <v>1</v>
      </c>
      <c r="K447">
        <v>11000</v>
      </c>
      <c r="L447">
        <v>11000</v>
      </c>
    </row>
    <row r="448" spans="1:12" x14ac:dyDescent="0.3">
      <c r="A448">
        <v>10447</v>
      </c>
      <c r="B448" s="2">
        <v>45802</v>
      </c>
      <c r="C448" t="s">
        <v>148</v>
      </c>
      <c r="D448" t="s">
        <v>149</v>
      </c>
      <c r="E448" t="s">
        <v>14</v>
      </c>
      <c r="F448" t="s">
        <v>15</v>
      </c>
      <c r="G448" t="s">
        <v>140</v>
      </c>
      <c r="H448" t="s">
        <v>141</v>
      </c>
      <c r="I448" t="s">
        <v>18</v>
      </c>
      <c r="J448">
        <v>1</v>
      </c>
      <c r="K448">
        <v>3000</v>
      </c>
      <c r="L448">
        <v>3000</v>
      </c>
    </row>
    <row r="449" spans="1:12" x14ac:dyDescent="0.3">
      <c r="A449">
        <v>10448</v>
      </c>
      <c r="B449" s="2">
        <v>45680</v>
      </c>
      <c r="C449" t="s">
        <v>72</v>
      </c>
      <c r="D449" t="s">
        <v>73</v>
      </c>
      <c r="E449" t="s">
        <v>74</v>
      </c>
      <c r="F449" t="s">
        <v>28</v>
      </c>
      <c r="G449" t="s">
        <v>140</v>
      </c>
      <c r="H449" t="s">
        <v>141</v>
      </c>
      <c r="I449" t="s">
        <v>18</v>
      </c>
      <c r="J449">
        <v>3</v>
      </c>
      <c r="K449">
        <v>3000</v>
      </c>
      <c r="L449">
        <v>9000</v>
      </c>
    </row>
    <row r="450" spans="1:12" x14ac:dyDescent="0.3">
      <c r="A450">
        <v>10449</v>
      </c>
      <c r="B450" s="2">
        <v>45871</v>
      </c>
      <c r="C450" t="s">
        <v>87</v>
      </c>
      <c r="D450" t="s">
        <v>88</v>
      </c>
      <c r="E450" t="s">
        <v>64</v>
      </c>
      <c r="F450" t="s">
        <v>46</v>
      </c>
      <c r="G450" t="s">
        <v>144</v>
      </c>
      <c r="H450" t="s">
        <v>145</v>
      </c>
      <c r="I450" t="s">
        <v>37</v>
      </c>
      <c r="J450">
        <v>2</v>
      </c>
      <c r="K450">
        <v>65000</v>
      </c>
      <c r="L450">
        <v>130000</v>
      </c>
    </row>
    <row r="451" spans="1:12" x14ac:dyDescent="0.3">
      <c r="A451">
        <v>10450</v>
      </c>
      <c r="B451" s="2">
        <v>45873</v>
      </c>
      <c r="C451" t="s">
        <v>224</v>
      </c>
      <c r="D451" t="s">
        <v>225</v>
      </c>
      <c r="E451" t="s">
        <v>201</v>
      </c>
      <c r="F451" t="s">
        <v>28</v>
      </c>
      <c r="G451" t="s">
        <v>187</v>
      </c>
      <c r="H451" t="s">
        <v>188</v>
      </c>
      <c r="I451" t="s">
        <v>24</v>
      </c>
      <c r="J451">
        <v>1</v>
      </c>
      <c r="K451">
        <v>5500</v>
      </c>
      <c r="L451">
        <v>5500</v>
      </c>
    </row>
    <row r="452" spans="1:12" x14ac:dyDescent="0.3">
      <c r="A452">
        <v>10451</v>
      </c>
      <c r="B452" s="2">
        <v>45831</v>
      </c>
      <c r="C452" t="s">
        <v>202</v>
      </c>
      <c r="D452" t="s">
        <v>203</v>
      </c>
      <c r="E452" t="s">
        <v>64</v>
      </c>
      <c r="F452" t="s">
        <v>46</v>
      </c>
      <c r="G452" t="s">
        <v>144</v>
      </c>
      <c r="H452" t="s">
        <v>145</v>
      </c>
      <c r="I452" t="s">
        <v>37</v>
      </c>
      <c r="J452">
        <v>1</v>
      </c>
      <c r="K452">
        <v>65000</v>
      </c>
      <c r="L452">
        <v>65000</v>
      </c>
    </row>
    <row r="453" spans="1:12" x14ac:dyDescent="0.3">
      <c r="A453">
        <v>10452</v>
      </c>
      <c r="B453" s="2">
        <v>45698</v>
      </c>
      <c r="C453" t="s">
        <v>31</v>
      </c>
      <c r="D453" t="s">
        <v>32</v>
      </c>
      <c r="E453" t="s">
        <v>33</v>
      </c>
      <c r="F453" t="s">
        <v>34</v>
      </c>
      <c r="G453" t="s">
        <v>70</v>
      </c>
      <c r="H453" t="s">
        <v>71</v>
      </c>
      <c r="I453" t="s">
        <v>37</v>
      </c>
      <c r="J453">
        <v>1</v>
      </c>
      <c r="K453">
        <v>2200</v>
      </c>
      <c r="L453">
        <v>2200</v>
      </c>
    </row>
    <row r="454" spans="1:12" x14ac:dyDescent="0.3">
      <c r="A454">
        <v>10453</v>
      </c>
      <c r="B454" s="2">
        <v>45945</v>
      </c>
      <c r="C454" t="s">
        <v>93</v>
      </c>
      <c r="D454" t="s">
        <v>94</v>
      </c>
      <c r="E454" t="s">
        <v>95</v>
      </c>
      <c r="F454" t="s">
        <v>15</v>
      </c>
      <c r="G454" t="s">
        <v>113</v>
      </c>
      <c r="H454" t="s">
        <v>114</v>
      </c>
      <c r="I454" t="s">
        <v>37</v>
      </c>
      <c r="J454">
        <v>2</v>
      </c>
      <c r="K454">
        <v>52000</v>
      </c>
      <c r="L454">
        <v>104000</v>
      </c>
    </row>
    <row r="455" spans="1:12" x14ac:dyDescent="0.3">
      <c r="A455">
        <v>10454</v>
      </c>
      <c r="B455" s="2">
        <v>45785</v>
      </c>
      <c r="C455" t="s">
        <v>146</v>
      </c>
      <c r="D455" t="s">
        <v>147</v>
      </c>
      <c r="E455" t="s">
        <v>64</v>
      </c>
      <c r="F455" t="s">
        <v>46</v>
      </c>
      <c r="G455" t="s">
        <v>129</v>
      </c>
      <c r="H455" t="s">
        <v>130</v>
      </c>
      <c r="I455" t="s">
        <v>24</v>
      </c>
      <c r="J455">
        <v>2</v>
      </c>
      <c r="K455">
        <v>1400</v>
      </c>
      <c r="L455">
        <v>2800</v>
      </c>
    </row>
    <row r="456" spans="1:12" x14ac:dyDescent="0.3">
      <c r="A456">
        <v>10455</v>
      </c>
      <c r="B456" s="2">
        <v>45955</v>
      </c>
      <c r="C456" t="s">
        <v>133</v>
      </c>
      <c r="D456" t="s">
        <v>134</v>
      </c>
      <c r="E456" t="s">
        <v>33</v>
      </c>
      <c r="F456" t="s">
        <v>34</v>
      </c>
      <c r="G456" t="s">
        <v>103</v>
      </c>
      <c r="H456" t="s">
        <v>104</v>
      </c>
      <c r="I456" t="s">
        <v>37</v>
      </c>
      <c r="J456">
        <v>2</v>
      </c>
      <c r="K456">
        <v>28000</v>
      </c>
      <c r="L456">
        <v>56000</v>
      </c>
    </row>
    <row r="457" spans="1:12" x14ac:dyDescent="0.3">
      <c r="A457">
        <v>10456</v>
      </c>
      <c r="B457" s="2">
        <v>45828</v>
      </c>
      <c r="C457" t="s">
        <v>62</v>
      </c>
      <c r="D457" t="s">
        <v>63</v>
      </c>
      <c r="E457" t="s">
        <v>64</v>
      </c>
      <c r="F457" t="s">
        <v>46</v>
      </c>
      <c r="G457" t="s">
        <v>179</v>
      </c>
      <c r="H457" t="s">
        <v>180</v>
      </c>
      <c r="I457" t="s">
        <v>18</v>
      </c>
      <c r="J457">
        <v>1</v>
      </c>
      <c r="K457">
        <v>6500</v>
      </c>
      <c r="L457">
        <v>6500</v>
      </c>
    </row>
    <row r="458" spans="1:12" x14ac:dyDescent="0.3">
      <c r="A458">
        <v>10457</v>
      </c>
      <c r="B458" s="2">
        <v>45912</v>
      </c>
      <c r="C458" t="s">
        <v>105</v>
      </c>
      <c r="D458" t="s">
        <v>106</v>
      </c>
      <c r="E458" t="s">
        <v>45</v>
      </c>
      <c r="F458" t="s">
        <v>46</v>
      </c>
      <c r="G458" t="s">
        <v>65</v>
      </c>
      <c r="H458" t="s">
        <v>66</v>
      </c>
      <c r="I458" t="s">
        <v>49</v>
      </c>
      <c r="J458">
        <v>1</v>
      </c>
      <c r="K458">
        <v>2400</v>
      </c>
      <c r="L458">
        <v>2400</v>
      </c>
    </row>
    <row r="459" spans="1:12" x14ac:dyDescent="0.3">
      <c r="A459">
        <v>10458</v>
      </c>
      <c r="B459" s="2">
        <v>45923</v>
      </c>
      <c r="C459" t="s">
        <v>173</v>
      </c>
      <c r="D459" t="s">
        <v>174</v>
      </c>
      <c r="E459" t="s">
        <v>137</v>
      </c>
      <c r="F459" t="s">
        <v>46</v>
      </c>
      <c r="G459" t="s">
        <v>163</v>
      </c>
      <c r="H459" t="s">
        <v>164</v>
      </c>
      <c r="I459" t="s">
        <v>49</v>
      </c>
      <c r="J459">
        <v>2</v>
      </c>
      <c r="K459">
        <v>4200</v>
      </c>
      <c r="L459">
        <v>8400</v>
      </c>
    </row>
    <row r="460" spans="1:12" x14ac:dyDescent="0.3">
      <c r="A460">
        <v>10459</v>
      </c>
      <c r="B460" s="2">
        <v>45673</v>
      </c>
      <c r="C460" t="s">
        <v>91</v>
      </c>
      <c r="D460" t="s">
        <v>92</v>
      </c>
      <c r="E460" t="s">
        <v>40</v>
      </c>
      <c r="F460" t="s">
        <v>15</v>
      </c>
      <c r="G460" t="s">
        <v>47</v>
      </c>
      <c r="H460" t="s">
        <v>48</v>
      </c>
      <c r="I460" t="s">
        <v>49</v>
      </c>
      <c r="J460">
        <v>1</v>
      </c>
      <c r="K460">
        <v>1600</v>
      </c>
      <c r="L460">
        <v>1600</v>
      </c>
    </row>
    <row r="461" spans="1:12" x14ac:dyDescent="0.3">
      <c r="A461">
        <v>10460</v>
      </c>
      <c r="B461" s="2">
        <v>45664</v>
      </c>
      <c r="C461" t="s">
        <v>91</v>
      </c>
      <c r="D461" t="s">
        <v>92</v>
      </c>
      <c r="E461" t="s">
        <v>40</v>
      </c>
      <c r="F461" t="s">
        <v>15</v>
      </c>
      <c r="G461" t="s">
        <v>41</v>
      </c>
      <c r="H461" t="s">
        <v>42</v>
      </c>
      <c r="I461" t="s">
        <v>37</v>
      </c>
      <c r="J461">
        <v>3</v>
      </c>
      <c r="K461">
        <v>30000</v>
      </c>
      <c r="L461">
        <v>90000</v>
      </c>
    </row>
    <row r="462" spans="1:12" x14ac:dyDescent="0.3">
      <c r="A462">
        <v>10461</v>
      </c>
      <c r="B462" s="2">
        <v>45875</v>
      </c>
      <c r="C462" t="s">
        <v>150</v>
      </c>
      <c r="D462" t="s">
        <v>151</v>
      </c>
      <c r="E462" t="s">
        <v>84</v>
      </c>
      <c r="F462" t="s">
        <v>46</v>
      </c>
      <c r="G462" t="s">
        <v>41</v>
      </c>
      <c r="H462" t="s">
        <v>42</v>
      </c>
      <c r="I462" t="s">
        <v>37</v>
      </c>
      <c r="J462">
        <v>4</v>
      </c>
      <c r="K462">
        <v>30000</v>
      </c>
      <c r="L462">
        <v>120000</v>
      </c>
    </row>
    <row r="463" spans="1:12" x14ac:dyDescent="0.3">
      <c r="A463">
        <v>10462</v>
      </c>
      <c r="B463" s="2">
        <v>45791</v>
      </c>
      <c r="C463" t="s">
        <v>133</v>
      </c>
      <c r="D463" t="s">
        <v>134</v>
      </c>
      <c r="E463" t="s">
        <v>33</v>
      </c>
      <c r="F463" t="s">
        <v>34</v>
      </c>
      <c r="G463" t="s">
        <v>140</v>
      </c>
      <c r="H463" t="s">
        <v>141</v>
      </c>
      <c r="I463" t="s">
        <v>18</v>
      </c>
      <c r="J463">
        <v>1</v>
      </c>
      <c r="K463">
        <v>3000</v>
      </c>
      <c r="L463">
        <v>3000</v>
      </c>
    </row>
    <row r="464" spans="1:12" x14ac:dyDescent="0.3">
      <c r="A464">
        <v>10463</v>
      </c>
      <c r="B464" s="2">
        <v>45684</v>
      </c>
      <c r="C464" t="s">
        <v>193</v>
      </c>
      <c r="D464" t="s">
        <v>194</v>
      </c>
      <c r="E464" t="s">
        <v>102</v>
      </c>
      <c r="F464" t="s">
        <v>34</v>
      </c>
      <c r="G464" t="s">
        <v>56</v>
      </c>
      <c r="H464" t="s">
        <v>57</v>
      </c>
      <c r="I464" t="s">
        <v>18</v>
      </c>
      <c r="J464">
        <v>2</v>
      </c>
      <c r="K464">
        <v>9000</v>
      </c>
      <c r="L464">
        <v>18000</v>
      </c>
    </row>
    <row r="465" spans="1:12" x14ac:dyDescent="0.3">
      <c r="A465">
        <v>10464</v>
      </c>
      <c r="B465" s="2">
        <v>45799</v>
      </c>
      <c r="C465" t="s">
        <v>197</v>
      </c>
      <c r="D465" t="s">
        <v>198</v>
      </c>
      <c r="E465" t="s">
        <v>95</v>
      </c>
      <c r="F465" t="s">
        <v>15</v>
      </c>
      <c r="G465" t="s">
        <v>75</v>
      </c>
      <c r="H465" t="s">
        <v>76</v>
      </c>
      <c r="I465" t="s">
        <v>49</v>
      </c>
      <c r="J465">
        <v>3</v>
      </c>
      <c r="K465">
        <v>3000</v>
      </c>
      <c r="L465">
        <v>9000</v>
      </c>
    </row>
    <row r="466" spans="1:12" x14ac:dyDescent="0.3">
      <c r="A466">
        <v>10465</v>
      </c>
      <c r="B466" s="2">
        <v>45882</v>
      </c>
      <c r="C466" t="s">
        <v>191</v>
      </c>
      <c r="D466" t="s">
        <v>192</v>
      </c>
      <c r="E466" t="s">
        <v>27</v>
      </c>
      <c r="F466" t="s">
        <v>28</v>
      </c>
      <c r="G466" t="s">
        <v>167</v>
      </c>
      <c r="H466" t="s">
        <v>168</v>
      </c>
      <c r="I466" t="s">
        <v>49</v>
      </c>
      <c r="J466">
        <v>1</v>
      </c>
      <c r="K466">
        <v>3800</v>
      </c>
      <c r="L466">
        <v>3800</v>
      </c>
    </row>
    <row r="467" spans="1:12" x14ac:dyDescent="0.3">
      <c r="A467">
        <v>10466</v>
      </c>
      <c r="B467" s="2">
        <v>45765</v>
      </c>
      <c r="C467" t="s">
        <v>117</v>
      </c>
      <c r="D467" t="s">
        <v>118</v>
      </c>
      <c r="E467" t="s">
        <v>95</v>
      </c>
      <c r="F467" t="s">
        <v>15</v>
      </c>
      <c r="G467" t="s">
        <v>70</v>
      </c>
      <c r="H467" t="s">
        <v>71</v>
      </c>
      <c r="I467" t="s">
        <v>37</v>
      </c>
      <c r="J467">
        <v>1</v>
      </c>
      <c r="K467">
        <v>2200</v>
      </c>
      <c r="L467">
        <v>2200</v>
      </c>
    </row>
    <row r="468" spans="1:12" x14ac:dyDescent="0.3">
      <c r="A468">
        <v>10467</v>
      </c>
      <c r="B468" s="2">
        <v>45900</v>
      </c>
      <c r="C468" t="s">
        <v>236</v>
      </c>
      <c r="D468" t="s">
        <v>237</v>
      </c>
      <c r="E468" t="s">
        <v>201</v>
      </c>
      <c r="F468" t="s">
        <v>28</v>
      </c>
      <c r="G468" t="s">
        <v>109</v>
      </c>
      <c r="H468" t="s">
        <v>110</v>
      </c>
      <c r="I468" t="s">
        <v>18</v>
      </c>
      <c r="J468">
        <v>3</v>
      </c>
      <c r="K468">
        <v>5000</v>
      </c>
      <c r="L468">
        <v>15000</v>
      </c>
    </row>
    <row r="469" spans="1:12" x14ac:dyDescent="0.3">
      <c r="A469">
        <v>10468</v>
      </c>
      <c r="B469" s="2">
        <v>45804</v>
      </c>
      <c r="C469" t="s">
        <v>175</v>
      </c>
      <c r="D469" t="s">
        <v>176</v>
      </c>
      <c r="E469" t="s">
        <v>84</v>
      </c>
      <c r="F469" t="s">
        <v>46</v>
      </c>
      <c r="G469" t="s">
        <v>125</v>
      </c>
      <c r="H469" t="s">
        <v>126</v>
      </c>
      <c r="I469" t="s">
        <v>37</v>
      </c>
      <c r="J469">
        <v>1</v>
      </c>
      <c r="K469">
        <v>22000</v>
      </c>
      <c r="L469">
        <v>22000</v>
      </c>
    </row>
    <row r="470" spans="1:12" x14ac:dyDescent="0.3">
      <c r="A470">
        <v>10469</v>
      </c>
      <c r="B470" s="2">
        <v>45806</v>
      </c>
      <c r="C470" t="s">
        <v>115</v>
      </c>
      <c r="D470" t="s">
        <v>116</v>
      </c>
      <c r="E470" t="s">
        <v>33</v>
      </c>
      <c r="F470" t="s">
        <v>34</v>
      </c>
      <c r="G470" t="s">
        <v>98</v>
      </c>
      <c r="H470" t="s">
        <v>99</v>
      </c>
      <c r="I470" t="s">
        <v>24</v>
      </c>
      <c r="J470">
        <v>1</v>
      </c>
      <c r="K470">
        <v>2000</v>
      </c>
      <c r="L470">
        <v>2000</v>
      </c>
    </row>
    <row r="471" spans="1:12" x14ac:dyDescent="0.3">
      <c r="A471">
        <v>10470</v>
      </c>
      <c r="B471" s="2">
        <v>45994</v>
      </c>
      <c r="C471" t="s">
        <v>135</v>
      </c>
      <c r="D471" t="s">
        <v>136</v>
      </c>
      <c r="E471" t="s">
        <v>137</v>
      </c>
      <c r="F471" t="s">
        <v>46</v>
      </c>
      <c r="G471" t="s">
        <v>140</v>
      </c>
      <c r="H471" t="s">
        <v>141</v>
      </c>
      <c r="I471" t="s">
        <v>18</v>
      </c>
      <c r="J471">
        <v>1</v>
      </c>
      <c r="K471">
        <v>3000</v>
      </c>
      <c r="L471">
        <v>3000</v>
      </c>
    </row>
    <row r="472" spans="1:12" x14ac:dyDescent="0.3">
      <c r="A472">
        <v>10471</v>
      </c>
      <c r="B472" s="2">
        <v>45746</v>
      </c>
      <c r="C472" t="s">
        <v>195</v>
      </c>
      <c r="D472" t="s">
        <v>196</v>
      </c>
      <c r="E472" t="s">
        <v>102</v>
      </c>
      <c r="F472" t="s">
        <v>34</v>
      </c>
      <c r="G472" t="s">
        <v>177</v>
      </c>
      <c r="H472" t="s">
        <v>178</v>
      </c>
      <c r="I472" t="s">
        <v>37</v>
      </c>
      <c r="J472">
        <v>1</v>
      </c>
      <c r="K472">
        <v>2500</v>
      </c>
      <c r="L472">
        <v>2500</v>
      </c>
    </row>
    <row r="473" spans="1:12" x14ac:dyDescent="0.3">
      <c r="A473">
        <v>10472</v>
      </c>
      <c r="B473" s="2">
        <v>45765</v>
      </c>
      <c r="C473" t="s">
        <v>111</v>
      </c>
      <c r="D473" t="s">
        <v>112</v>
      </c>
      <c r="E473" t="s">
        <v>40</v>
      </c>
      <c r="F473" t="s">
        <v>15</v>
      </c>
      <c r="G473" t="s">
        <v>29</v>
      </c>
      <c r="H473" t="s">
        <v>30</v>
      </c>
      <c r="I473" t="s">
        <v>18</v>
      </c>
      <c r="J473">
        <v>1</v>
      </c>
      <c r="K473">
        <v>15000</v>
      </c>
      <c r="L473">
        <v>15000</v>
      </c>
    </row>
    <row r="474" spans="1:12" x14ac:dyDescent="0.3">
      <c r="A474">
        <v>10473</v>
      </c>
      <c r="B474" s="2">
        <v>46019</v>
      </c>
      <c r="C474" t="s">
        <v>242</v>
      </c>
      <c r="D474" t="s">
        <v>243</v>
      </c>
      <c r="E474" t="s">
        <v>40</v>
      </c>
      <c r="F474" t="s">
        <v>15</v>
      </c>
      <c r="G474" t="s">
        <v>121</v>
      </c>
      <c r="H474" t="s">
        <v>122</v>
      </c>
      <c r="I474" t="s">
        <v>49</v>
      </c>
      <c r="J474">
        <v>1</v>
      </c>
      <c r="K474">
        <v>4800</v>
      </c>
      <c r="L474">
        <v>4800</v>
      </c>
    </row>
    <row r="475" spans="1:12" x14ac:dyDescent="0.3">
      <c r="A475">
        <v>10474</v>
      </c>
      <c r="B475" s="2">
        <v>45743</v>
      </c>
      <c r="C475" t="s">
        <v>25</v>
      </c>
      <c r="D475" t="s">
        <v>26</v>
      </c>
      <c r="E475" t="s">
        <v>27</v>
      </c>
      <c r="F475" t="s">
        <v>28</v>
      </c>
      <c r="G475" t="s">
        <v>140</v>
      </c>
      <c r="H475" t="s">
        <v>141</v>
      </c>
      <c r="I475" t="s">
        <v>18</v>
      </c>
      <c r="J475">
        <v>1</v>
      </c>
      <c r="K475">
        <v>3000</v>
      </c>
      <c r="L475">
        <v>3000</v>
      </c>
    </row>
    <row r="476" spans="1:12" x14ac:dyDescent="0.3">
      <c r="A476">
        <v>10475</v>
      </c>
      <c r="B476" s="2">
        <v>45718</v>
      </c>
      <c r="C476" t="s">
        <v>58</v>
      </c>
      <c r="D476" t="s">
        <v>59</v>
      </c>
      <c r="E476" t="s">
        <v>21</v>
      </c>
      <c r="F476" t="s">
        <v>15</v>
      </c>
      <c r="G476" t="s">
        <v>56</v>
      </c>
      <c r="H476" t="s">
        <v>57</v>
      </c>
      <c r="I476" t="s">
        <v>18</v>
      </c>
      <c r="J476">
        <v>1</v>
      </c>
      <c r="K476">
        <v>9000</v>
      </c>
      <c r="L476">
        <v>9000</v>
      </c>
    </row>
    <row r="477" spans="1:12" x14ac:dyDescent="0.3">
      <c r="A477">
        <v>10476</v>
      </c>
      <c r="B477" s="2">
        <v>45908</v>
      </c>
      <c r="C477" t="s">
        <v>127</v>
      </c>
      <c r="D477" t="s">
        <v>128</v>
      </c>
      <c r="E477" t="s">
        <v>102</v>
      </c>
      <c r="F477" t="s">
        <v>34</v>
      </c>
      <c r="G477" t="s">
        <v>121</v>
      </c>
      <c r="H477" t="s">
        <v>122</v>
      </c>
      <c r="I477" t="s">
        <v>49</v>
      </c>
      <c r="J477">
        <v>1</v>
      </c>
      <c r="K477">
        <v>4800</v>
      </c>
      <c r="L477">
        <v>4800</v>
      </c>
    </row>
    <row r="478" spans="1:12" x14ac:dyDescent="0.3">
      <c r="A478">
        <v>10477</v>
      </c>
      <c r="B478" s="2">
        <v>46001</v>
      </c>
      <c r="C478" t="s">
        <v>82</v>
      </c>
      <c r="D478" t="s">
        <v>83</v>
      </c>
      <c r="E478" t="s">
        <v>84</v>
      </c>
      <c r="F478" t="s">
        <v>46</v>
      </c>
      <c r="G478" t="s">
        <v>22</v>
      </c>
      <c r="H478" t="s">
        <v>23</v>
      </c>
      <c r="I478" t="s">
        <v>24</v>
      </c>
      <c r="J478">
        <v>1</v>
      </c>
      <c r="K478">
        <v>2400</v>
      </c>
      <c r="L478">
        <v>2400</v>
      </c>
    </row>
    <row r="479" spans="1:12" x14ac:dyDescent="0.3">
      <c r="A479">
        <v>10478</v>
      </c>
      <c r="B479" s="2">
        <v>45734</v>
      </c>
      <c r="C479" t="s">
        <v>148</v>
      </c>
      <c r="D479" t="s">
        <v>149</v>
      </c>
      <c r="E479" t="s">
        <v>14</v>
      </c>
      <c r="F479" t="s">
        <v>15</v>
      </c>
      <c r="G479" t="s">
        <v>152</v>
      </c>
      <c r="H479" t="s">
        <v>153</v>
      </c>
      <c r="I479" t="s">
        <v>49</v>
      </c>
      <c r="J479">
        <v>2</v>
      </c>
      <c r="K479">
        <v>3200</v>
      </c>
      <c r="L479">
        <v>6400</v>
      </c>
    </row>
    <row r="480" spans="1:12" x14ac:dyDescent="0.3">
      <c r="A480">
        <v>10479</v>
      </c>
      <c r="B480" s="2">
        <v>45830</v>
      </c>
      <c r="C480" t="s">
        <v>146</v>
      </c>
      <c r="D480" t="s">
        <v>147</v>
      </c>
      <c r="E480" t="s">
        <v>64</v>
      </c>
      <c r="F480" t="s">
        <v>46</v>
      </c>
      <c r="G480" t="s">
        <v>131</v>
      </c>
      <c r="H480" t="s">
        <v>132</v>
      </c>
      <c r="I480" t="s">
        <v>37</v>
      </c>
      <c r="J480">
        <v>1</v>
      </c>
      <c r="K480">
        <v>4500</v>
      </c>
      <c r="L480">
        <v>4500</v>
      </c>
    </row>
    <row r="481" spans="1:12" x14ac:dyDescent="0.3">
      <c r="A481">
        <v>10480</v>
      </c>
      <c r="B481" s="2">
        <v>45754</v>
      </c>
      <c r="C481" t="s">
        <v>50</v>
      </c>
      <c r="D481" t="s">
        <v>51</v>
      </c>
      <c r="E481" t="s">
        <v>14</v>
      </c>
      <c r="F481" t="s">
        <v>15</v>
      </c>
      <c r="G481" t="s">
        <v>29</v>
      </c>
      <c r="H481" t="s">
        <v>30</v>
      </c>
      <c r="I481" t="s">
        <v>18</v>
      </c>
      <c r="J481">
        <v>1</v>
      </c>
      <c r="K481">
        <v>15000</v>
      </c>
      <c r="L481">
        <v>15000</v>
      </c>
    </row>
    <row r="482" spans="1:12" x14ac:dyDescent="0.3">
      <c r="A482">
        <v>10481</v>
      </c>
      <c r="B482" s="2">
        <v>45809</v>
      </c>
      <c r="C482" t="s">
        <v>85</v>
      </c>
      <c r="D482" t="s">
        <v>86</v>
      </c>
      <c r="E482" t="s">
        <v>45</v>
      </c>
      <c r="F482" t="s">
        <v>46</v>
      </c>
      <c r="G482" t="s">
        <v>179</v>
      </c>
      <c r="H482" t="s">
        <v>180</v>
      </c>
      <c r="I482" t="s">
        <v>18</v>
      </c>
      <c r="J482">
        <v>1</v>
      </c>
      <c r="K482">
        <v>6500</v>
      </c>
      <c r="L482">
        <v>6500</v>
      </c>
    </row>
    <row r="483" spans="1:12" x14ac:dyDescent="0.3">
      <c r="A483">
        <v>10482</v>
      </c>
      <c r="B483" s="2">
        <v>46020</v>
      </c>
      <c r="C483" t="s">
        <v>212</v>
      </c>
      <c r="D483" t="s">
        <v>213</v>
      </c>
      <c r="E483" t="s">
        <v>69</v>
      </c>
      <c r="F483" t="s">
        <v>28</v>
      </c>
      <c r="G483" t="s">
        <v>163</v>
      </c>
      <c r="H483" t="s">
        <v>164</v>
      </c>
      <c r="I483" t="s">
        <v>49</v>
      </c>
      <c r="J483">
        <v>1</v>
      </c>
      <c r="K483">
        <v>4200</v>
      </c>
      <c r="L483">
        <v>4200</v>
      </c>
    </row>
    <row r="484" spans="1:12" x14ac:dyDescent="0.3">
      <c r="A484">
        <v>10483</v>
      </c>
      <c r="B484" s="2">
        <v>45694</v>
      </c>
      <c r="C484" t="s">
        <v>210</v>
      </c>
      <c r="D484" t="s">
        <v>211</v>
      </c>
      <c r="E484" t="s">
        <v>40</v>
      </c>
      <c r="F484" t="s">
        <v>15</v>
      </c>
      <c r="G484" t="s">
        <v>131</v>
      </c>
      <c r="H484" t="s">
        <v>132</v>
      </c>
      <c r="I484" t="s">
        <v>37</v>
      </c>
      <c r="J484">
        <v>1</v>
      </c>
      <c r="K484">
        <v>4500</v>
      </c>
      <c r="L484">
        <v>4500</v>
      </c>
    </row>
    <row r="485" spans="1:12" x14ac:dyDescent="0.3">
      <c r="A485">
        <v>10484</v>
      </c>
      <c r="B485" s="2">
        <v>45804</v>
      </c>
      <c r="C485" t="s">
        <v>115</v>
      </c>
      <c r="D485" t="s">
        <v>116</v>
      </c>
      <c r="E485" t="s">
        <v>33</v>
      </c>
      <c r="F485" t="s">
        <v>34</v>
      </c>
      <c r="G485" t="s">
        <v>98</v>
      </c>
      <c r="H485" t="s">
        <v>99</v>
      </c>
      <c r="I485" t="s">
        <v>24</v>
      </c>
      <c r="J485">
        <v>1</v>
      </c>
      <c r="K485">
        <v>2000</v>
      </c>
      <c r="L485">
        <v>2000</v>
      </c>
    </row>
    <row r="486" spans="1:12" x14ac:dyDescent="0.3">
      <c r="A486">
        <v>10485</v>
      </c>
      <c r="B486" s="2">
        <v>45842</v>
      </c>
      <c r="C486" t="s">
        <v>183</v>
      </c>
      <c r="D486" t="s">
        <v>184</v>
      </c>
      <c r="E486" t="s">
        <v>27</v>
      </c>
      <c r="F486" t="s">
        <v>28</v>
      </c>
      <c r="G486" t="s">
        <v>29</v>
      </c>
      <c r="H486" t="s">
        <v>30</v>
      </c>
      <c r="I486" t="s">
        <v>18</v>
      </c>
      <c r="J486">
        <v>3</v>
      </c>
      <c r="K486">
        <v>15000</v>
      </c>
      <c r="L486">
        <v>45000</v>
      </c>
    </row>
    <row r="487" spans="1:12" x14ac:dyDescent="0.3">
      <c r="A487">
        <v>10486</v>
      </c>
      <c r="B487" s="2">
        <v>45681</v>
      </c>
      <c r="C487" t="s">
        <v>208</v>
      </c>
      <c r="D487" t="s">
        <v>209</v>
      </c>
      <c r="E487" t="s">
        <v>95</v>
      </c>
      <c r="F487" t="s">
        <v>15</v>
      </c>
      <c r="G487" t="s">
        <v>177</v>
      </c>
      <c r="H487" t="s">
        <v>178</v>
      </c>
      <c r="I487" t="s">
        <v>37</v>
      </c>
      <c r="J487">
        <v>1</v>
      </c>
      <c r="K487">
        <v>2500</v>
      </c>
      <c r="L487">
        <v>2500</v>
      </c>
    </row>
    <row r="488" spans="1:12" x14ac:dyDescent="0.3">
      <c r="A488">
        <v>10487</v>
      </c>
      <c r="B488" s="2">
        <v>45823</v>
      </c>
      <c r="C488" t="s">
        <v>123</v>
      </c>
      <c r="D488" t="s">
        <v>124</v>
      </c>
      <c r="E488" t="s">
        <v>69</v>
      </c>
      <c r="F488" t="s">
        <v>28</v>
      </c>
      <c r="G488" t="s">
        <v>65</v>
      </c>
      <c r="H488" t="s">
        <v>66</v>
      </c>
      <c r="I488" t="s">
        <v>49</v>
      </c>
      <c r="J488">
        <v>1</v>
      </c>
      <c r="K488">
        <v>2400</v>
      </c>
      <c r="L488">
        <v>2400</v>
      </c>
    </row>
    <row r="489" spans="1:12" x14ac:dyDescent="0.3">
      <c r="A489">
        <v>10488</v>
      </c>
      <c r="B489" s="2">
        <v>45658</v>
      </c>
      <c r="C489" t="s">
        <v>38</v>
      </c>
      <c r="D489" t="s">
        <v>39</v>
      </c>
      <c r="E489" t="s">
        <v>40</v>
      </c>
      <c r="F489" t="s">
        <v>15</v>
      </c>
      <c r="G489" t="s">
        <v>41</v>
      </c>
      <c r="H489" t="s">
        <v>42</v>
      </c>
      <c r="I489" t="s">
        <v>37</v>
      </c>
      <c r="J489">
        <v>1</v>
      </c>
      <c r="K489">
        <v>30000</v>
      </c>
      <c r="L489">
        <v>30000</v>
      </c>
    </row>
    <row r="490" spans="1:12" x14ac:dyDescent="0.3">
      <c r="A490">
        <v>10489</v>
      </c>
      <c r="B490" s="2">
        <v>45848</v>
      </c>
      <c r="C490" t="s">
        <v>189</v>
      </c>
      <c r="D490" t="s">
        <v>190</v>
      </c>
      <c r="E490" t="s">
        <v>160</v>
      </c>
      <c r="F490" t="s">
        <v>34</v>
      </c>
      <c r="G490" t="s">
        <v>113</v>
      </c>
      <c r="H490" t="s">
        <v>114</v>
      </c>
      <c r="I490" t="s">
        <v>37</v>
      </c>
      <c r="J490">
        <v>1</v>
      </c>
      <c r="K490">
        <v>52000</v>
      </c>
      <c r="L490">
        <v>52000</v>
      </c>
    </row>
    <row r="491" spans="1:12" x14ac:dyDescent="0.3">
      <c r="A491">
        <v>10490</v>
      </c>
      <c r="B491" s="2">
        <v>45941</v>
      </c>
      <c r="C491" t="s">
        <v>169</v>
      </c>
      <c r="D491" t="s">
        <v>170</v>
      </c>
      <c r="E491" t="s">
        <v>64</v>
      </c>
      <c r="F491" t="s">
        <v>46</v>
      </c>
      <c r="G491" t="s">
        <v>47</v>
      </c>
      <c r="H491" t="s">
        <v>48</v>
      </c>
      <c r="I491" t="s">
        <v>49</v>
      </c>
      <c r="J491">
        <v>2</v>
      </c>
      <c r="K491">
        <v>1600</v>
      </c>
      <c r="L491">
        <v>3200</v>
      </c>
    </row>
    <row r="492" spans="1:12" x14ac:dyDescent="0.3">
      <c r="A492">
        <v>10491</v>
      </c>
      <c r="B492" s="2">
        <v>45694</v>
      </c>
      <c r="C492" t="s">
        <v>236</v>
      </c>
      <c r="D492" t="s">
        <v>237</v>
      </c>
      <c r="E492" t="s">
        <v>201</v>
      </c>
      <c r="F492" t="s">
        <v>28</v>
      </c>
      <c r="G492" t="s">
        <v>89</v>
      </c>
      <c r="H492" t="s">
        <v>90</v>
      </c>
      <c r="I492" t="s">
        <v>18</v>
      </c>
      <c r="J492">
        <v>2</v>
      </c>
      <c r="K492">
        <v>4200</v>
      </c>
      <c r="L492">
        <v>8400</v>
      </c>
    </row>
    <row r="493" spans="1:12" x14ac:dyDescent="0.3">
      <c r="A493">
        <v>10492</v>
      </c>
      <c r="B493" s="2">
        <v>45976</v>
      </c>
      <c r="C493" t="s">
        <v>183</v>
      </c>
      <c r="D493" t="s">
        <v>184</v>
      </c>
      <c r="E493" t="s">
        <v>27</v>
      </c>
      <c r="F493" t="s">
        <v>28</v>
      </c>
      <c r="G493" t="s">
        <v>163</v>
      </c>
      <c r="H493" t="s">
        <v>164</v>
      </c>
      <c r="I493" t="s">
        <v>49</v>
      </c>
      <c r="J493">
        <v>1</v>
      </c>
      <c r="K493">
        <v>4200</v>
      </c>
      <c r="L493">
        <v>4200</v>
      </c>
    </row>
    <row r="494" spans="1:12" x14ac:dyDescent="0.3">
      <c r="A494">
        <v>10493</v>
      </c>
      <c r="B494" s="2">
        <v>45689</v>
      </c>
      <c r="C494" t="s">
        <v>105</v>
      </c>
      <c r="D494" t="s">
        <v>106</v>
      </c>
      <c r="E494" t="s">
        <v>45</v>
      </c>
      <c r="F494" t="s">
        <v>46</v>
      </c>
      <c r="G494" t="s">
        <v>144</v>
      </c>
      <c r="H494" t="s">
        <v>145</v>
      </c>
      <c r="I494" t="s">
        <v>37</v>
      </c>
      <c r="J494">
        <v>1</v>
      </c>
      <c r="K494">
        <v>65000</v>
      </c>
      <c r="L494">
        <v>65000</v>
      </c>
    </row>
    <row r="495" spans="1:12" x14ac:dyDescent="0.3">
      <c r="A495">
        <v>10494</v>
      </c>
      <c r="B495" s="2">
        <v>45830</v>
      </c>
      <c r="C495" t="s">
        <v>43</v>
      </c>
      <c r="D495" t="s">
        <v>44</v>
      </c>
      <c r="E495" t="s">
        <v>45</v>
      </c>
      <c r="F495" t="s">
        <v>46</v>
      </c>
      <c r="G495" t="s">
        <v>187</v>
      </c>
      <c r="H495" t="s">
        <v>188</v>
      </c>
      <c r="I495" t="s">
        <v>24</v>
      </c>
      <c r="J495">
        <v>2</v>
      </c>
      <c r="K495">
        <v>5500</v>
      </c>
      <c r="L495">
        <v>11000</v>
      </c>
    </row>
    <row r="496" spans="1:12" x14ac:dyDescent="0.3">
      <c r="A496">
        <v>10495</v>
      </c>
      <c r="B496" s="2">
        <v>45816</v>
      </c>
      <c r="C496" t="s">
        <v>117</v>
      </c>
      <c r="D496" t="s">
        <v>118</v>
      </c>
      <c r="E496" t="s">
        <v>95</v>
      </c>
      <c r="F496" t="s">
        <v>15</v>
      </c>
      <c r="G496" t="s">
        <v>129</v>
      </c>
      <c r="H496" t="s">
        <v>130</v>
      </c>
      <c r="I496" t="s">
        <v>24</v>
      </c>
      <c r="J496">
        <v>1</v>
      </c>
      <c r="K496">
        <v>1400</v>
      </c>
      <c r="L496">
        <v>1400</v>
      </c>
    </row>
    <row r="497" spans="1:12" x14ac:dyDescent="0.3">
      <c r="A497">
        <v>10496</v>
      </c>
      <c r="B497" s="2">
        <v>45907</v>
      </c>
      <c r="C497" t="s">
        <v>115</v>
      </c>
      <c r="D497" t="s">
        <v>116</v>
      </c>
      <c r="E497" t="s">
        <v>33</v>
      </c>
      <c r="F497" t="s">
        <v>34</v>
      </c>
      <c r="G497" t="s">
        <v>52</v>
      </c>
      <c r="H497" t="s">
        <v>53</v>
      </c>
      <c r="I497" t="s">
        <v>24</v>
      </c>
      <c r="J497">
        <v>1</v>
      </c>
      <c r="K497">
        <v>3500</v>
      </c>
      <c r="L497">
        <v>3500</v>
      </c>
    </row>
    <row r="498" spans="1:12" x14ac:dyDescent="0.3">
      <c r="A498">
        <v>10497</v>
      </c>
      <c r="B498" s="2">
        <v>45983</v>
      </c>
      <c r="C498" t="s">
        <v>82</v>
      </c>
      <c r="D498" t="s">
        <v>83</v>
      </c>
      <c r="E498" t="s">
        <v>84</v>
      </c>
      <c r="F498" t="s">
        <v>46</v>
      </c>
      <c r="G498" t="s">
        <v>140</v>
      </c>
      <c r="H498" t="s">
        <v>141</v>
      </c>
      <c r="I498" t="s">
        <v>18</v>
      </c>
      <c r="J498">
        <v>1</v>
      </c>
      <c r="K498">
        <v>3000</v>
      </c>
      <c r="L498">
        <v>3000</v>
      </c>
    </row>
    <row r="499" spans="1:12" x14ac:dyDescent="0.3">
      <c r="A499">
        <v>10498</v>
      </c>
      <c r="B499" s="2">
        <v>45837</v>
      </c>
      <c r="C499" t="s">
        <v>171</v>
      </c>
      <c r="D499" t="s">
        <v>172</v>
      </c>
      <c r="E499" t="s">
        <v>45</v>
      </c>
      <c r="F499" t="s">
        <v>46</v>
      </c>
      <c r="G499" t="s">
        <v>47</v>
      </c>
      <c r="H499" t="s">
        <v>48</v>
      </c>
      <c r="I499" t="s">
        <v>49</v>
      </c>
      <c r="J499">
        <v>1</v>
      </c>
      <c r="K499">
        <v>1600</v>
      </c>
      <c r="L499">
        <v>1600</v>
      </c>
    </row>
    <row r="500" spans="1:12" x14ac:dyDescent="0.3">
      <c r="A500">
        <v>10499</v>
      </c>
      <c r="B500" s="2">
        <v>45979</v>
      </c>
      <c r="C500" t="s">
        <v>67</v>
      </c>
      <c r="D500" t="s">
        <v>68</v>
      </c>
      <c r="E500" t="s">
        <v>69</v>
      </c>
      <c r="F500" t="s">
        <v>28</v>
      </c>
      <c r="G500" t="s">
        <v>144</v>
      </c>
      <c r="H500" t="s">
        <v>145</v>
      </c>
      <c r="I500" t="s">
        <v>37</v>
      </c>
      <c r="J500">
        <v>2</v>
      </c>
      <c r="K500">
        <v>65000</v>
      </c>
      <c r="L500">
        <v>130000</v>
      </c>
    </row>
    <row r="501" spans="1:12" x14ac:dyDescent="0.3">
      <c r="A501">
        <v>10500</v>
      </c>
      <c r="B501" s="2">
        <v>45691</v>
      </c>
      <c r="C501" t="s">
        <v>183</v>
      </c>
      <c r="D501" t="s">
        <v>184</v>
      </c>
      <c r="E501" t="s">
        <v>27</v>
      </c>
      <c r="F501" t="s">
        <v>28</v>
      </c>
      <c r="G501" t="s">
        <v>129</v>
      </c>
      <c r="H501" t="s">
        <v>130</v>
      </c>
      <c r="I501" t="s">
        <v>24</v>
      </c>
      <c r="J501">
        <v>2</v>
      </c>
      <c r="K501">
        <v>1400</v>
      </c>
      <c r="L501">
        <v>2800</v>
      </c>
    </row>
    <row r="502" spans="1:12" x14ac:dyDescent="0.3">
      <c r="A502">
        <v>10501</v>
      </c>
      <c r="B502" s="2">
        <v>45688</v>
      </c>
      <c r="C502" t="s">
        <v>91</v>
      </c>
      <c r="D502" t="s">
        <v>92</v>
      </c>
      <c r="E502" t="s">
        <v>40</v>
      </c>
      <c r="F502" t="s">
        <v>15</v>
      </c>
      <c r="G502" t="s">
        <v>75</v>
      </c>
      <c r="H502" t="s">
        <v>76</v>
      </c>
      <c r="I502" t="s">
        <v>49</v>
      </c>
      <c r="J502">
        <v>1</v>
      </c>
      <c r="K502">
        <v>3000</v>
      </c>
      <c r="L502">
        <v>3000</v>
      </c>
    </row>
    <row r="503" spans="1:12" x14ac:dyDescent="0.3">
      <c r="A503">
        <v>10502</v>
      </c>
      <c r="B503" s="2">
        <v>45696</v>
      </c>
      <c r="C503" t="s">
        <v>218</v>
      </c>
      <c r="D503" t="s">
        <v>219</v>
      </c>
      <c r="E503" t="s">
        <v>160</v>
      </c>
      <c r="F503" t="s">
        <v>34</v>
      </c>
      <c r="G503" t="s">
        <v>96</v>
      </c>
      <c r="H503" t="s">
        <v>97</v>
      </c>
      <c r="I503" t="s">
        <v>37</v>
      </c>
      <c r="J503">
        <v>2</v>
      </c>
      <c r="K503">
        <v>18000</v>
      </c>
      <c r="L503">
        <v>36000</v>
      </c>
    </row>
    <row r="504" spans="1:12" x14ac:dyDescent="0.3">
      <c r="A504">
        <v>10503</v>
      </c>
      <c r="B504" s="2">
        <v>45775</v>
      </c>
      <c r="C504" t="s">
        <v>158</v>
      </c>
      <c r="D504" t="s">
        <v>159</v>
      </c>
      <c r="E504" t="s">
        <v>160</v>
      </c>
      <c r="F504" t="s">
        <v>34</v>
      </c>
      <c r="G504" t="s">
        <v>16</v>
      </c>
      <c r="H504" t="s">
        <v>17</v>
      </c>
      <c r="I504" t="s">
        <v>18</v>
      </c>
      <c r="J504">
        <v>1</v>
      </c>
      <c r="K504">
        <v>11000</v>
      </c>
      <c r="L504">
        <v>11000</v>
      </c>
    </row>
    <row r="505" spans="1:12" x14ac:dyDescent="0.3">
      <c r="A505">
        <v>10504</v>
      </c>
      <c r="B505" s="2">
        <v>45885</v>
      </c>
      <c r="C505" t="s">
        <v>206</v>
      </c>
      <c r="D505" t="s">
        <v>207</v>
      </c>
      <c r="E505" t="s">
        <v>160</v>
      </c>
      <c r="F505" t="s">
        <v>34</v>
      </c>
      <c r="G505" t="s">
        <v>29</v>
      </c>
      <c r="H505" t="s">
        <v>30</v>
      </c>
      <c r="I505" t="s">
        <v>18</v>
      </c>
      <c r="J505">
        <v>2</v>
      </c>
      <c r="K505">
        <v>15000</v>
      </c>
      <c r="L505">
        <v>30000</v>
      </c>
    </row>
    <row r="506" spans="1:12" x14ac:dyDescent="0.3">
      <c r="A506">
        <v>10505</v>
      </c>
      <c r="B506" s="2">
        <v>45926</v>
      </c>
      <c r="C506" t="s">
        <v>67</v>
      </c>
      <c r="D506" t="s">
        <v>68</v>
      </c>
      <c r="E506" t="s">
        <v>69</v>
      </c>
      <c r="F506" t="s">
        <v>28</v>
      </c>
      <c r="G506" t="s">
        <v>41</v>
      </c>
      <c r="H506" t="s">
        <v>42</v>
      </c>
      <c r="I506" t="s">
        <v>37</v>
      </c>
      <c r="J506">
        <v>1</v>
      </c>
      <c r="K506">
        <v>30000</v>
      </c>
      <c r="L506">
        <v>30000</v>
      </c>
    </row>
    <row r="507" spans="1:12" x14ac:dyDescent="0.3">
      <c r="A507">
        <v>10506</v>
      </c>
      <c r="B507" s="2">
        <v>45894</v>
      </c>
      <c r="C507" t="s">
        <v>117</v>
      </c>
      <c r="D507" t="s">
        <v>118</v>
      </c>
      <c r="E507" t="s">
        <v>95</v>
      </c>
      <c r="F507" t="s">
        <v>15</v>
      </c>
      <c r="G507" t="s">
        <v>125</v>
      </c>
      <c r="H507" t="s">
        <v>126</v>
      </c>
      <c r="I507" t="s">
        <v>37</v>
      </c>
      <c r="J507">
        <v>1</v>
      </c>
      <c r="K507">
        <v>22000</v>
      </c>
      <c r="L507">
        <v>22000</v>
      </c>
    </row>
    <row r="508" spans="1:12" x14ac:dyDescent="0.3">
      <c r="A508">
        <v>10507</v>
      </c>
      <c r="B508" s="2">
        <v>45828</v>
      </c>
      <c r="C508" t="s">
        <v>105</v>
      </c>
      <c r="D508" t="s">
        <v>106</v>
      </c>
      <c r="E508" t="s">
        <v>45</v>
      </c>
      <c r="F508" t="s">
        <v>46</v>
      </c>
      <c r="G508" t="s">
        <v>56</v>
      </c>
      <c r="H508" t="s">
        <v>57</v>
      </c>
      <c r="I508" t="s">
        <v>18</v>
      </c>
      <c r="J508">
        <v>2</v>
      </c>
      <c r="K508">
        <v>9000</v>
      </c>
      <c r="L508">
        <v>18000</v>
      </c>
    </row>
    <row r="509" spans="1:12" x14ac:dyDescent="0.3">
      <c r="A509">
        <v>10508</v>
      </c>
      <c r="B509" s="2">
        <v>45851</v>
      </c>
      <c r="C509" t="s">
        <v>193</v>
      </c>
      <c r="D509" t="s">
        <v>194</v>
      </c>
      <c r="E509" t="s">
        <v>102</v>
      </c>
      <c r="F509" t="s">
        <v>34</v>
      </c>
      <c r="G509" t="s">
        <v>16</v>
      </c>
      <c r="H509" t="s">
        <v>17</v>
      </c>
      <c r="I509" t="s">
        <v>18</v>
      </c>
      <c r="J509">
        <v>1</v>
      </c>
      <c r="K509">
        <v>11000</v>
      </c>
      <c r="L509">
        <v>11000</v>
      </c>
    </row>
    <row r="510" spans="1:12" x14ac:dyDescent="0.3">
      <c r="A510">
        <v>10509</v>
      </c>
      <c r="B510" s="2">
        <v>45881</v>
      </c>
      <c r="C510" t="s">
        <v>91</v>
      </c>
      <c r="D510" t="s">
        <v>92</v>
      </c>
      <c r="E510" t="s">
        <v>40</v>
      </c>
      <c r="F510" t="s">
        <v>15</v>
      </c>
      <c r="G510" t="s">
        <v>177</v>
      </c>
      <c r="H510" t="s">
        <v>178</v>
      </c>
      <c r="I510" t="s">
        <v>37</v>
      </c>
      <c r="J510">
        <v>2</v>
      </c>
      <c r="K510">
        <v>2500</v>
      </c>
      <c r="L510">
        <v>5000</v>
      </c>
    </row>
    <row r="511" spans="1:12" x14ac:dyDescent="0.3">
      <c r="A511">
        <v>10510</v>
      </c>
      <c r="B511" s="2">
        <v>45750</v>
      </c>
      <c r="C511" t="s">
        <v>80</v>
      </c>
      <c r="D511" t="s">
        <v>81</v>
      </c>
      <c r="E511" t="s">
        <v>79</v>
      </c>
      <c r="F511" t="s">
        <v>34</v>
      </c>
      <c r="G511" t="s">
        <v>121</v>
      </c>
      <c r="H511" t="s">
        <v>122</v>
      </c>
      <c r="I511" t="s">
        <v>49</v>
      </c>
      <c r="J511">
        <v>2</v>
      </c>
      <c r="K511">
        <v>4800</v>
      </c>
      <c r="L511">
        <v>9600</v>
      </c>
    </row>
    <row r="512" spans="1:12" x14ac:dyDescent="0.3">
      <c r="A512">
        <v>10511</v>
      </c>
      <c r="B512" s="2">
        <v>45696</v>
      </c>
      <c r="C512" t="s">
        <v>50</v>
      </c>
      <c r="D512" t="s">
        <v>51</v>
      </c>
      <c r="E512" t="s">
        <v>14</v>
      </c>
      <c r="F512" t="s">
        <v>15</v>
      </c>
      <c r="G512" t="s">
        <v>163</v>
      </c>
      <c r="H512" t="s">
        <v>164</v>
      </c>
      <c r="I512" t="s">
        <v>49</v>
      </c>
      <c r="J512">
        <v>5</v>
      </c>
      <c r="K512">
        <v>4200</v>
      </c>
      <c r="L512">
        <v>21000</v>
      </c>
    </row>
    <row r="513" spans="1:12" x14ac:dyDescent="0.3">
      <c r="A513">
        <v>10512</v>
      </c>
      <c r="B513" s="2">
        <v>45767</v>
      </c>
      <c r="C513" t="s">
        <v>189</v>
      </c>
      <c r="D513" t="s">
        <v>190</v>
      </c>
      <c r="E513" t="s">
        <v>160</v>
      </c>
      <c r="F513" t="s">
        <v>34</v>
      </c>
      <c r="G513" t="s">
        <v>109</v>
      </c>
      <c r="H513" t="s">
        <v>110</v>
      </c>
      <c r="I513" t="s">
        <v>18</v>
      </c>
      <c r="J513">
        <v>1</v>
      </c>
      <c r="K513">
        <v>5000</v>
      </c>
      <c r="L513">
        <v>5000</v>
      </c>
    </row>
    <row r="514" spans="1:12" x14ac:dyDescent="0.3">
      <c r="A514">
        <v>10513</v>
      </c>
      <c r="B514" s="2">
        <v>45768</v>
      </c>
      <c r="C514" t="s">
        <v>135</v>
      </c>
      <c r="D514" t="s">
        <v>136</v>
      </c>
      <c r="E514" t="s">
        <v>137</v>
      </c>
      <c r="F514" t="s">
        <v>46</v>
      </c>
      <c r="G514" t="s">
        <v>179</v>
      </c>
      <c r="H514" t="s">
        <v>180</v>
      </c>
      <c r="I514" t="s">
        <v>18</v>
      </c>
      <c r="J514">
        <v>1</v>
      </c>
      <c r="K514">
        <v>6500</v>
      </c>
      <c r="L514">
        <v>6500</v>
      </c>
    </row>
    <row r="515" spans="1:12" x14ac:dyDescent="0.3">
      <c r="A515">
        <v>10514</v>
      </c>
      <c r="B515" s="2">
        <v>45957</v>
      </c>
      <c r="C515" t="s">
        <v>161</v>
      </c>
      <c r="D515" t="s">
        <v>162</v>
      </c>
      <c r="E515" t="s">
        <v>33</v>
      </c>
      <c r="F515" t="s">
        <v>34</v>
      </c>
      <c r="G515" t="s">
        <v>144</v>
      </c>
      <c r="H515" t="s">
        <v>145</v>
      </c>
      <c r="I515" t="s">
        <v>37</v>
      </c>
      <c r="J515">
        <v>2</v>
      </c>
      <c r="K515">
        <v>65000</v>
      </c>
      <c r="L515">
        <v>130000</v>
      </c>
    </row>
    <row r="516" spans="1:12" x14ac:dyDescent="0.3">
      <c r="A516">
        <v>10515</v>
      </c>
      <c r="B516" s="2">
        <v>45988</v>
      </c>
      <c r="C516" t="s">
        <v>133</v>
      </c>
      <c r="D516" t="s">
        <v>134</v>
      </c>
      <c r="E516" t="s">
        <v>33</v>
      </c>
      <c r="F516" t="s">
        <v>34</v>
      </c>
      <c r="G516" t="s">
        <v>152</v>
      </c>
      <c r="H516" t="s">
        <v>153</v>
      </c>
      <c r="I516" t="s">
        <v>49</v>
      </c>
      <c r="J516">
        <v>2</v>
      </c>
      <c r="K516">
        <v>3200</v>
      </c>
      <c r="L516">
        <v>6400</v>
      </c>
    </row>
    <row r="517" spans="1:12" x14ac:dyDescent="0.3">
      <c r="A517">
        <v>10516</v>
      </c>
      <c r="B517" s="2">
        <v>45994</v>
      </c>
      <c r="C517" t="s">
        <v>82</v>
      </c>
      <c r="D517" t="s">
        <v>83</v>
      </c>
      <c r="E517" t="s">
        <v>84</v>
      </c>
      <c r="F517" t="s">
        <v>46</v>
      </c>
      <c r="G517" t="s">
        <v>152</v>
      </c>
      <c r="H517" t="s">
        <v>153</v>
      </c>
      <c r="I517" t="s">
        <v>49</v>
      </c>
      <c r="J517">
        <v>1</v>
      </c>
      <c r="K517">
        <v>3200</v>
      </c>
      <c r="L517">
        <v>3200</v>
      </c>
    </row>
    <row r="518" spans="1:12" x14ac:dyDescent="0.3">
      <c r="A518">
        <v>10517</v>
      </c>
      <c r="B518" s="2">
        <v>45699</v>
      </c>
      <c r="C518" t="s">
        <v>242</v>
      </c>
      <c r="D518" t="s">
        <v>243</v>
      </c>
      <c r="E518" t="s">
        <v>40</v>
      </c>
      <c r="F518" t="s">
        <v>15</v>
      </c>
      <c r="G518" t="s">
        <v>140</v>
      </c>
      <c r="H518" t="s">
        <v>141</v>
      </c>
      <c r="I518" t="s">
        <v>18</v>
      </c>
      <c r="J518">
        <v>4</v>
      </c>
      <c r="K518">
        <v>3000</v>
      </c>
      <c r="L518">
        <v>12000</v>
      </c>
    </row>
    <row r="519" spans="1:12" x14ac:dyDescent="0.3">
      <c r="A519">
        <v>10518</v>
      </c>
      <c r="B519" s="2">
        <v>45798</v>
      </c>
      <c r="C519" t="s">
        <v>191</v>
      </c>
      <c r="D519" t="s">
        <v>192</v>
      </c>
      <c r="E519" t="s">
        <v>27</v>
      </c>
      <c r="F519" t="s">
        <v>28</v>
      </c>
      <c r="G519" t="s">
        <v>144</v>
      </c>
      <c r="H519" t="s">
        <v>145</v>
      </c>
      <c r="I519" t="s">
        <v>37</v>
      </c>
      <c r="J519">
        <v>1</v>
      </c>
      <c r="K519">
        <v>65000</v>
      </c>
      <c r="L519">
        <v>65000</v>
      </c>
    </row>
    <row r="520" spans="1:12" x14ac:dyDescent="0.3">
      <c r="A520">
        <v>10519</v>
      </c>
      <c r="B520" s="2">
        <v>45942</v>
      </c>
      <c r="C520" t="s">
        <v>214</v>
      </c>
      <c r="D520" t="s">
        <v>215</v>
      </c>
      <c r="E520" t="s">
        <v>137</v>
      </c>
      <c r="F520" t="s">
        <v>46</v>
      </c>
      <c r="G520" t="s">
        <v>103</v>
      </c>
      <c r="H520" t="s">
        <v>104</v>
      </c>
      <c r="I520" t="s">
        <v>37</v>
      </c>
      <c r="J520">
        <v>1</v>
      </c>
      <c r="K520">
        <v>28000</v>
      </c>
      <c r="L520">
        <v>28000</v>
      </c>
    </row>
    <row r="521" spans="1:12" x14ac:dyDescent="0.3">
      <c r="A521">
        <v>10520</v>
      </c>
      <c r="B521" s="2">
        <v>45933</v>
      </c>
      <c r="C521" t="s">
        <v>72</v>
      </c>
      <c r="D521" t="s">
        <v>73</v>
      </c>
      <c r="E521" t="s">
        <v>74</v>
      </c>
      <c r="F521" t="s">
        <v>28</v>
      </c>
      <c r="G521" t="s">
        <v>29</v>
      </c>
      <c r="H521" t="s">
        <v>30</v>
      </c>
      <c r="I521" t="s">
        <v>18</v>
      </c>
      <c r="J521">
        <v>1</v>
      </c>
      <c r="K521">
        <v>15000</v>
      </c>
      <c r="L521">
        <v>15000</v>
      </c>
    </row>
    <row r="522" spans="1:12" x14ac:dyDescent="0.3">
      <c r="A522">
        <v>10521</v>
      </c>
      <c r="B522" s="2">
        <v>45797</v>
      </c>
      <c r="C522" t="s">
        <v>222</v>
      </c>
      <c r="D522" t="s">
        <v>223</v>
      </c>
      <c r="E522" t="s">
        <v>21</v>
      </c>
      <c r="F522" t="s">
        <v>15</v>
      </c>
      <c r="G522" t="s">
        <v>167</v>
      </c>
      <c r="H522" t="s">
        <v>168</v>
      </c>
      <c r="I522" t="s">
        <v>49</v>
      </c>
      <c r="J522">
        <v>1</v>
      </c>
      <c r="K522">
        <v>3800</v>
      </c>
      <c r="L522">
        <v>3800</v>
      </c>
    </row>
    <row r="523" spans="1:12" x14ac:dyDescent="0.3">
      <c r="A523">
        <v>10522</v>
      </c>
      <c r="B523" s="2">
        <v>45776</v>
      </c>
      <c r="C523" t="s">
        <v>212</v>
      </c>
      <c r="D523" t="s">
        <v>213</v>
      </c>
      <c r="E523" t="s">
        <v>69</v>
      </c>
      <c r="F523" t="s">
        <v>28</v>
      </c>
      <c r="G523" t="s">
        <v>113</v>
      </c>
      <c r="H523" t="s">
        <v>114</v>
      </c>
      <c r="I523" t="s">
        <v>37</v>
      </c>
      <c r="J523">
        <v>2</v>
      </c>
      <c r="K523">
        <v>52000</v>
      </c>
      <c r="L523">
        <v>104000</v>
      </c>
    </row>
    <row r="524" spans="1:12" x14ac:dyDescent="0.3">
      <c r="A524">
        <v>10523</v>
      </c>
      <c r="B524" s="2">
        <v>45876</v>
      </c>
      <c r="C524" t="s">
        <v>135</v>
      </c>
      <c r="D524" t="s">
        <v>136</v>
      </c>
      <c r="E524" t="s">
        <v>137</v>
      </c>
      <c r="F524" t="s">
        <v>46</v>
      </c>
      <c r="G524" t="s">
        <v>113</v>
      </c>
      <c r="H524" t="s">
        <v>114</v>
      </c>
      <c r="I524" t="s">
        <v>37</v>
      </c>
      <c r="J524">
        <v>2</v>
      </c>
      <c r="K524">
        <v>52000</v>
      </c>
      <c r="L524">
        <v>104000</v>
      </c>
    </row>
    <row r="525" spans="1:12" x14ac:dyDescent="0.3">
      <c r="A525">
        <v>10524</v>
      </c>
      <c r="B525" s="2">
        <v>45711</v>
      </c>
      <c r="C525" t="s">
        <v>181</v>
      </c>
      <c r="D525" t="s">
        <v>182</v>
      </c>
      <c r="E525" t="s">
        <v>21</v>
      </c>
      <c r="F525" t="s">
        <v>15</v>
      </c>
      <c r="G525" t="s">
        <v>129</v>
      </c>
      <c r="H525" t="s">
        <v>130</v>
      </c>
      <c r="I525" t="s">
        <v>24</v>
      </c>
      <c r="J525">
        <v>4</v>
      </c>
      <c r="K525">
        <v>1400</v>
      </c>
      <c r="L525">
        <v>5600</v>
      </c>
    </row>
    <row r="526" spans="1:12" x14ac:dyDescent="0.3">
      <c r="A526">
        <v>10525</v>
      </c>
      <c r="B526" s="2">
        <v>45842</v>
      </c>
      <c r="C526" t="s">
        <v>154</v>
      </c>
      <c r="D526" t="s">
        <v>155</v>
      </c>
      <c r="E526" t="s">
        <v>74</v>
      </c>
      <c r="F526" t="s">
        <v>28</v>
      </c>
      <c r="G526" t="s">
        <v>29</v>
      </c>
      <c r="H526" t="s">
        <v>30</v>
      </c>
      <c r="I526" t="s">
        <v>18</v>
      </c>
      <c r="J526">
        <v>4</v>
      </c>
      <c r="K526">
        <v>15000</v>
      </c>
      <c r="L526">
        <v>60000</v>
      </c>
    </row>
    <row r="527" spans="1:12" x14ac:dyDescent="0.3">
      <c r="A527">
        <v>10526</v>
      </c>
      <c r="B527" s="2">
        <v>45714</v>
      </c>
      <c r="C527" t="s">
        <v>197</v>
      </c>
      <c r="D527" t="s">
        <v>198</v>
      </c>
      <c r="E527" t="s">
        <v>95</v>
      </c>
      <c r="F527" t="s">
        <v>15</v>
      </c>
      <c r="G527" t="s">
        <v>52</v>
      </c>
      <c r="H527" t="s">
        <v>53</v>
      </c>
      <c r="I527" t="s">
        <v>24</v>
      </c>
      <c r="J527">
        <v>1</v>
      </c>
      <c r="K527">
        <v>3500</v>
      </c>
      <c r="L527">
        <v>3500</v>
      </c>
    </row>
    <row r="528" spans="1:12" x14ac:dyDescent="0.3">
      <c r="A528">
        <v>10527</v>
      </c>
      <c r="B528" s="2">
        <v>45837</v>
      </c>
      <c r="C528" t="s">
        <v>197</v>
      </c>
      <c r="D528" t="s">
        <v>198</v>
      </c>
      <c r="E528" t="s">
        <v>95</v>
      </c>
      <c r="F528" t="s">
        <v>15</v>
      </c>
      <c r="G528" t="s">
        <v>129</v>
      </c>
      <c r="H528" t="s">
        <v>130</v>
      </c>
      <c r="I528" t="s">
        <v>24</v>
      </c>
      <c r="J528">
        <v>1</v>
      </c>
      <c r="K528">
        <v>1400</v>
      </c>
      <c r="L528">
        <v>1400</v>
      </c>
    </row>
    <row r="529" spans="1:12" x14ac:dyDescent="0.3">
      <c r="A529">
        <v>10528</v>
      </c>
      <c r="B529" s="2">
        <v>45732</v>
      </c>
      <c r="C529" t="s">
        <v>208</v>
      </c>
      <c r="D529" t="s">
        <v>209</v>
      </c>
      <c r="E529" t="s">
        <v>95</v>
      </c>
      <c r="F529" t="s">
        <v>15</v>
      </c>
      <c r="G529" t="s">
        <v>187</v>
      </c>
      <c r="H529" t="s">
        <v>188</v>
      </c>
      <c r="I529" t="s">
        <v>24</v>
      </c>
      <c r="J529">
        <v>4</v>
      </c>
      <c r="K529">
        <v>5500</v>
      </c>
      <c r="L529">
        <v>22000</v>
      </c>
    </row>
    <row r="530" spans="1:12" x14ac:dyDescent="0.3">
      <c r="A530">
        <v>10529</v>
      </c>
      <c r="B530" s="2">
        <v>45809</v>
      </c>
      <c r="C530" t="s">
        <v>38</v>
      </c>
      <c r="D530" t="s">
        <v>39</v>
      </c>
      <c r="E530" t="s">
        <v>40</v>
      </c>
      <c r="F530" t="s">
        <v>15</v>
      </c>
      <c r="G530" t="s">
        <v>70</v>
      </c>
      <c r="H530" t="s">
        <v>71</v>
      </c>
      <c r="I530" t="s">
        <v>37</v>
      </c>
      <c r="J530">
        <v>1</v>
      </c>
      <c r="K530">
        <v>2200</v>
      </c>
      <c r="L530">
        <v>2200</v>
      </c>
    </row>
    <row r="531" spans="1:12" x14ac:dyDescent="0.3">
      <c r="A531">
        <v>10530</v>
      </c>
      <c r="B531" s="2">
        <v>45664</v>
      </c>
      <c r="C531" t="s">
        <v>230</v>
      </c>
      <c r="D531" t="s">
        <v>231</v>
      </c>
      <c r="E531" t="s">
        <v>84</v>
      </c>
      <c r="F531" t="s">
        <v>46</v>
      </c>
      <c r="G531" t="s">
        <v>52</v>
      </c>
      <c r="H531" t="s">
        <v>53</v>
      </c>
      <c r="I531" t="s">
        <v>24</v>
      </c>
      <c r="J531">
        <v>1</v>
      </c>
      <c r="K531">
        <v>3500</v>
      </c>
      <c r="L531">
        <v>3500</v>
      </c>
    </row>
    <row r="532" spans="1:12" x14ac:dyDescent="0.3">
      <c r="A532">
        <v>10531</v>
      </c>
      <c r="B532" s="2">
        <v>45723</v>
      </c>
      <c r="C532" t="s">
        <v>183</v>
      </c>
      <c r="D532" t="s">
        <v>184</v>
      </c>
      <c r="E532" t="s">
        <v>27</v>
      </c>
      <c r="F532" t="s">
        <v>28</v>
      </c>
      <c r="G532" t="s">
        <v>60</v>
      </c>
      <c r="H532" t="s">
        <v>61</v>
      </c>
      <c r="I532" t="s">
        <v>18</v>
      </c>
      <c r="J532">
        <v>2</v>
      </c>
      <c r="K532">
        <v>2200</v>
      </c>
      <c r="L532">
        <v>4400</v>
      </c>
    </row>
    <row r="533" spans="1:12" x14ac:dyDescent="0.3">
      <c r="A533">
        <v>10532</v>
      </c>
      <c r="B533" s="2">
        <v>45738</v>
      </c>
      <c r="C533" t="s">
        <v>50</v>
      </c>
      <c r="D533" t="s">
        <v>51</v>
      </c>
      <c r="E533" t="s">
        <v>14</v>
      </c>
      <c r="F533" t="s">
        <v>15</v>
      </c>
      <c r="G533" t="s">
        <v>60</v>
      </c>
      <c r="H533" t="s">
        <v>61</v>
      </c>
      <c r="I533" t="s">
        <v>18</v>
      </c>
      <c r="J533">
        <v>2</v>
      </c>
      <c r="K533">
        <v>2200</v>
      </c>
      <c r="L533">
        <v>4400</v>
      </c>
    </row>
    <row r="534" spans="1:12" x14ac:dyDescent="0.3">
      <c r="A534">
        <v>10533</v>
      </c>
      <c r="B534" s="2">
        <v>45972</v>
      </c>
      <c r="C534" t="s">
        <v>105</v>
      </c>
      <c r="D534" t="s">
        <v>106</v>
      </c>
      <c r="E534" t="s">
        <v>45</v>
      </c>
      <c r="F534" t="s">
        <v>46</v>
      </c>
      <c r="G534" t="s">
        <v>89</v>
      </c>
      <c r="H534" t="s">
        <v>90</v>
      </c>
      <c r="I534" t="s">
        <v>18</v>
      </c>
      <c r="J534">
        <v>3</v>
      </c>
      <c r="K534">
        <v>4200</v>
      </c>
      <c r="L534">
        <v>12600</v>
      </c>
    </row>
    <row r="535" spans="1:12" x14ac:dyDescent="0.3">
      <c r="A535">
        <v>10534</v>
      </c>
      <c r="B535" s="2">
        <v>45906</v>
      </c>
      <c r="C535" t="s">
        <v>214</v>
      </c>
      <c r="D535" t="s">
        <v>215</v>
      </c>
      <c r="E535" t="s">
        <v>137</v>
      </c>
      <c r="F535" t="s">
        <v>46</v>
      </c>
      <c r="G535" t="s">
        <v>113</v>
      </c>
      <c r="H535" t="s">
        <v>114</v>
      </c>
      <c r="I535" t="s">
        <v>37</v>
      </c>
      <c r="J535">
        <v>1</v>
      </c>
      <c r="K535">
        <v>52000</v>
      </c>
      <c r="L535">
        <v>52000</v>
      </c>
    </row>
    <row r="536" spans="1:12" x14ac:dyDescent="0.3">
      <c r="A536">
        <v>10535</v>
      </c>
      <c r="B536" s="2">
        <v>45950</v>
      </c>
      <c r="C536" t="s">
        <v>91</v>
      </c>
      <c r="D536" t="s">
        <v>92</v>
      </c>
      <c r="E536" t="s">
        <v>40</v>
      </c>
      <c r="F536" t="s">
        <v>15</v>
      </c>
      <c r="G536" t="s">
        <v>56</v>
      </c>
      <c r="H536" t="s">
        <v>57</v>
      </c>
      <c r="I536" t="s">
        <v>18</v>
      </c>
      <c r="J536">
        <v>2</v>
      </c>
      <c r="K536">
        <v>9000</v>
      </c>
      <c r="L536">
        <v>18000</v>
      </c>
    </row>
    <row r="537" spans="1:12" x14ac:dyDescent="0.3">
      <c r="A537">
        <v>10536</v>
      </c>
      <c r="B537" s="2">
        <v>45719</v>
      </c>
      <c r="C537" t="s">
        <v>19</v>
      </c>
      <c r="D537" t="s">
        <v>20</v>
      </c>
      <c r="E537" t="s">
        <v>21</v>
      </c>
      <c r="F537" t="s">
        <v>15</v>
      </c>
      <c r="G537" t="s">
        <v>163</v>
      </c>
      <c r="H537" t="s">
        <v>164</v>
      </c>
      <c r="I537" t="s">
        <v>49</v>
      </c>
      <c r="J537">
        <v>1</v>
      </c>
      <c r="K537">
        <v>4200</v>
      </c>
      <c r="L537">
        <v>4200</v>
      </c>
    </row>
    <row r="538" spans="1:12" x14ac:dyDescent="0.3">
      <c r="A538">
        <v>10537</v>
      </c>
      <c r="B538" s="2">
        <v>45989</v>
      </c>
      <c r="C538" t="s">
        <v>87</v>
      </c>
      <c r="D538" t="s">
        <v>88</v>
      </c>
      <c r="E538" t="s">
        <v>64</v>
      </c>
      <c r="F538" t="s">
        <v>46</v>
      </c>
      <c r="G538" t="s">
        <v>167</v>
      </c>
      <c r="H538" t="s">
        <v>168</v>
      </c>
      <c r="I538" t="s">
        <v>49</v>
      </c>
      <c r="J538">
        <v>1</v>
      </c>
      <c r="K538">
        <v>3800</v>
      </c>
      <c r="L538">
        <v>3800</v>
      </c>
    </row>
    <row r="539" spans="1:12" x14ac:dyDescent="0.3">
      <c r="A539">
        <v>10538</v>
      </c>
      <c r="B539" s="2">
        <v>45663</v>
      </c>
      <c r="C539" t="s">
        <v>91</v>
      </c>
      <c r="D539" t="s">
        <v>92</v>
      </c>
      <c r="E539" t="s">
        <v>40</v>
      </c>
      <c r="F539" t="s">
        <v>15</v>
      </c>
      <c r="G539" t="s">
        <v>179</v>
      </c>
      <c r="H539" t="s">
        <v>180</v>
      </c>
      <c r="I539" t="s">
        <v>18</v>
      </c>
      <c r="J539">
        <v>2</v>
      </c>
      <c r="K539">
        <v>6500</v>
      </c>
      <c r="L539">
        <v>13000</v>
      </c>
    </row>
    <row r="540" spans="1:12" x14ac:dyDescent="0.3">
      <c r="A540">
        <v>10539</v>
      </c>
      <c r="B540" s="2">
        <v>45986</v>
      </c>
      <c r="C540" t="s">
        <v>100</v>
      </c>
      <c r="D540" t="s">
        <v>101</v>
      </c>
      <c r="E540" t="s">
        <v>102</v>
      </c>
      <c r="F540" t="s">
        <v>34</v>
      </c>
      <c r="G540" t="s">
        <v>121</v>
      </c>
      <c r="H540" t="s">
        <v>122</v>
      </c>
      <c r="I540" t="s">
        <v>49</v>
      </c>
      <c r="J540">
        <v>2</v>
      </c>
      <c r="K540">
        <v>4800</v>
      </c>
      <c r="L540">
        <v>9600</v>
      </c>
    </row>
    <row r="541" spans="1:12" x14ac:dyDescent="0.3">
      <c r="A541">
        <v>10540</v>
      </c>
      <c r="B541" s="2">
        <v>45998</v>
      </c>
      <c r="C541" t="s">
        <v>105</v>
      </c>
      <c r="D541" t="s">
        <v>106</v>
      </c>
      <c r="E541" t="s">
        <v>45</v>
      </c>
      <c r="F541" t="s">
        <v>46</v>
      </c>
      <c r="G541" t="s">
        <v>65</v>
      </c>
      <c r="H541" t="s">
        <v>66</v>
      </c>
      <c r="I541" t="s">
        <v>49</v>
      </c>
      <c r="J541">
        <v>2</v>
      </c>
      <c r="K541">
        <v>2400</v>
      </c>
      <c r="L541">
        <v>4800</v>
      </c>
    </row>
    <row r="542" spans="1:12" x14ac:dyDescent="0.3">
      <c r="A542">
        <v>10541</v>
      </c>
      <c r="B542" s="2">
        <v>45985</v>
      </c>
      <c r="C542" t="s">
        <v>105</v>
      </c>
      <c r="D542" t="s">
        <v>106</v>
      </c>
      <c r="E542" t="s">
        <v>45</v>
      </c>
      <c r="F542" t="s">
        <v>46</v>
      </c>
      <c r="G542" t="s">
        <v>121</v>
      </c>
      <c r="H542" t="s">
        <v>122</v>
      </c>
      <c r="I542" t="s">
        <v>49</v>
      </c>
      <c r="J542">
        <v>1</v>
      </c>
      <c r="K542">
        <v>4800</v>
      </c>
      <c r="L542">
        <v>4800</v>
      </c>
    </row>
    <row r="543" spans="1:12" x14ac:dyDescent="0.3">
      <c r="A543">
        <v>10542</v>
      </c>
      <c r="B543" s="2">
        <v>45910</v>
      </c>
      <c r="C543" t="s">
        <v>146</v>
      </c>
      <c r="D543" t="s">
        <v>147</v>
      </c>
      <c r="E543" t="s">
        <v>64</v>
      </c>
      <c r="F543" t="s">
        <v>46</v>
      </c>
      <c r="G543" t="s">
        <v>60</v>
      </c>
      <c r="H543" t="s">
        <v>61</v>
      </c>
      <c r="I543" t="s">
        <v>18</v>
      </c>
      <c r="J543">
        <v>1</v>
      </c>
      <c r="K543">
        <v>2200</v>
      </c>
      <c r="L543">
        <v>2200</v>
      </c>
    </row>
    <row r="544" spans="1:12" x14ac:dyDescent="0.3">
      <c r="A544">
        <v>10543</v>
      </c>
      <c r="B544" s="2">
        <v>45753</v>
      </c>
      <c r="C544" t="s">
        <v>154</v>
      </c>
      <c r="D544" t="s">
        <v>155</v>
      </c>
      <c r="E544" t="s">
        <v>74</v>
      </c>
      <c r="F544" t="s">
        <v>28</v>
      </c>
      <c r="G544" t="s">
        <v>179</v>
      </c>
      <c r="H544" t="s">
        <v>180</v>
      </c>
      <c r="I544" t="s">
        <v>18</v>
      </c>
      <c r="J544">
        <v>1</v>
      </c>
      <c r="K544">
        <v>6500</v>
      </c>
      <c r="L544">
        <v>6500</v>
      </c>
    </row>
    <row r="545" spans="1:12" x14ac:dyDescent="0.3">
      <c r="A545">
        <v>10544</v>
      </c>
      <c r="B545" s="2">
        <v>45692</v>
      </c>
      <c r="C545" t="s">
        <v>93</v>
      </c>
      <c r="D545" t="s">
        <v>94</v>
      </c>
      <c r="E545" t="s">
        <v>95</v>
      </c>
      <c r="F545" t="s">
        <v>15</v>
      </c>
      <c r="G545" t="s">
        <v>56</v>
      </c>
      <c r="H545" t="s">
        <v>57</v>
      </c>
      <c r="I545" t="s">
        <v>18</v>
      </c>
      <c r="J545">
        <v>1</v>
      </c>
      <c r="K545">
        <v>9000</v>
      </c>
      <c r="L545">
        <v>9000</v>
      </c>
    </row>
    <row r="546" spans="1:12" x14ac:dyDescent="0.3">
      <c r="A546">
        <v>10545</v>
      </c>
      <c r="B546" s="2">
        <v>45760</v>
      </c>
      <c r="C546" t="s">
        <v>169</v>
      </c>
      <c r="D546" t="s">
        <v>170</v>
      </c>
      <c r="E546" t="s">
        <v>64</v>
      </c>
      <c r="F546" t="s">
        <v>46</v>
      </c>
      <c r="G546" t="s">
        <v>187</v>
      </c>
      <c r="H546" t="s">
        <v>188</v>
      </c>
      <c r="I546" t="s">
        <v>24</v>
      </c>
      <c r="J546">
        <v>1</v>
      </c>
      <c r="K546">
        <v>5500</v>
      </c>
      <c r="L546">
        <v>5500</v>
      </c>
    </row>
    <row r="547" spans="1:12" x14ac:dyDescent="0.3">
      <c r="A547">
        <v>10546</v>
      </c>
      <c r="B547" s="2">
        <v>45729</v>
      </c>
      <c r="C547" t="s">
        <v>38</v>
      </c>
      <c r="D547" t="s">
        <v>39</v>
      </c>
      <c r="E547" t="s">
        <v>40</v>
      </c>
      <c r="F547" t="s">
        <v>15</v>
      </c>
      <c r="G547" t="s">
        <v>75</v>
      </c>
      <c r="H547" t="s">
        <v>76</v>
      </c>
      <c r="I547" t="s">
        <v>49</v>
      </c>
      <c r="J547">
        <v>1</v>
      </c>
      <c r="K547">
        <v>3000</v>
      </c>
      <c r="L547">
        <v>3000</v>
      </c>
    </row>
    <row r="548" spans="1:12" x14ac:dyDescent="0.3">
      <c r="A548">
        <v>10547</v>
      </c>
      <c r="B548" s="2">
        <v>45728</v>
      </c>
      <c r="C548" t="s">
        <v>127</v>
      </c>
      <c r="D548" t="s">
        <v>128</v>
      </c>
      <c r="E548" t="s">
        <v>102</v>
      </c>
      <c r="F548" t="s">
        <v>34</v>
      </c>
      <c r="G548" t="s">
        <v>109</v>
      </c>
      <c r="H548" t="s">
        <v>110</v>
      </c>
      <c r="I548" t="s">
        <v>18</v>
      </c>
      <c r="J548">
        <v>2</v>
      </c>
      <c r="K548">
        <v>5000</v>
      </c>
      <c r="L548">
        <v>10000</v>
      </c>
    </row>
    <row r="549" spans="1:12" x14ac:dyDescent="0.3">
      <c r="A549">
        <v>10548</v>
      </c>
      <c r="B549" s="2">
        <v>45832</v>
      </c>
      <c r="C549" t="s">
        <v>236</v>
      </c>
      <c r="D549" t="s">
        <v>237</v>
      </c>
      <c r="E549" t="s">
        <v>201</v>
      </c>
      <c r="F549" t="s">
        <v>28</v>
      </c>
      <c r="G549" t="s">
        <v>177</v>
      </c>
      <c r="H549" t="s">
        <v>178</v>
      </c>
      <c r="I549" t="s">
        <v>37</v>
      </c>
      <c r="J549">
        <v>1</v>
      </c>
      <c r="K549">
        <v>2500</v>
      </c>
      <c r="L549">
        <v>2500</v>
      </c>
    </row>
    <row r="550" spans="1:12" x14ac:dyDescent="0.3">
      <c r="A550">
        <v>10549</v>
      </c>
      <c r="B550" s="2">
        <v>45909</v>
      </c>
      <c r="C550" t="s">
        <v>208</v>
      </c>
      <c r="D550" t="s">
        <v>209</v>
      </c>
      <c r="E550" t="s">
        <v>95</v>
      </c>
      <c r="F550" t="s">
        <v>15</v>
      </c>
      <c r="G550" t="s">
        <v>16</v>
      </c>
      <c r="H550" t="s">
        <v>17</v>
      </c>
      <c r="I550" t="s">
        <v>18</v>
      </c>
      <c r="J550">
        <v>1</v>
      </c>
      <c r="K550">
        <v>11000</v>
      </c>
      <c r="L550">
        <v>11000</v>
      </c>
    </row>
    <row r="551" spans="1:12" x14ac:dyDescent="0.3">
      <c r="A551">
        <v>10550</v>
      </c>
      <c r="B551" s="2">
        <v>46013</v>
      </c>
      <c r="C551" t="s">
        <v>77</v>
      </c>
      <c r="D551" t="s">
        <v>78</v>
      </c>
      <c r="E551" t="s">
        <v>79</v>
      </c>
      <c r="F551" t="s">
        <v>34</v>
      </c>
      <c r="G551" t="s">
        <v>75</v>
      </c>
      <c r="H551" t="s">
        <v>76</v>
      </c>
      <c r="I551" t="s">
        <v>49</v>
      </c>
      <c r="J551">
        <v>1</v>
      </c>
      <c r="K551">
        <v>3000</v>
      </c>
      <c r="L551">
        <v>3000</v>
      </c>
    </row>
    <row r="552" spans="1:12" x14ac:dyDescent="0.3">
      <c r="A552">
        <v>10551</v>
      </c>
      <c r="B552" s="2">
        <v>45714</v>
      </c>
      <c r="C552" t="s">
        <v>85</v>
      </c>
      <c r="D552" t="s">
        <v>86</v>
      </c>
      <c r="E552" t="s">
        <v>45</v>
      </c>
      <c r="F552" t="s">
        <v>46</v>
      </c>
      <c r="G552" t="s">
        <v>41</v>
      </c>
      <c r="H552" t="s">
        <v>42</v>
      </c>
      <c r="I552" t="s">
        <v>37</v>
      </c>
      <c r="J552">
        <v>4</v>
      </c>
      <c r="K552">
        <v>30000</v>
      </c>
      <c r="L552">
        <v>120000</v>
      </c>
    </row>
    <row r="553" spans="1:12" x14ac:dyDescent="0.3">
      <c r="A553">
        <v>10552</v>
      </c>
      <c r="B553" s="2">
        <v>45952</v>
      </c>
      <c r="C553" t="s">
        <v>234</v>
      </c>
      <c r="D553" t="s">
        <v>235</v>
      </c>
      <c r="E553" t="s">
        <v>137</v>
      </c>
      <c r="F553" t="s">
        <v>46</v>
      </c>
      <c r="G553" t="s">
        <v>29</v>
      </c>
      <c r="H553" t="s">
        <v>30</v>
      </c>
      <c r="I553" t="s">
        <v>18</v>
      </c>
      <c r="J553">
        <v>1</v>
      </c>
      <c r="K553">
        <v>15000</v>
      </c>
      <c r="L553">
        <v>15000</v>
      </c>
    </row>
    <row r="554" spans="1:12" x14ac:dyDescent="0.3">
      <c r="A554">
        <v>10553</v>
      </c>
      <c r="B554" s="2">
        <v>45929</v>
      </c>
      <c r="C554" t="s">
        <v>204</v>
      </c>
      <c r="D554" t="s">
        <v>205</v>
      </c>
      <c r="E554" t="s">
        <v>201</v>
      </c>
      <c r="F554" t="s">
        <v>28</v>
      </c>
      <c r="G554" t="s">
        <v>121</v>
      </c>
      <c r="H554" t="s">
        <v>122</v>
      </c>
      <c r="I554" t="s">
        <v>49</v>
      </c>
      <c r="J554">
        <v>1</v>
      </c>
      <c r="K554">
        <v>4800</v>
      </c>
      <c r="L554">
        <v>4800</v>
      </c>
    </row>
    <row r="555" spans="1:12" x14ac:dyDescent="0.3">
      <c r="A555">
        <v>10554</v>
      </c>
      <c r="B555" s="2">
        <v>45801</v>
      </c>
      <c r="C555" t="s">
        <v>214</v>
      </c>
      <c r="D555" t="s">
        <v>215</v>
      </c>
      <c r="E555" t="s">
        <v>137</v>
      </c>
      <c r="F555" t="s">
        <v>46</v>
      </c>
      <c r="G555" t="s">
        <v>98</v>
      </c>
      <c r="H555" t="s">
        <v>99</v>
      </c>
      <c r="I555" t="s">
        <v>24</v>
      </c>
      <c r="J555">
        <v>1</v>
      </c>
      <c r="K555">
        <v>2000</v>
      </c>
      <c r="L555">
        <v>2000</v>
      </c>
    </row>
    <row r="556" spans="1:12" x14ac:dyDescent="0.3">
      <c r="A556">
        <v>10555</v>
      </c>
      <c r="B556" s="2">
        <v>45766</v>
      </c>
      <c r="C556" t="s">
        <v>138</v>
      </c>
      <c r="D556" t="s">
        <v>139</v>
      </c>
      <c r="E556" t="s">
        <v>79</v>
      </c>
      <c r="F556" t="s">
        <v>34</v>
      </c>
      <c r="G556" t="s">
        <v>121</v>
      </c>
      <c r="H556" t="s">
        <v>122</v>
      </c>
      <c r="I556" t="s">
        <v>49</v>
      </c>
      <c r="J556">
        <v>1</v>
      </c>
      <c r="K556">
        <v>4800</v>
      </c>
      <c r="L556">
        <v>4800</v>
      </c>
    </row>
    <row r="557" spans="1:12" x14ac:dyDescent="0.3">
      <c r="A557">
        <v>10556</v>
      </c>
      <c r="B557" s="2">
        <v>45764</v>
      </c>
      <c r="C557" t="s">
        <v>12</v>
      </c>
      <c r="D557" t="s">
        <v>13</v>
      </c>
      <c r="E557" t="s">
        <v>14</v>
      </c>
      <c r="F557" t="s">
        <v>15</v>
      </c>
      <c r="G557" t="s">
        <v>177</v>
      </c>
      <c r="H557" t="s">
        <v>178</v>
      </c>
      <c r="I557" t="s">
        <v>37</v>
      </c>
      <c r="J557">
        <v>1</v>
      </c>
      <c r="K557">
        <v>2500</v>
      </c>
      <c r="L557">
        <v>2500</v>
      </c>
    </row>
    <row r="558" spans="1:12" x14ac:dyDescent="0.3">
      <c r="A558">
        <v>10557</v>
      </c>
      <c r="B558" s="2">
        <v>45865</v>
      </c>
      <c r="C558" t="s">
        <v>91</v>
      </c>
      <c r="D558" t="s">
        <v>92</v>
      </c>
      <c r="E558" t="s">
        <v>40</v>
      </c>
      <c r="F558" t="s">
        <v>15</v>
      </c>
      <c r="G558" t="s">
        <v>103</v>
      </c>
      <c r="H558" t="s">
        <v>104</v>
      </c>
      <c r="I558" t="s">
        <v>37</v>
      </c>
      <c r="J558">
        <v>1</v>
      </c>
      <c r="K558">
        <v>28000</v>
      </c>
      <c r="L558">
        <v>28000</v>
      </c>
    </row>
    <row r="559" spans="1:12" x14ac:dyDescent="0.3">
      <c r="A559">
        <v>10558</v>
      </c>
      <c r="B559" s="2">
        <v>45814</v>
      </c>
      <c r="C559" t="s">
        <v>189</v>
      </c>
      <c r="D559" t="s">
        <v>190</v>
      </c>
      <c r="E559" t="s">
        <v>160</v>
      </c>
      <c r="F559" t="s">
        <v>34</v>
      </c>
      <c r="G559" t="s">
        <v>65</v>
      </c>
      <c r="H559" t="s">
        <v>66</v>
      </c>
      <c r="I559" t="s">
        <v>49</v>
      </c>
      <c r="J559">
        <v>1</v>
      </c>
      <c r="K559">
        <v>2400</v>
      </c>
      <c r="L559">
        <v>2400</v>
      </c>
    </row>
    <row r="560" spans="1:12" x14ac:dyDescent="0.3">
      <c r="A560">
        <v>10559</v>
      </c>
      <c r="B560" s="2">
        <v>45728</v>
      </c>
      <c r="C560" t="s">
        <v>181</v>
      </c>
      <c r="D560" t="s">
        <v>182</v>
      </c>
      <c r="E560" t="s">
        <v>21</v>
      </c>
      <c r="F560" t="s">
        <v>15</v>
      </c>
      <c r="G560" t="s">
        <v>89</v>
      </c>
      <c r="H560" t="s">
        <v>90</v>
      </c>
      <c r="I560" t="s">
        <v>18</v>
      </c>
      <c r="J560">
        <v>1</v>
      </c>
      <c r="K560">
        <v>4200</v>
      </c>
      <c r="L560">
        <v>4200</v>
      </c>
    </row>
    <row r="561" spans="1:12" x14ac:dyDescent="0.3">
      <c r="A561">
        <v>10560</v>
      </c>
      <c r="B561" s="2">
        <v>45847</v>
      </c>
      <c r="C561" t="s">
        <v>133</v>
      </c>
      <c r="D561" t="s">
        <v>134</v>
      </c>
      <c r="E561" t="s">
        <v>33</v>
      </c>
      <c r="F561" t="s">
        <v>34</v>
      </c>
      <c r="G561" t="s">
        <v>121</v>
      </c>
      <c r="H561" t="s">
        <v>122</v>
      </c>
      <c r="I561" t="s">
        <v>49</v>
      </c>
      <c r="J561">
        <v>1</v>
      </c>
      <c r="K561">
        <v>4800</v>
      </c>
      <c r="L561">
        <v>4800</v>
      </c>
    </row>
    <row r="562" spans="1:12" x14ac:dyDescent="0.3">
      <c r="A562">
        <v>10561</v>
      </c>
      <c r="B562" s="2">
        <v>45939</v>
      </c>
      <c r="C562" t="s">
        <v>193</v>
      </c>
      <c r="D562" t="s">
        <v>194</v>
      </c>
      <c r="E562" t="s">
        <v>102</v>
      </c>
      <c r="F562" t="s">
        <v>34</v>
      </c>
      <c r="G562" t="s">
        <v>163</v>
      </c>
      <c r="H562" t="s">
        <v>164</v>
      </c>
      <c r="I562" t="s">
        <v>49</v>
      </c>
      <c r="J562">
        <v>3</v>
      </c>
      <c r="K562">
        <v>4200</v>
      </c>
      <c r="L562">
        <v>12600</v>
      </c>
    </row>
    <row r="563" spans="1:12" x14ac:dyDescent="0.3">
      <c r="A563">
        <v>10562</v>
      </c>
      <c r="B563" s="2">
        <v>45746</v>
      </c>
      <c r="C563" t="s">
        <v>85</v>
      </c>
      <c r="D563" t="s">
        <v>86</v>
      </c>
      <c r="E563" t="s">
        <v>45</v>
      </c>
      <c r="F563" t="s">
        <v>46</v>
      </c>
      <c r="G563" t="s">
        <v>41</v>
      </c>
      <c r="H563" t="s">
        <v>42</v>
      </c>
      <c r="I563" t="s">
        <v>37</v>
      </c>
      <c r="J563">
        <v>2</v>
      </c>
      <c r="K563">
        <v>30000</v>
      </c>
      <c r="L563">
        <v>60000</v>
      </c>
    </row>
    <row r="564" spans="1:12" x14ac:dyDescent="0.3">
      <c r="A564">
        <v>10563</v>
      </c>
      <c r="B564" s="2">
        <v>45664</v>
      </c>
      <c r="C564" t="s">
        <v>244</v>
      </c>
      <c r="D564" t="s">
        <v>245</v>
      </c>
      <c r="E564" t="s">
        <v>45</v>
      </c>
      <c r="F564" t="s">
        <v>46</v>
      </c>
      <c r="G564" t="s">
        <v>22</v>
      </c>
      <c r="H564" t="s">
        <v>23</v>
      </c>
      <c r="I564" t="s">
        <v>24</v>
      </c>
      <c r="J564">
        <v>1</v>
      </c>
      <c r="K564">
        <v>2400</v>
      </c>
      <c r="L564">
        <v>2400</v>
      </c>
    </row>
    <row r="565" spans="1:12" x14ac:dyDescent="0.3">
      <c r="A565">
        <v>10564</v>
      </c>
      <c r="B565" s="2">
        <v>45870</v>
      </c>
      <c r="C565" t="s">
        <v>224</v>
      </c>
      <c r="D565" t="s">
        <v>225</v>
      </c>
      <c r="E565" t="s">
        <v>201</v>
      </c>
      <c r="F565" t="s">
        <v>28</v>
      </c>
      <c r="G565" t="s">
        <v>29</v>
      </c>
      <c r="H565" t="s">
        <v>30</v>
      </c>
      <c r="I565" t="s">
        <v>18</v>
      </c>
      <c r="J565">
        <v>1</v>
      </c>
      <c r="K565">
        <v>15000</v>
      </c>
      <c r="L565">
        <v>15000</v>
      </c>
    </row>
    <row r="566" spans="1:12" x14ac:dyDescent="0.3">
      <c r="A566">
        <v>10565</v>
      </c>
      <c r="B566" s="2">
        <v>45763</v>
      </c>
      <c r="C566" t="s">
        <v>91</v>
      </c>
      <c r="D566" t="s">
        <v>92</v>
      </c>
      <c r="E566" t="s">
        <v>40</v>
      </c>
      <c r="F566" t="s">
        <v>15</v>
      </c>
      <c r="G566" t="s">
        <v>131</v>
      </c>
      <c r="H566" t="s">
        <v>132</v>
      </c>
      <c r="I566" t="s">
        <v>37</v>
      </c>
      <c r="J566">
        <v>3</v>
      </c>
      <c r="K566">
        <v>4500</v>
      </c>
      <c r="L566">
        <v>13500</v>
      </c>
    </row>
    <row r="567" spans="1:12" x14ac:dyDescent="0.3">
      <c r="A567">
        <v>10566</v>
      </c>
      <c r="B567" s="2">
        <v>45758</v>
      </c>
      <c r="C567" t="s">
        <v>19</v>
      </c>
      <c r="D567" t="s">
        <v>20</v>
      </c>
      <c r="E567" t="s">
        <v>21</v>
      </c>
      <c r="F567" t="s">
        <v>15</v>
      </c>
      <c r="G567" t="s">
        <v>75</v>
      </c>
      <c r="H567" t="s">
        <v>76</v>
      </c>
      <c r="I567" t="s">
        <v>49</v>
      </c>
      <c r="J567">
        <v>1</v>
      </c>
      <c r="K567">
        <v>3000</v>
      </c>
      <c r="L567">
        <v>3000</v>
      </c>
    </row>
    <row r="568" spans="1:12" x14ac:dyDescent="0.3">
      <c r="A568">
        <v>10567</v>
      </c>
      <c r="B568" s="2">
        <v>45763</v>
      </c>
      <c r="C568" t="s">
        <v>58</v>
      </c>
      <c r="D568" t="s">
        <v>59</v>
      </c>
      <c r="E568" t="s">
        <v>21</v>
      </c>
      <c r="F568" t="s">
        <v>15</v>
      </c>
      <c r="G568" t="s">
        <v>163</v>
      </c>
      <c r="H568" t="s">
        <v>164</v>
      </c>
      <c r="I568" t="s">
        <v>49</v>
      </c>
      <c r="J568">
        <v>3</v>
      </c>
      <c r="K568">
        <v>4200</v>
      </c>
      <c r="L568">
        <v>12600</v>
      </c>
    </row>
    <row r="569" spans="1:12" x14ac:dyDescent="0.3">
      <c r="A569">
        <v>10568</v>
      </c>
      <c r="B569" s="2">
        <v>45973</v>
      </c>
      <c r="C569" t="s">
        <v>58</v>
      </c>
      <c r="D569" t="s">
        <v>59</v>
      </c>
      <c r="E569" t="s">
        <v>21</v>
      </c>
      <c r="F569" t="s">
        <v>15</v>
      </c>
      <c r="G569" t="s">
        <v>131</v>
      </c>
      <c r="H569" t="s">
        <v>132</v>
      </c>
      <c r="I569" t="s">
        <v>37</v>
      </c>
      <c r="J569">
        <v>4</v>
      </c>
      <c r="K569">
        <v>4500</v>
      </c>
      <c r="L569">
        <v>18000</v>
      </c>
    </row>
    <row r="570" spans="1:12" x14ac:dyDescent="0.3">
      <c r="A570">
        <v>10569</v>
      </c>
      <c r="B570" s="2">
        <v>45807</v>
      </c>
      <c r="C570" t="s">
        <v>161</v>
      </c>
      <c r="D570" t="s">
        <v>162</v>
      </c>
      <c r="E570" t="s">
        <v>33</v>
      </c>
      <c r="F570" t="s">
        <v>34</v>
      </c>
      <c r="G570" t="s">
        <v>96</v>
      </c>
      <c r="H570" t="s">
        <v>97</v>
      </c>
      <c r="I570" t="s">
        <v>37</v>
      </c>
      <c r="J570">
        <v>1</v>
      </c>
      <c r="K570">
        <v>18000</v>
      </c>
      <c r="L570">
        <v>18000</v>
      </c>
    </row>
    <row r="571" spans="1:12" x14ac:dyDescent="0.3">
      <c r="A571">
        <v>10570</v>
      </c>
      <c r="B571" s="2">
        <v>45853</v>
      </c>
      <c r="C571" t="s">
        <v>220</v>
      </c>
      <c r="D571" t="s">
        <v>221</v>
      </c>
      <c r="E571" t="s">
        <v>102</v>
      </c>
      <c r="F571" t="s">
        <v>34</v>
      </c>
      <c r="G571" t="s">
        <v>129</v>
      </c>
      <c r="H571" t="s">
        <v>130</v>
      </c>
      <c r="I571" t="s">
        <v>24</v>
      </c>
      <c r="J571">
        <v>1</v>
      </c>
      <c r="K571">
        <v>1400</v>
      </c>
      <c r="L571">
        <v>1400</v>
      </c>
    </row>
    <row r="572" spans="1:12" x14ac:dyDescent="0.3">
      <c r="A572">
        <v>10571</v>
      </c>
      <c r="B572" s="2">
        <v>45727</v>
      </c>
      <c r="C572" t="s">
        <v>67</v>
      </c>
      <c r="D572" t="s">
        <v>68</v>
      </c>
      <c r="E572" t="s">
        <v>69</v>
      </c>
      <c r="F572" t="s">
        <v>28</v>
      </c>
      <c r="G572" t="s">
        <v>89</v>
      </c>
      <c r="H572" t="s">
        <v>90</v>
      </c>
      <c r="I572" t="s">
        <v>18</v>
      </c>
      <c r="J572">
        <v>1</v>
      </c>
      <c r="K572">
        <v>4200</v>
      </c>
      <c r="L572">
        <v>4200</v>
      </c>
    </row>
    <row r="573" spans="1:12" x14ac:dyDescent="0.3">
      <c r="A573">
        <v>10572</v>
      </c>
      <c r="B573" s="2">
        <v>46021</v>
      </c>
      <c r="C573" t="s">
        <v>19</v>
      </c>
      <c r="D573" t="s">
        <v>20</v>
      </c>
      <c r="E573" t="s">
        <v>21</v>
      </c>
      <c r="F573" t="s">
        <v>15</v>
      </c>
      <c r="G573" t="s">
        <v>144</v>
      </c>
      <c r="H573" t="s">
        <v>145</v>
      </c>
      <c r="I573" t="s">
        <v>37</v>
      </c>
      <c r="J573">
        <v>1</v>
      </c>
      <c r="K573">
        <v>65000</v>
      </c>
      <c r="L573">
        <v>65000</v>
      </c>
    </row>
    <row r="574" spans="1:12" x14ac:dyDescent="0.3">
      <c r="A574">
        <v>10573</v>
      </c>
      <c r="B574" s="2">
        <v>45693</v>
      </c>
      <c r="C574" t="s">
        <v>133</v>
      </c>
      <c r="D574" t="s">
        <v>134</v>
      </c>
      <c r="E574" t="s">
        <v>33</v>
      </c>
      <c r="F574" t="s">
        <v>34</v>
      </c>
      <c r="G574" t="s">
        <v>70</v>
      </c>
      <c r="H574" t="s">
        <v>71</v>
      </c>
      <c r="I574" t="s">
        <v>37</v>
      </c>
      <c r="J574">
        <v>1</v>
      </c>
      <c r="K574">
        <v>2200</v>
      </c>
      <c r="L574">
        <v>2200</v>
      </c>
    </row>
    <row r="575" spans="1:12" x14ac:dyDescent="0.3">
      <c r="A575">
        <v>10574</v>
      </c>
      <c r="B575" s="2">
        <v>45856</v>
      </c>
      <c r="C575" t="s">
        <v>202</v>
      </c>
      <c r="D575" t="s">
        <v>203</v>
      </c>
      <c r="E575" t="s">
        <v>64</v>
      </c>
      <c r="F575" t="s">
        <v>46</v>
      </c>
      <c r="G575" t="s">
        <v>163</v>
      </c>
      <c r="H575" t="s">
        <v>164</v>
      </c>
      <c r="I575" t="s">
        <v>49</v>
      </c>
      <c r="J575">
        <v>1</v>
      </c>
      <c r="K575">
        <v>4200</v>
      </c>
      <c r="L575">
        <v>4200</v>
      </c>
    </row>
    <row r="576" spans="1:12" x14ac:dyDescent="0.3">
      <c r="A576">
        <v>10575</v>
      </c>
      <c r="B576" s="2">
        <v>45831</v>
      </c>
      <c r="C576" t="s">
        <v>105</v>
      </c>
      <c r="D576" t="s">
        <v>106</v>
      </c>
      <c r="E576" t="s">
        <v>45</v>
      </c>
      <c r="F576" t="s">
        <v>46</v>
      </c>
      <c r="G576" t="s">
        <v>152</v>
      </c>
      <c r="H576" t="s">
        <v>153</v>
      </c>
      <c r="I576" t="s">
        <v>49</v>
      </c>
      <c r="J576">
        <v>2</v>
      </c>
      <c r="K576">
        <v>3200</v>
      </c>
      <c r="L576">
        <v>6400</v>
      </c>
    </row>
    <row r="577" spans="1:12" x14ac:dyDescent="0.3">
      <c r="A577">
        <v>10576</v>
      </c>
      <c r="B577" s="2">
        <v>45971</v>
      </c>
      <c r="C577" t="s">
        <v>100</v>
      </c>
      <c r="D577" t="s">
        <v>101</v>
      </c>
      <c r="E577" t="s">
        <v>102</v>
      </c>
      <c r="F577" t="s">
        <v>34</v>
      </c>
      <c r="G577" t="s">
        <v>129</v>
      </c>
      <c r="H577" t="s">
        <v>130</v>
      </c>
      <c r="I577" t="s">
        <v>24</v>
      </c>
      <c r="J577">
        <v>4</v>
      </c>
      <c r="K577">
        <v>1400</v>
      </c>
      <c r="L577">
        <v>5600</v>
      </c>
    </row>
    <row r="578" spans="1:12" x14ac:dyDescent="0.3">
      <c r="A578">
        <v>10577</v>
      </c>
      <c r="B578" s="2">
        <v>45682</v>
      </c>
      <c r="C578" t="s">
        <v>158</v>
      </c>
      <c r="D578" t="s">
        <v>159</v>
      </c>
      <c r="E578" t="s">
        <v>160</v>
      </c>
      <c r="F578" t="s">
        <v>34</v>
      </c>
      <c r="G578" t="s">
        <v>75</v>
      </c>
      <c r="H578" t="s">
        <v>76</v>
      </c>
      <c r="I578" t="s">
        <v>49</v>
      </c>
      <c r="J578">
        <v>5</v>
      </c>
      <c r="K578">
        <v>3000</v>
      </c>
      <c r="L578">
        <v>15000</v>
      </c>
    </row>
    <row r="579" spans="1:12" x14ac:dyDescent="0.3">
      <c r="A579">
        <v>10578</v>
      </c>
      <c r="B579" s="2">
        <v>45861</v>
      </c>
      <c r="C579" t="s">
        <v>100</v>
      </c>
      <c r="D579" t="s">
        <v>101</v>
      </c>
      <c r="E579" t="s">
        <v>102</v>
      </c>
      <c r="F579" t="s">
        <v>34</v>
      </c>
      <c r="G579" t="s">
        <v>60</v>
      </c>
      <c r="H579" t="s">
        <v>61</v>
      </c>
      <c r="I579" t="s">
        <v>18</v>
      </c>
      <c r="J579">
        <v>1</v>
      </c>
      <c r="K579">
        <v>2200</v>
      </c>
      <c r="L579">
        <v>2200</v>
      </c>
    </row>
    <row r="580" spans="1:12" x14ac:dyDescent="0.3">
      <c r="A580">
        <v>10579</v>
      </c>
      <c r="B580" s="2">
        <v>45823</v>
      </c>
      <c r="C580" t="s">
        <v>31</v>
      </c>
      <c r="D580" t="s">
        <v>32</v>
      </c>
      <c r="E580" t="s">
        <v>33</v>
      </c>
      <c r="F580" t="s">
        <v>34</v>
      </c>
      <c r="G580" t="s">
        <v>109</v>
      </c>
      <c r="H580" t="s">
        <v>110</v>
      </c>
      <c r="I580" t="s">
        <v>18</v>
      </c>
      <c r="J580">
        <v>1</v>
      </c>
      <c r="K580">
        <v>5000</v>
      </c>
      <c r="L580">
        <v>5000</v>
      </c>
    </row>
    <row r="581" spans="1:12" x14ac:dyDescent="0.3">
      <c r="A581">
        <v>10580</v>
      </c>
      <c r="B581" s="2">
        <v>45771</v>
      </c>
      <c r="C581" t="s">
        <v>185</v>
      </c>
      <c r="D581" t="s">
        <v>186</v>
      </c>
      <c r="E581" t="s">
        <v>14</v>
      </c>
      <c r="F581" t="s">
        <v>15</v>
      </c>
      <c r="G581" t="s">
        <v>152</v>
      </c>
      <c r="H581" t="s">
        <v>153</v>
      </c>
      <c r="I581" t="s">
        <v>49</v>
      </c>
      <c r="J581">
        <v>1</v>
      </c>
      <c r="K581">
        <v>3200</v>
      </c>
      <c r="L581">
        <v>3200</v>
      </c>
    </row>
    <row r="582" spans="1:12" x14ac:dyDescent="0.3">
      <c r="A582">
        <v>10581</v>
      </c>
      <c r="B582" s="2">
        <v>45889</v>
      </c>
      <c r="C582" t="s">
        <v>77</v>
      </c>
      <c r="D582" t="s">
        <v>78</v>
      </c>
      <c r="E582" t="s">
        <v>79</v>
      </c>
      <c r="F582" t="s">
        <v>34</v>
      </c>
      <c r="G582" t="s">
        <v>152</v>
      </c>
      <c r="H582" t="s">
        <v>153</v>
      </c>
      <c r="I582" t="s">
        <v>49</v>
      </c>
      <c r="J582">
        <v>1</v>
      </c>
      <c r="K582">
        <v>3200</v>
      </c>
      <c r="L582">
        <v>3200</v>
      </c>
    </row>
    <row r="583" spans="1:12" x14ac:dyDescent="0.3">
      <c r="A583">
        <v>10582</v>
      </c>
      <c r="B583" s="2">
        <v>45844</v>
      </c>
      <c r="C583" t="s">
        <v>224</v>
      </c>
      <c r="D583" t="s">
        <v>225</v>
      </c>
      <c r="E583" t="s">
        <v>201</v>
      </c>
      <c r="F583" t="s">
        <v>28</v>
      </c>
      <c r="G583" t="s">
        <v>177</v>
      </c>
      <c r="H583" t="s">
        <v>178</v>
      </c>
      <c r="I583" t="s">
        <v>37</v>
      </c>
      <c r="J583">
        <v>4</v>
      </c>
      <c r="K583">
        <v>2500</v>
      </c>
      <c r="L583">
        <v>10000</v>
      </c>
    </row>
    <row r="584" spans="1:12" x14ac:dyDescent="0.3">
      <c r="A584">
        <v>10583</v>
      </c>
      <c r="B584" s="2">
        <v>45744</v>
      </c>
      <c r="C584" t="s">
        <v>175</v>
      </c>
      <c r="D584" t="s">
        <v>176</v>
      </c>
      <c r="E584" t="s">
        <v>84</v>
      </c>
      <c r="F584" t="s">
        <v>46</v>
      </c>
      <c r="G584" t="s">
        <v>103</v>
      </c>
      <c r="H584" t="s">
        <v>104</v>
      </c>
      <c r="I584" t="s">
        <v>37</v>
      </c>
      <c r="J584">
        <v>1</v>
      </c>
      <c r="K584">
        <v>28000</v>
      </c>
      <c r="L584">
        <v>28000</v>
      </c>
    </row>
    <row r="585" spans="1:12" x14ac:dyDescent="0.3">
      <c r="A585">
        <v>10584</v>
      </c>
      <c r="B585" s="2">
        <v>45776</v>
      </c>
      <c r="C585" t="s">
        <v>244</v>
      </c>
      <c r="D585" t="s">
        <v>245</v>
      </c>
      <c r="E585" t="s">
        <v>45</v>
      </c>
      <c r="F585" t="s">
        <v>46</v>
      </c>
      <c r="G585" t="s">
        <v>60</v>
      </c>
      <c r="H585" t="s">
        <v>61</v>
      </c>
      <c r="I585" t="s">
        <v>18</v>
      </c>
      <c r="J585">
        <v>1</v>
      </c>
      <c r="K585">
        <v>2200</v>
      </c>
      <c r="L585">
        <v>2200</v>
      </c>
    </row>
    <row r="586" spans="1:12" x14ac:dyDescent="0.3">
      <c r="A586">
        <v>10585</v>
      </c>
      <c r="B586" s="2">
        <v>45833</v>
      </c>
      <c r="C586" t="s">
        <v>148</v>
      </c>
      <c r="D586" t="s">
        <v>149</v>
      </c>
      <c r="E586" t="s">
        <v>14</v>
      </c>
      <c r="F586" t="s">
        <v>15</v>
      </c>
      <c r="G586" t="s">
        <v>125</v>
      </c>
      <c r="H586" t="s">
        <v>126</v>
      </c>
      <c r="I586" t="s">
        <v>37</v>
      </c>
      <c r="J586">
        <v>1</v>
      </c>
      <c r="K586">
        <v>22000</v>
      </c>
      <c r="L586">
        <v>22000</v>
      </c>
    </row>
    <row r="587" spans="1:12" x14ac:dyDescent="0.3">
      <c r="A587">
        <v>10586</v>
      </c>
      <c r="B587" s="2">
        <v>45925</v>
      </c>
      <c r="C587" t="s">
        <v>189</v>
      </c>
      <c r="D587" t="s">
        <v>190</v>
      </c>
      <c r="E587" t="s">
        <v>160</v>
      </c>
      <c r="F587" t="s">
        <v>34</v>
      </c>
      <c r="G587" t="s">
        <v>56</v>
      </c>
      <c r="H587" t="s">
        <v>57</v>
      </c>
      <c r="I587" t="s">
        <v>18</v>
      </c>
      <c r="J587">
        <v>1</v>
      </c>
      <c r="K587">
        <v>9000</v>
      </c>
      <c r="L587">
        <v>9000</v>
      </c>
    </row>
    <row r="588" spans="1:12" x14ac:dyDescent="0.3">
      <c r="A588">
        <v>10587</v>
      </c>
      <c r="B588" s="2">
        <v>45764</v>
      </c>
      <c r="C588" t="s">
        <v>238</v>
      </c>
      <c r="D588" t="s">
        <v>239</v>
      </c>
      <c r="E588" t="s">
        <v>137</v>
      </c>
      <c r="F588" t="s">
        <v>46</v>
      </c>
      <c r="G588" t="s">
        <v>75</v>
      </c>
      <c r="H588" t="s">
        <v>76</v>
      </c>
      <c r="I588" t="s">
        <v>49</v>
      </c>
      <c r="J588">
        <v>1</v>
      </c>
      <c r="K588">
        <v>3000</v>
      </c>
      <c r="L588">
        <v>3000</v>
      </c>
    </row>
    <row r="589" spans="1:12" x14ac:dyDescent="0.3">
      <c r="A589">
        <v>10588</v>
      </c>
      <c r="B589" s="2">
        <v>45961</v>
      </c>
      <c r="C589" t="s">
        <v>193</v>
      </c>
      <c r="D589" t="s">
        <v>194</v>
      </c>
      <c r="E589" t="s">
        <v>102</v>
      </c>
      <c r="F589" t="s">
        <v>34</v>
      </c>
      <c r="G589" t="s">
        <v>167</v>
      </c>
      <c r="H589" t="s">
        <v>168</v>
      </c>
      <c r="I589" t="s">
        <v>49</v>
      </c>
      <c r="J589">
        <v>2</v>
      </c>
      <c r="K589">
        <v>3800</v>
      </c>
      <c r="L589">
        <v>7600</v>
      </c>
    </row>
    <row r="590" spans="1:12" x14ac:dyDescent="0.3">
      <c r="A590">
        <v>10589</v>
      </c>
      <c r="B590" s="2">
        <v>45973</v>
      </c>
      <c r="C590" t="s">
        <v>173</v>
      </c>
      <c r="D590" t="s">
        <v>174</v>
      </c>
      <c r="E590" t="s">
        <v>137</v>
      </c>
      <c r="F590" t="s">
        <v>46</v>
      </c>
      <c r="G590" t="s">
        <v>109</v>
      </c>
      <c r="H590" t="s">
        <v>110</v>
      </c>
      <c r="I590" t="s">
        <v>18</v>
      </c>
      <c r="J590">
        <v>1</v>
      </c>
      <c r="K590">
        <v>5000</v>
      </c>
      <c r="L590">
        <v>5000</v>
      </c>
    </row>
    <row r="591" spans="1:12" x14ac:dyDescent="0.3">
      <c r="A591">
        <v>10590</v>
      </c>
      <c r="B591" s="2">
        <v>45777</v>
      </c>
      <c r="C591" t="s">
        <v>107</v>
      </c>
      <c r="D591" t="s">
        <v>108</v>
      </c>
      <c r="E591" t="s">
        <v>74</v>
      </c>
      <c r="F591" t="s">
        <v>28</v>
      </c>
      <c r="G591" t="s">
        <v>70</v>
      </c>
      <c r="H591" t="s">
        <v>71</v>
      </c>
      <c r="I591" t="s">
        <v>37</v>
      </c>
      <c r="J591">
        <v>3</v>
      </c>
      <c r="K591">
        <v>2200</v>
      </c>
      <c r="L591">
        <v>6600</v>
      </c>
    </row>
    <row r="592" spans="1:12" x14ac:dyDescent="0.3">
      <c r="A592">
        <v>10591</v>
      </c>
      <c r="B592" s="2">
        <v>45792</v>
      </c>
      <c r="C592" t="s">
        <v>181</v>
      </c>
      <c r="D592" t="s">
        <v>182</v>
      </c>
      <c r="E592" t="s">
        <v>21</v>
      </c>
      <c r="F592" t="s">
        <v>15</v>
      </c>
      <c r="G592" t="s">
        <v>167</v>
      </c>
      <c r="H592" t="s">
        <v>168</v>
      </c>
      <c r="I592" t="s">
        <v>49</v>
      </c>
      <c r="J592">
        <v>1</v>
      </c>
      <c r="K592">
        <v>3800</v>
      </c>
      <c r="L592">
        <v>3800</v>
      </c>
    </row>
    <row r="593" spans="1:12" x14ac:dyDescent="0.3">
      <c r="A593">
        <v>10592</v>
      </c>
      <c r="B593" s="2">
        <v>45698</v>
      </c>
      <c r="C593" t="s">
        <v>244</v>
      </c>
      <c r="D593" t="s">
        <v>245</v>
      </c>
      <c r="E593" t="s">
        <v>45</v>
      </c>
      <c r="F593" t="s">
        <v>46</v>
      </c>
      <c r="G593" t="s">
        <v>47</v>
      </c>
      <c r="H593" t="s">
        <v>48</v>
      </c>
      <c r="I593" t="s">
        <v>49</v>
      </c>
      <c r="J593">
        <v>2</v>
      </c>
      <c r="K593">
        <v>1600</v>
      </c>
      <c r="L593">
        <v>3200</v>
      </c>
    </row>
    <row r="594" spans="1:12" x14ac:dyDescent="0.3">
      <c r="A594">
        <v>10593</v>
      </c>
      <c r="B594" s="2">
        <v>45842</v>
      </c>
      <c r="C594" t="s">
        <v>105</v>
      </c>
      <c r="D594" t="s">
        <v>106</v>
      </c>
      <c r="E594" t="s">
        <v>45</v>
      </c>
      <c r="F594" t="s">
        <v>46</v>
      </c>
      <c r="G594" t="s">
        <v>177</v>
      </c>
      <c r="H594" t="s">
        <v>178</v>
      </c>
      <c r="I594" t="s">
        <v>37</v>
      </c>
      <c r="J594">
        <v>2</v>
      </c>
      <c r="K594">
        <v>2500</v>
      </c>
      <c r="L594">
        <v>5000</v>
      </c>
    </row>
    <row r="595" spans="1:12" x14ac:dyDescent="0.3">
      <c r="A595">
        <v>10594</v>
      </c>
      <c r="B595" s="2">
        <v>45742</v>
      </c>
      <c r="C595" t="s">
        <v>154</v>
      </c>
      <c r="D595" t="s">
        <v>155</v>
      </c>
      <c r="E595" t="s">
        <v>74</v>
      </c>
      <c r="F595" t="s">
        <v>28</v>
      </c>
      <c r="G595" t="s">
        <v>140</v>
      </c>
      <c r="H595" t="s">
        <v>141</v>
      </c>
      <c r="I595" t="s">
        <v>18</v>
      </c>
      <c r="J595">
        <v>2</v>
      </c>
      <c r="K595">
        <v>3000</v>
      </c>
      <c r="L595">
        <v>6000</v>
      </c>
    </row>
    <row r="596" spans="1:12" x14ac:dyDescent="0.3">
      <c r="A596">
        <v>10595</v>
      </c>
      <c r="B596" s="2">
        <v>45895</v>
      </c>
      <c r="C596" t="s">
        <v>117</v>
      </c>
      <c r="D596" t="s">
        <v>118</v>
      </c>
      <c r="E596" t="s">
        <v>95</v>
      </c>
      <c r="F596" t="s">
        <v>15</v>
      </c>
      <c r="G596" t="s">
        <v>60</v>
      </c>
      <c r="H596" t="s">
        <v>61</v>
      </c>
      <c r="I596" t="s">
        <v>18</v>
      </c>
      <c r="J596">
        <v>1</v>
      </c>
      <c r="K596">
        <v>2200</v>
      </c>
      <c r="L596">
        <v>2200</v>
      </c>
    </row>
    <row r="597" spans="1:12" x14ac:dyDescent="0.3">
      <c r="A597">
        <v>10596</v>
      </c>
      <c r="B597" s="2">
        <v>45704</v>
      </c>
      <c r="C597" t="s">
        <v>222</v>
      </c>
      <c r="D597" t="s">
        <v>223</v>
      </c>
      <c r="E597" t="s">
        <v>21</v>
      </c>
      <c r="F597" t="s">
        <v>15</v>
      </c>
      <c r="G597" t="s">
        <v>65</v>
      </c>
      <c r="H597" t="s">
        <v>66</v>
      </c>
      <c r="I597" t="s">
        <v>49</v>
      </c>
      <c r="J597">
        <v>2</v>
      </c>
      <c r="K597">
        <v>2400</v>
      </c>
      <c r="L597">
        <v>4800</v>
      </c>
    </row>
    <row r="598" spans="1:12" x14ac:dyDescent="0.3">
      <c r="A598">
        <v>10597</v>
      </c>
      <c r="B598" s="2">
        <v>45663</v>
      </c>
      <c r="C598" t="s">
        <v>43</v>
      </c>
      <c r="D598" t="s">
        <v>44</v>
      </c>
      <c r="E598" t="s">
        <v>45</v>
      </c>
      <c r="F598" t="s">
        <v>46</v>
      </c>
      <c r="G598" t="s">
        <v>109</v>
      </c>
      <c r="H598" t="s">
        <v>110</v>
      </c>
      <c r="I598" t="s">
        <v>18</v>
      </c>
      <c r="J598">
        <v>2</v>
      </c>
      <c r="K598">
        <v>5000</v>
      </c>
      <c r="L598">
        <v>10000</v>
      </c>
    </row>
    <row r="599" spans="1:12" x14ac:dyDescent="0.3">
      <c r="A599">
        <v>10598</v>
      </c>
      <c r="B599" s="2">
        <v>45869</v>
      </c>
      <c r="C599" t="s">
        <v>175</v>
      </c>
      <c r="D599" t="s">
        <v>176</v>
      </c>
      <c r="E599" t="s">
        <v>84</v>
      </c>
      <c r="F599" t="s">
        <v>46</v>
      </c>
      <c r="G599" t="s">
        <v>125</v>
      </c>
      <c r="H599" t="s">
        <v>126</v>
      </c>
      <c r="I599" t="s">
        <v>37</v>
      </c>
      <c r="J599">
        <v>1</v>
      </c>
      <c r="K599">
        <v>22000</v>
      </c>
      <c r="L599">
        <v>22000</v>
      </c>
    </row>
    <row r="600" spans="1:12" x14ac:dyDescent="0.3">
      <c r="A600">
        <v>10599</v>
      </c>
      <c r="B600" s="2">
        <v>45866</v>
      </c>
      <c r="C600" t="s">
        <v>50</v>
      </c>
      <c r="D600" t="s">
        <v>51</v>
      </c>
      <c r="E600" t="s">
        <v>14</v>
      </c>
      <c r="F600" t="s">
        <v>15</v>
      </c>
      <c r="G600" t="s">
        <v>56</v>
      </c>
      <c r="H600" t="s">
        <v>57</v>
      </c>
      <c r="I600" t="s">
        <v>18</v>
      </c>
      <c r="J600">
        <v>1</v>
      </c>
      <c r="K600">
        <v>9000</v>
      </c>
      <c r="L600">
        <v>9000</v>
      </c>
    </row>
    <row r="601" spans="1:12" x14ac:dyDescent="0.3">
      <c r="A601">
        <v>10600</v>
      </c>
      <c r="B601" s="2">
        <v>46007</v>
      </c>
      <c r="C601" t="s">
        <v>197</v>
      </c>
      <c r="D601" t="s">
        <v>198</v>
      </c>
      <c r="E601" t="s">
        <v>95</v>
      </c>
      <c r="F601" t="s">
        <v>15</v>
      </c>
      <c r="G601" t="s">
        <v>41</v>
      </c>
      <c r="H601" t="s">
        <v>42</v>
      </c>
      <c r="I601" t="s">
        <v>37</v>
      </c>
      <c r="J601">
        <v>3</v>
      </c>
      <c r="K601">
        <v>30000</v>
      </c>
      <c r="L601">
        <v>90000</v>
      </c>
    </row>
    <row r="602" spans="1:12" x14ac:dyDescent="0.3">
      <c r="A602">
        <v>10601</v>
      </c>
      <c r="B602" s="2">
        <v>45996</v>
      </c>
      <c r="C602" t="s">
        <v>226</v>
      </c>
      <c r="D602" t="s">
        <v>227</v>
      </c>
      <c r="E602" t="s">
        <v>79</v>
      </c>
      <c r="F602" t="s">
        <v>34</v>
      </c>
      <c r="G602" t="s">
        <v>163</v>
      </c>
      <c r="H602" t="s">
        <v>164</v>
      </c>
      <c r="I602" t="s">
        <v>49</v>
      </c>
      <c r="J602">
        <v>1</v>
      </c>
      <c r="K602">
        <v>4200</v>
      </c>
      <c r="L602">
        <v>4200</v>
      </c>
    </row>
    <row r="603" spans="1:12" x14ac:dyDescent="0.3">
      <c r="A603">
        <v>10602</v>
      </c>
      <c r="B603" s="2">
        <v>45955</v>
      </c>
      <c r="C603" t="s">
        <v>12</v>
      </c>
      <c r="D603" t="s">
        <v>13</v>
      </c>
      <c r="E603" t="s">
        <v>14</v>
      </c>
      <c r="F603" t="s">
        <v>15</v>
      </c>
      <c r="G603" t="s">
        <v>177</v>
      </c>
      <c r="H603" t="s">
        <v>178</v>
      </c>
      <c r="I603" t="s">
        <v>37</v>
      </c>
      <c r="J603">
        <v>3</v>
      </c>
      <c r="K603">
        <v>2500</v>
      </c>
      <c r="L603">
        <v>7500</v>
      </c>
    </row>
    <row r="604" spans="1:12" x14ac:dyDescent="0.3">
      <c r="A604">
        <v>10603</v>
      </c>
      <c r="B604" s="2">
        <v>45833</v>
      </c>
      <c r="C604" t="s">
        <v>107</v>
      </c>
      <c r="D604" t="s">
        <v>108</v>
      </c>
      <c r="E604" t="s">
        <v>74</v>
      </c>
      <c r="F604" t="s">
        <v>28</v>
      </c>
      <c r="G604" t="s">
        <v>65</v>
      </c>
      <c r="H604" t="s">
        <v>66</v>
      </c>
      <c r="I604" t="s">
        <v>49</v>
      </c>
      <c r="J604">
        <v>1</v>
      </c>
      <c r="K604">
        <v>2400</v>
      </c>
      <c r="L604">
        <v>2400</v>
      </c>
    </row>
    <row r="605" spans="1:12" x14ac:dyDescent="0.3">
      <c r="A605">
        <v>10604</v>
      </c>
      <c r="B605" s="2">
        <v>45899</v>
      </c>
      <c r="C605" t="s">
        <v>43</v>
      </c>
      <c r="D605" t="s">
        <v>44</v>
      </c>
      <c r="E605" t="s">
        <v>45</v>
      </c>
      <c r="F605" t="s">
        <v>46</v>
      </c>
      <c r="G605" t="s">
        <v>89</v>
      </c>
      <c r="H605" t="s">
        <v>90</v>
      </c>
      <c r="I605" t="s">
        <v>18</v>
      </c>
      <c r="J605">
        <v>1</v>
      </c>
      <c r="K605">
        <v>4200</v>
      </c>
      <c r="L605">
        <v>4200</v>
      </c>
    </row>
    <row r="606" spans="1:12" x14ac:dyDescent="0.3">
      <c r="A606">
        <v>10605</v>
      </c>
      <c r="B606" s="2">
        <v>45933</v>
      </c>
      <c r="C606" t="s">
        <v>91</v>
      </c>
      <c r="D606" t="s">
        <v>92</v>
      </c>
      <c r="E606" t="s">
        <v>40</v>
      </c>
      <c r="F606" t="s">
        <v>15</v>
      </c>
      <c r="G606" t="s">
        <v>29</v>
      </c>
      <c r="H606" t="s">
        <v>30</v>
      </c>
      <c r="I606" t="s">
        <v>18</v>
      </c>
      <c r="J606">
        <v>1</v>
      </c>
      <c r="K606">
        <v>15000</v>
      </c>
      <c r="L606">
        <v>15000</v>
      </c>
    </row>
    <row r="607" spans="1:12" x14ac:dyDescent="0.3">
      <c r="A607">
        <v>10606</v>
      </c>
      <c r="B607" s="2">
        <v>45725</v>
      </c>
      <c r="C607" t="s">
        <v>133</v>
      </c>
      <c r="D607" t="s">
        <v>134</v>
      </c>
      <c r="E607" t="s">
        <v>33</v>
      </c>
      <c r="F607" t="s">
        <v>34</v>
      </c>
      <c r="G607" t="s">
        <v>89</v>
      </c>
      <c r="H607" t="s">
        <v>90</v>
      </c>
      <c r="I607" t="s">
        <v>18</v>
      </c>
      <c r="J607">
        <v>1</v>
      </c>
      <c r="K607">
        <v>4200</v>
      </c>
      <c r="L607">
        <v>4200</v>
      </c>
    </row>
    <row r="608" spans="1:12" x14ac:dyDescent="0.3">
      <c r="A608">
        <v>10607</v>
      </c>
      <c r="B608" s="2">
        <v>45910</v>
      </c>
      <c r="C608" t="s">
        <v>224</v>
      </c>
      <c r="D608" t="s">
        <v>225</v>
      </c>
      <c r="E608" t="s">
        <v>201</v>
      </c>
      <c r="F608" t="s">
        <v>28</v>
      </c>
      <c r="G608" t="s">
        <v>177</v>
      </c>
      <c r="H608" t="s">
        <v>178</v>
      </c>
      <c r="I608" t="s">
        <v>37</v>
      </c>
      <c r="J608">
        <v>1</v>
      </c>
      <c r="K608">
        <v>2500</v>
      </c>
      <c r="L608">
        <v>2500</v>
      </c>
    </row>
    <row r="609" spans="1:12" x14ac:dyDescent="0.3">
      <c r="A609">
        <v>10608</v>
      </c>
      <c r="B609" s="2">
        <v>45663</v>
      </c>
      <c r="C609" t="s">
        <v>165</v>
      </c>
      <c r="D609" t="s">
        <v>166</v>
      </c>
      <c r="E609" t="s">
        <v>69</v>
      </c>
      <c r="F609" t="s">
        <v>28</v>
      </c>
      <c r="G609" t="s">
        <v>152</v>
      </c>
      <c r="H609" t="s">
        <v>153</v>
      </c>
      <c r="I609" t="s">
        <v>49</v>
      </c>
      <c r="J609">
        <v>1</v>
      </c>
      <c r="K609">
        <v>3200</v>
      </c>
      <c r="L609">
        <v>3200</v>
      </c>
    </row>
    <row r="610" spans="1:12" x14ac:dyDescent="0.3">
      <c r="A610">
        <v>10609</v>
      </c>
      <c r="B610" s="2">
        <v>46012</v>
      </c>
      <c r="C610" t="s">
        <v>12</v>
      </c>
      <c r="D610" t="s">
        <v>13</v>
      </c>
      <c r="E610" t="s">
        <v>14</v>
      </c>
      <c r="F610" t="s">
        <v>15</v>
      </c>
      <c r="G610" t="s">
        <v>131</v>
      </c>
      <c r="H610" t="s">
        <v>132</v>
      </c>
      <c r="I610" t="s">
        <v>37</v>
      </c>
      <c r="J610">
        <v>1</v>
      </c>
      <c r="K610">
        <v>4500</v>
      </c>
      <c r="L610">
        <v>4500</v>
      </c>
    </row>
    <row r="611" spans="1:12" x14ac:dyDescent="0.3">
      <c r="A611">
        <v>10610</v>
      </c>
      <c r="B611" s="2">
        <v>46009</v>
      </c>
      <c r="C611" t="s">
        <v>133</v>
      </c>
      <c r="D611" t="s">
        <v>134</v>
      </c>
      <c r="E611" t="s">
        <v>33</v>
      </c>
      <c r="F611" t="s">
        <v>34</v>
      </c>
      <c r="G611" t="s">
        <v>41</v>
      </c>
      <c r="H611" t="s">
        <v>42</v>
      </c>
      <c r="I611" t="s">
        <v>37</v>
      </c>
      <c r="J611">
        <v>2</v>
      </c>
      <c r="K611">
        <v>30000</v>
      </c>
      <c r="L611">
        <v>60000</v>
      </c>
    </row>
    <row r="612" spans="1:12" x14ac:dyDescent="0.3">
      <c r="A612">
        <v>10611</v>
      </c>
      <c r="B612" s="2">
        <v>45710</v>
      </c>
      <c r="C612" t="s">
        <v>133</v>
      </c>
      <c r="D612" t="s">
        <v>134</v>
      </c>
      <c r="E612" t="s">
        <v>33</v>
      </c>
      <c r="F612" t="s">
        <v>34</v>
      </c>
      <c r="G612" t="s">
        <v>98</v>
      </c>
      <c r="H612" t="s">
        <v>99</v>
      </c>
      <c r="I612" t="s">
        <v>24</v>
      </c>
      <c r="J612">
        <v>4</v>
      </c>
      <c r="K612">
        <v>2000</v>
      </c>
      <c r="L612">
        <v>8000</v>
      </c>
    </row>
    <row r="613" spans="1:12" x14ac:dyDescent="0.3">
      <c r="A613">
        <v>10612</v>
      </c>
      <c r="B613" s="2">
        <v>45988</v>
      </c>
      <c r="C613" t="s">
        <v>133</v>
      </c>
      <c r="D613" t="s">
        <v>134</v>
      </c>
      <c r="E613" t="s">
        <v>33</v>
      </c>
      <c r="F613" t="s">
        <v>34</v>
      </c>
      <c r="G613" t="s">
        <v>113</v>
      </c>
      <c r="H613" t="s">
        <v>114</v>
      </c>
      <c r="I613" t="s">
        <v>37</v>
      </c>
      <c r="J613">
        <v>1</v>
      </c>
      <c r="K613">
        <v>52000</v>
      </c>
      <c r="L613">
        <v>52000</v>
      </c>
    </row>
    <row r="614" spans="1:12" x14ac:dyDescent="0.3">
      <c r="A614">
        <v>10613</v>
      </c>
      <c r="B614" s="2">
        <v>45841</v>
      </c>
      <c r="C614" t="s">
        <v>72</v>
      </c>
      <c r="D614" t="s">
        <v>73</v>
      </c>
      <c r="E614" t="s">
        <v>74</v>
      </c>
      <c r="F614" t="s">
        <v>28</v>
      </c>
      <c r="G614" t="s">
        <v>121</v>
      </c>
      <c r="H614" t="s">
        <v>122</v>
      </c>
      <c r="I614" t="s">
        <v>49</v>
      </c>
      <c r="J614">
        <v>2</v>
      </c>
      <c r="K614">
        <v>4800</v>
      </c>
      <c r="L614">
        <v>9600</v>
      </c>
    </row>
    <row r="615" spans="1:12" x14ac:dyDescent="0.3">
      <c r="A615">
        <v>10614</v>
      </c>
      <c r="B615" s="2">
        <v>45668</v>
      </c>
      <c r="C615" t="s">
        <v>107</v>
      </c>
      <c r="D615" t="s">
        <v>108</v>
      </c>
      <c r="E615" t="s">
        <v>74</v>
      </c>
      <c r="F615" t="s">
        <v>28</v>
      </c>
      <c r="G615" t="s">
        <v>98</v>
      </c>
      <c r="H615" t="s">
        <v>99</v>
      </c>
      <c r="I615" t="s">
        <v>24</v>
      </c>
      <c r="J615">
        <v>1</v>
      </c>
      <c r="K615">
        <v>2000</v>
      </c>
      <c r="L615">
        <v>2000</v>
      </c>
    </row>
    <row r="616" spans="1:12" x14ac:dyDescent="0.3">
      <c r="A616">
        <v>10615</v>
      </c>
      <c r="B616" s="2">
        <v>45926</v>
      </c>
      <c r="C616" t="s">
        <v>202</v>
      </c>
      <c r="D616" t="s">
        <v>203</v>
      </c>
      <c r="E616" t="s">
        <v>64</v>
      </c>
      <c r="F616" t="s">
        <v>46</v>
      </c>
      <c r="G616" t="s">
        <v>65</v>
      </c>
      <c r="H616" t="s">
        <v>66</v>
      </c>
      <c r="I616" t="s">
        <v>49</v>
      </c>
      <c r="J616">
        <v>4</v>
      </c>
      <c r="K616">
        <v>2400</v>
      </c>
      <c r="L616">
        <v>9600</v>
      </c>
    </row>
    <row r="617" spans="1:12" x14ac:dyDescent="0.3">
      <c r="A617">
        <v>10616</v>
      </c>
      <c r="B617" s="2">
        <v>45953</v>
      </c>
      <c r="C617" t="s">
        <v>222</v>
      </c>
      <c r="D617" t="s">
        <v>223</v>
      </c>
      <c r="E617" t="s">
        <v>21</v>
      </c>
      <c r="F617" t="s">
        <v>15</v>
      </c>
      <c r="G617" t="s">
        <v>60</v>
      </c>
      <c r="H617" t="s">
        <v>61</v>
      </c>
      <c r="I617" t="s">
        <v>18</v>
      </c>
      <c r="J617">
        <v>2</v>
      </c>
      <c r="K617">
        <v>2200</v>
      </c>
      <c r="L617">
        <v>4400</v>
      </c>
    </row>
    <row r="618" spans="1:12" x14ac:dyDescent="0.3">
      <c r="A618">
        <v>10617</v>
      </c>
      <c r="B618" s="2">
        <v>45958</v>
      </c>
      <c r="C618" t="s">
        <v>91</v>
      </c>
      <c r="D618" t="s">
        <v>92</v>
      </c>
      <c r="E618" t="s">
        <v>40</v>
      </c>
      <c r="F618" t="s">
        <v>15</v>
      </c>
      <c r="G618" t="s">
        <v>75</v>
      </c>
      <c r="H618" t="s">
        <v>76</v>
      </c>
      <c r="I618" t="s">
        <v>49</v>
      </c>
      <c r="J618">
        <v>2</v>
      </c>
      <c r="K618">
        <v>3000</v>
      </c>
      <c r="L618">
        <v>6000</v>
      </c>
    </row>
    <row r="619" spans="1:12" x14ac:dyDescent="0.3">
      <c r="A619">
        <v>10618</v>
      </c>
      <c r="B619" s="2">
        <v>45901</v>
      </c>
      <c r="C619" t="s">
        <v>146</v>
      </c>
      <c r="D619" t="s">
        <v>147</v>
      </c>
      <c r="E619" t="s">
        <v>64</v>
      </c>
      <c r="F619" t="s">
        <v>46</v>
      </c>
      <c r="G619" t="s">
        <v>129</v>
      </c>
      <c r="H619" t="s">
        <v>130</v>
      </c>
      <c r="I619" t="s">
        <v>24</v>
      </c>
      <c r="J619">
        <v>1</v>
      </c>
      <c r="K619">
        <v>1400</v>
      </c>
      <c r="L619">
        <v>1400</v>
      </c>
    </row>
    <row r="620" spans="1:12" x14ac:dyDescent="0.3">
      <c r="A620">
        <v>10619</v>
      </c>
      <c r="B620" s="2">
        <v>45887</v>
      </c>
      <c r="C620" t="s">
        <v>58</v>
      </c>
      <c r="D620" t="s">
        <v>59</v>
      </c>
      <c r="E620" t="s">
        <v>21</v>
      </c>
      <c r="F620" t="s">
        <v>15</v>
      </c>
      <c r="G620" t="s">
        <v>98</v>
      </c>
      <c r="H620" t="s">
        <v>99</v>
      </c>
      <c r="I620" t="s">
        <v>24</v>
      </c>
      <c r="J620">
        <v>1</v>
      </c>
      <c r="K620">
        <v>2000</v>
      </c>
      <c r="L620">
        <v>2000</v>
      </c>
    </row>
    <row r="621" spans="1:12" x14ac:dyDescent="0.3">
      <c r="A621">
        <v>10620</v>
      </c>
      <c r="B621" s="2">
        <v>45857</v>
      </c>
      <c r="C621" t="s">
        <v>146</v>
      </c>
      <c r="D621" t="s">
        <v>147</v>
      </c>
      <c r="E621" t="s">
        <v>64</v>
      </c>
      <c r="F621" t="s">
        <v>46</v>
      </c>
      <c r="G621" t="s">
        <v>52</v>
      </c>
      <c r="H621" t="s">
        <v>53</v>
      </c>
      <c r="I621" t="s">
        <v>24</v>
      </c>
      <c r="J621">
        <v>1</v>
      </c>
      <c r="K621">
        <v>3500</v>
      </c>
      <c r="L621">
        <v>3500</v>
      </c>
    </row>
    <row r="622" spans="1:12" x14ac:dyDescent="0.3">
      <c r="A622">
        <v>10621</v>
      </c>
      <c r="B622" s="2">
        <v>45905</v>
      </c>
      <c r="C622" t="s">
        <v>72</v>
      </c>
      <c r="D622" t="s">
        <v>73</v>
      </c>
      <c r="E622" t="s">
        <v>74</v>
      </c>
      <c r="F622" t="s">
        <v>28</v>
      </c>
      <c r="G622" t="s">
        <v>70</v>
      </c>
      <c r="H622" t="s">
        <v>71</v>
      </c>
      <c r="I622" t="s">
        <v>37</v>
      </c>
      <c r="J622">
        <v>4</v>
      </c>
      <c r="K622">
        <v>2200</v>
      </c>
      <c r="L622">
        <v>8800</v>
      </c>
    </row>
    <row r="623" spans="1:12" x14ac:dyDescent="0.3">
      <c r="A623">
        <v>10622</v>
      </c>
      <c r="B623" s="2">
        <v>45887</v>
      </c>
      <c r="C623" t="s">
        <v>93</v>
      </c>
      <c r="D623" t="s">
        <v>94</v>
      </c>
      <c r="E623" t="s">
        <v>95</v>
      </c>
      <c r="F623" t="s">
        <v>15</v>
      </c>
      <c r="G623" t="s">
        <v>96</v>
      </c>
      <c r="H623" t="s">
        <v>97</v>
      </c>
      <c r="I623" t="s">
        <v>37</v>
      </c>
      <c r="J623">
        <v>2</v>
      </c>
      <c r="K623">
        <v>18000</v>
      </c>
      <c r="L623">
        <v>36000</v>
      </c>
    </row>
    <row r="624" spans="1:12" x14ac:dyDescent="0.3">
      <c r="A624">
        <v>10623</v>
      </c>
      <c r="B624" s="2">
        <v>45878</v>
      </c>
      <c r="C624" t="s">
        <v>117</v>
      </c>
      <c r="D624" t="s">
        <v>118</v>
      </c>
      <c r="E624" t="s">
        <v>95</v>
      </c>
      <c r="F624" t="s">
        <v>15</v>
      </c>
      <c r="G624" t="s">
        <v>35</v>
      </c>
      <c r="H624" t="s">
        <v>36</v>
      </c>
      <c r="I624" t="s">
        <v>37</v>
      </c>
      <c r="J624">
        <v>1</v>
      </c>
      <c r="K624">
        <v>12000</v>
      </c>
      <c r="L624">
        <v>12000</v>
      </c>
    </row>
    <row r="625" spans="1:12" x14ac:dyDescent="0.3">
      <c r="A625">
        <v>10624</v>
      </c>
      <c r="B625" s="2">
        <v>45896</v>
      </c>
      <c r="C625" t="s">
        <v>82</v>
      </c>
      <c r="D625" t="s">
        <v>83</v>
      </c>
      <c r="E625" t="s">
        <v>84</v>
      </c>
      <c r="F625" t="s">
        <v>46</v>
      </c>
      <c r="G625" t="s">
        <v>129</v>
      </c>
      <c r="H625" t="s">
        <v>130</v>
      </c>
      <c r="I625" t="s">
        <v>24</v>
      </c>
      <c r="J625">
        <v>2</v>
      </c>
      <c r="K625">
        <v>1400</v>
      </c>
      <c r="L625">
        <v>2800</v>
      </c>
    </row>
    <row r="626" spans="1:12" x14ac:dyDescent="0.3">
      <c r="A626">
        <v>10625</v>
      </c>
      <c r="B626" s="2">
        <v>45754</v>
      </c>
      <c r="C626" t="s">
        <v>43</v>
      </c>
      <c r="D626" t="s">
        <v>44</v>
      </c>
      <c r="E626" t="s">
        <v>45</v>
      </c>
      <c r="F626" t="s">
        <v>46</v>
      </c>
      <c r="G626" t="s">
        <v>65</v>
      </c>
      <c r="H626" t="s">
        <v>66</v>
      </c>
      <c r="I626" t="s">
        <v>49</v>
      </c>
      <c r="J626">
        <v>3</v>
      </c>
      <c r="K626">
        <v>2400</v>
      </c>
      <c r="L626">
        <v>7200</v>
      </c>
    </row>
    <row r="627" spans="1:12" x14ac:dyDescent="0.3">
      <c r="A627">
        <v>10626</v>
      </c>
      <c r="B627" s="2">
        <v>45818</v>
      </c>
      <c r="C627" t="s">
        <v>62</v>
      </c>
      <c r="D627" t="s">
        <v>63</v>
      </c>
      <c r="E627" t="s">
        <v>64</v>
      </c>
      <c r="F627" t="s">
        <v>46</v>
      </c>
      <c r="G627" t="s">
        <v>103</v>
      </c>
      <c r="H627" t="s">
        <v>104</v>
      </c>
      <c r="I627" t="s">
        <v>37</v>
      </c>
      <c r="J627">
        <v>5</v>
      </c>
      <c r="K627">
        <v>28000</v>
      </c>
      <c r="L627">
        <v>140000</v>
      </c>
    </row>
    <row r="628" spans="1:12" x14ac:dyDescent="0.3">
      <c r="A628">
        <v>10627</v>
      </c>
      <c r="B628" s="2">
        <v>45851</v>
      </c>
      <c r="C628" t="s">
        <v>127</v>
      </c>
      <c r="D628" t="s">
        <v>128</v>
      </c>
      <c r="E628" t="s">
        <v>102</v>
      </c>
      <c r="F628" t="s">
        <v>34</v>
      </c>
      <c r="G628" t="s">
        <v>98</v>
      </c>
      <c r="H628" t="s">
        <v>99</v>
      </c>
      <c r="I628" t="s">
        <v>24</v>
      </c>
      <c r="J628">
        <v>1</v>
      </c>
      <c r="K628">
        <v>2000</v>
      </c>
      <c r="L628">
        <v>2000</v>
      </c>
    </row>
    <row r="629" spans="1:12" x14ac:dyDescent="0.3">
      <c r="A629">
        <v>10628</v>
      </c>
      <c r="B629" s="2">
        <v>45882</v>
      </c>
      <c r="C629" t="s">
        <v>212</v>
      </c>
      <c r="D629" t="s">
        <v>213</v>
      </c>
      <c r="E629" t="s">
        <v>69</v>
      </c>
      <c r="F629" t="s">
        <v>28</v>
      </c>
      <c r="G629" t="s">
        <v>60</v>
      </c>
      <c r="H629" t="s">
        <v>61</v>
      </c>
      <c r="I629" t="s">
        <v>18</v>
      </c>
      <c r="J629">
        <v>1</v>
      </c>
      <c r="K629">
        <v>2200</v>
      </c>
      <c r="L629">
        <v>2200</v>
      </c>
    </row>
    <row r="630" spans="1:12" x14ac:dyDescent="0.3">
      <c r="A630">
        <v>10629</v>
      </c>
      <c r="B630" s="2">
        <v>45826</v>
      </c>
      <c r="C630" t="s">
        <v>148</v>
      </c>
      <c r="D630" t="s">
        <v>149</v>
      </c>
      <c r="E630" t="s">
        <v>14</v>
      </c>
      <c r="F630" t="s">
        <v>15</v>
      </c>
      <c r="G630" t="s">
        <v>96</v>
      </c>
      <c r="H630" t="s">
        <v>97</v>
      </c>
      <c r="I630" t="s">
        <v>37</v>
      </c>
      <c r="J630">
        <v>5</v>
      </c>
      <c r="K630">
        <v>18000</v>
      </c>
      <c r="L630">
        <v>90000</v>
      </c>
    </row>
    <row r="631" spans="1:12" x14ac:dyDescent="0.3">
      <c r="A631">
        <v>10630</v>
      </c>
      <c r="B631" s="2">
        <v>45769</v>
      </c>
      <c r="C631" t="s">
        <v>91</v>
      </c>
      <c r="D631" t="s">
        <v>92</v>
      </c>
      <c r="E631" t="s">
        <v>40</v>
      </c>
      <c r="F631" t="s">
        <v>15</v>
      </c>
      <c r="G631" t="s">
        <v>47</v>
      </c>
      <c r="H631" t="s">
        <v>48</v>
      </c>
      <c r="I631" t="s">
        <v>49</v>
      </c>
      <c r="J631">
        <v>2</v>
      </c>
      <c r="K631">
        <v>1600</v>
      </c>
      <c r="L631">
        <v>3200</v>
      </c>
    </row>
    <row r="632" spans="1:12" x14ac:dyDescent="0.3">
      <c r="A632">
        <v>10631</v>
      </c>
      <c r="B632" s="2">
        <v>45777</v>
      </c>
      <c r="C632" t="s">
        <v>87</v>
      </c>
      <c r="D632" t="s">
        <v>88</v>
      </c>
      <c r="E632" t="s">
        <v>64</v>
      </c>
      <c r="F632" t="s">
        <v>46</v>
      </c>
      <c r="G632" t="s">
        <v>163</v>
      </c>
      <c r="H632" t="s">
        <v>164</v>
      </c>
      <c r="I632" t="s">
        <v>49</v>
      </c>
      <c r="J632">
        <v>1</v>
      </c>
      <c r="K632">
        <v>4200</v>
      </c>
      <c r="L632">
        <v>4200</v>
      </c>
    </row>
    <row r="633" spans="1:12" x14ac:dyDescent="0.3">
      <c r="A633">
        <v>10632</v>
      </c>
      <c r="B633" s="2">
        <v>45754</v>
      </c>
      <c r="C633" t="s">
        <v>82</v>
      </c>
      <c r="D633" t="s">
        <v>83</v>
      </c>
      <c r="E633" t="s">
        <v>84</v>
      </c>
      <c r="F633" t="s">
        <v>46</v>
      </c>
      <c r="G633" t="s">
        <v>47</v>
      </c>
      <c r="H633" t="s">
        <v>48</v>
      </c>
      <c r="I633" t="s">
        <v>49</v>
      </c>
      <c r="J633">
        <v>1</v>
      </c>
      <c r="K633">
        <v>1600</v>
      </c>
      <c r="L633">
        <v>1600</v>
      </c>
    </row>
    <row r="634" spans="1:12" x14ac:dyDescent="0.3">
      <c r="A634">
        <v>10633</v>
      </c>
      <c r="B634" s="2">
        <v>45859</v>
      </c>
      <c r="C634" t="s">
        <v>224</v>
      </c>
      <c r="D634" t="s">
        <v>225</v>
      </c>
      <c r="E634" t="s">
        <v>201</v>
      </c>
      <c r="F634" t="s">
        <v>28</v>
      </c>
      <c r="G634" t="s">
        <v>131</v>
      </c>
      <c r="H634" t="s">
        <v>132</v>
      </c>
      <c r="I634" t="s">
        <v>37</v>
      </c>
      <c r="J634">
        <v>1</v>
      </c>
      <c r="K634">
        <v>4500</v>
      </c>
      <c r="L634">
        <v>4500</v>
      </c>
    </row>
    <row r="635" spans="1:12" x14ac:dyDescent="0.3">
      <c r="A635">
        <v>10634</v>
      </c>
      <c r="B635" s="2">
        <v>45917</v>
      </c>
      <c r="C635" t="s">
        <v>111</v>
      </c>
      <c r="D635" t="s">
        <v>112</v>
      </c>
      <c r="E635" t="s">
        <v>40</v>
      </c>
      <c r="F635" t="s">
        <v>15</v>
      </c>
      <c r="G635" t="s">
        <v>41</v>
      </c>
      <c r="H635" t="s">
        <v>42</v>
      </c>
      <c r="I635" t="s">
        <v>37</v>
      </c>
      <c r="J635">
        <v>3</v>
      </c>
      <c r="K635">
        <v>30000</v>
      </c>
      <c r="L635">
        <v>90000</v>
      </c>
    </row>
    <row r="636" spans="1:12" x14ac:dyDescent="0.3">
      <c r="A636">
        <v>10635</v>
      </c>
      <c r="B636" s="2">
        <v>45932</v>
      </c>
      <c r="C636" t="s">
        <v>238</v>
      </c>
      <c r="D636" t="s">
        <v>239</v>
      </c>
      <c r="E636" t="s">
        <v>137</v>
      </c>
      <c r="F636" t="s">
        <v>46</v>
      </c>
      <c r="G636" t="s">
        <v>41</v>
      </c>
      <c r="H636" t="s">
        <v>42</v>
      </c>
      <c r="I636" t="s">
        <v>37</v>
      </c>
      <c r="J636">
        <v>1</v>
      </c>
      <c r="K636">
        <v>30000</v>
      </c>
      <c r="L636">
        <v>30000</v>
      </c>
    </row>
    <row r="637" spans="1:12" x14ac:dyDescent="0.3">
      <c r="A637">
        <v>10636</v>
      </c>
      <c r="B637" s="2">
        <v>45999</v>
      </c>
      <c r="C637" t="s">
        <v>146</v>
      </c>
      <c r="D637" t="s">
        <v>147</v>
      </c>
      <c r="E637" t="s">
        <v>64</v>
      </c>
      <c r="F637" t="s">
        <v>46</v>
      </c>
      <c r="G637" t="s">
        <v>131</v>
      </c>
      <c r="H637" t="s">
        <v>132</v>
      </c>
      <c r="I637" t="s">
        <v>37</v>
      </c>
      <c r="J637">
        <v>2</v>
      </c>
      <c r="K637">
        <v>4500</v>
      </c>
      <c r="L637">
        <v>9000</v>
      </c>
    </row>
    <row r="638" spans="1:12" x14ac:dyDescent="0.3">
      <c r="A638">
        <v>10637</v>
      </c>
      <c r="B638" s="2">
        <v>45848</v>
      </c>
      <c r="C638" t="s">
        <v>123</v>
      </c>
      <c r="D638" t="s">
        <v>124</v>
      </c>
      <c r="E638" t="s">
        <v>69</v>
      </c>
      <c r="F638" t="s">
        <v>28</v>
      </c>
      <c r="G638" t="s">
        <v>29</v>
      </c>
      <c r="H638" t="s">
        <v>30</v>
      </c>
      <c r="I638" t="s">
        <v>18</v>
      </c>
      <c r="J638">
        <v>1</v>
      </c>
      <c r="K638">
        <v>15000</v>
      </c>
      <c r="L638">
        <v>15000</v>
      </c>
    </row>
    <row r="639" spans="1:12" x14ac:dyDescent="0.3">
      <c r="A639">
        <v>10638</v>
      </c>
      <c r="B639" s="2">
        <v>45904</v>
      </c>
      <c r="C639" t="s">
        <v>58</v>
      </c>
      <c r="D639" t="s">
        <v>59</v>
      </c>
      <c r="E639" t="s">
        <v>21</v>
      </c>
      <c r="F639" t="s">
        <v>15</v>
      </c>
      <c r="G639" t="s">
        <v>47</v>
      </c>
      <c r="H639" t="s">
        <v>48</v>
      </c>
      <c r="I639" t="s">
        <v>49</v>
      </c>
      <c r="J639">
        <v>1</v>
      </c>
      <c r="K639">
        <v>1600</v>
      </c>
      <c r="L639">
        <v>1600</v>
      </c>
    </row>
    <row r="640" spans="1:12" x14ac:dyDescent="0.3">
      <c r="A640">
        <v>10639</v>
      </c>
      <c r="B640" s="2">
        <v>45792</v>
      </c>
      <c r="C640" t="s">
        <v>91</v>
      </c>
      <c r="D640" t="s">
        <v>92</v>
      </c>
      <c r="E640" t="s">
        <v>40</v>
      </c>
      <c r="F640" t="s">
        <v>15</v>
      </c>
      <c r="G640" t="s">
        <v>121</v>
      </c>
      <c r="H640" t="s">
        <v>122</v>
      </c>
      <c r="I640" t="s">
        <v>49</v>
      </c>
      <c r="J640">
        <v>2</v>
      </c>
      <c r="K640">
        <v>4800</v>
      </c>
      <c r="L640">
        <v>9600</v>
      </c>
    </row>
    <row r="641" spans="1:12" x14ac:dyDescent="0.3">
      <c r="A641">
        <v>10640</v>
      </c>
      <c r="B641" s="2">
        <v>45988</v>
      </c>
      <c r="C641" t="s">
        <v>82</v>
      </c>
      <c r="D641" t="s">
        <v>83</v>
      </c>
      <c r="E641" t="s">
        <v>84</v>
      </c>
      <c r="F641" t="s">
        <v>46</v>
      </c>
      <c r="G641" t="s">
        <v>52</v>
      </c>
      <c r="H641" t="s">
        <v>53</v>
      </c>
      <c r="I641" t="s">
        <v>24</v>
      </c>
      <c r="J641">
        <v>2</v>
      </c>
      <c r="K641">
        <v>3500</v>
      </c>
      <c r="L641">
        <v>7000</v>
      </c>
    </row>
    <row r="642" spans="1:12" x14ac:dyDescent="0.3">
      <c r="A642">
        <v>10641</v>
      </c>
      <c r="B642" s="2">
        <v>45903</v>
      </c>
      <c r="C642" t="s">
        <v>175</v>
      </c>
      <c r="D642" t="s">
        <v>176</v>
      </c>
      <c r="E642" t="s">
        <v>84</v>
      </c>
      <c r="F642" t="s">
        <v>46</v>
      </c>
      <c r="G642" t="s">
        <v>109</v>
      </c>
      <c r="H642" t="s">
        <v>110</v>
      </c>
      <c r="I642" t="s">
        <v>18</v>
      </c>
      <c r="J642">
        <v>1</v>
      </c>
      <c r="K642">
        <v>5000</v>
      </c>
      <c r="L642">
        <v>5000</v>
      </c>
    </row>
    <row r="643" spans="1:12" x14ac:dyDescent="0.3">
      <c r="A643">
        <v>10642</v>
      </c>
      <c r="B643" s="2">
        <v>45912</v>
      </c>
      <c r="C643" t="s">
        <v>189</v>
      </c>
      <c r="D643" t="s">
        <v>190</v>
      </c>
      <c r="E643" t="s">
        <v>160</v>
      </c>
      <c r="F643" t="s">
        <v>34</v>
      </c>
      <c r="G643" t="s">
        <v>22</v>
      </c>
      <c r="H643" t="s">
        <v>23</v>
      </c>
      <c r="I643" t="s">
        <v>24</v>
      </c>
      <c r="J643">
        <v>2</v>
      </c>
      <c r="K643">
        <v>2400</v>
      </c>
      <c r="L643">
        <v>4800</v>
      </c>
    </row>
    <row r="644" spans="1:12" x14ac:dyDescent="0.3">
      <c r="A644">
        <v>10643</v>
      </c>
      <c r="B644" s="2">
        <v>46005</v>
      </c>
      <c r="C644" t="s">
        <v>115</v>
      </c>
      <c r="D644" t="s">
        <v>116</v>
      </c>
      <c r="E644" t="s">
        <v>33</v>
      </c>
      <c r="F644" t="s">
        <v>34</v>
      </c>
      <c r="G644" t="s">
        <v>152</v>
      </c>
      <c r="H644" t="s">
        <v>153</v>
      </c>
      <c r="I644" t="s">
        <v>49</v>
      </c>
      <c r="J644">
        <v>1</v>
      </c>
      <c r="K644">
        <v>3200</v>
      </c>
      <c r="L644">
        <v>3200</v>
      </c>
    </row>
    <row r="645" spans="1:12" x14ac:dyDescent="0.3">
      <c r="A645">
        <v>10644</v>
      </c>
      <c r="B645" s="2">
        <v>45913</v>
      </c>
      <c r="C645" t="s">
        <v>12</v>
      </c>
      <c r="D645" t="s">
        <v>13</v>
      </c>
      <c r="E645" t="s">
        <v>14</v>
      </c>
      <c r="F645" t="s">
        <v>15</v>
      </c>
      <c r="G645" t="s">
        <v>131</v>
      </c>
      <c r="H645" t="s">
        <v>132</v>
      </c>
      <c r="I645" t="s">
        <v>37</v>
      </c>
      <c r="J645">
        <v>1</v>
      </c>
      <c r="K645">
        <v>4500</v>
      </c>
      <c r="L645">
        <v>4500</v>
      </c>
    </row>
    <row r="646" spans="1:12" x14ac:dyDescent="0.3">
      <c r="A646">
        <v>10645</v>
      </c>
      <c r="B646" s="2">
        <v>45701</v>
      </c>
      <c r="C646" t="s">
        <v>199</v>
      </c>
      <c r="D646" t="s">
        <v>200</v>
      </c>
      <c r="E646" t="s">
        <v>201</v>
      </c>
      <c r="F646" t="s">
        <v>28</v>
      </c>
      <c r="G646" t="s">
        <v>144</v>
      </c>
      <c r="H646" t="s">
        <v>145</v>
      </c>
      <c r="I646" t="s">
        <v>37</v>
      </c>
      <c r="J646">
        <v>1</v>
      </c>
      <c r="K646">
        <v>65000</v>
      </c>
      <c r="L646">
        <v>65000</v>
      </c>
    </row>
    <row r="647" spans="1:12" x14ac:dyDescent="0.3">
      <c r="A647">
        <v>10646</v>
      </c>
      <c r="B647" s="2">
        <v>45857</v>
      </c>
      <c r="C647" t="s">
        <v>135</v>
      </c>
      <c r="D647" t="s">
        <v>136</v>
      </c>
      <c r="E647" t="s">
        <v>137</v>
      </c>
      <c r="F647" t="s">
        <v>46</v>
      </c>
      <c r="G647" t="s">
        <v>103</v>
      </c>
      <c r="H647" t="s">
        <v>104</v>
      </c>
      <c r="I647" t="s">
        <v>37</v>
      </c>
      <c r="J647">
        <v>4</v>
      </c>
      <c r="K647">
        <v>28000</v>
      </c>
      <c r="L647">
        <v>112000</v>
      </c>
    </row>
    <row r="648" spans="1:12" x14ac:dyDescent="0.3">
      <c r="A648">
        <v>10647</v>
      </c>
      <c r="B648" s="2">
        <v>45872</v>
      </c>
      <c r="C648" t="s">
        <v>214</v>
      </c>
      <c r="D648" t="s">
        <v>215</v>
      </c>
      <c r="E648" t="s">
        <v>137</v>
      </c>
      <c r="F648" t="s">
        <v>46</v>
      </c>
      <c r="G648" t="s">
        <v>89</v>
      </c>
      <c r="H648" t="s">
        <v>90</v>
      </c>
      <c r="I648" t="s">
        <v>18</v>
      </c>
      <c r="J648">
        <v>1</v>
      </c>
      <c r="K648">
        <v>4200</v>
      </c>
      <c r="L648">
        <v>4200</v>
      </c>
    </row>
    <row r="649" spans="1:12" x14ac:dyDescent="0.3">
      <c r="A649">
        <v>10648</v>
      </c>
      <c r="B649" s="2">
        <v>45970</v>
      </c>
      <c r="C649" t="s">
        <v>212</v>
      </c>
      <c r="D649" t="s">
        <v>213</v>
      </c>
      <c r="E649" t="s">
        <v>69</v>
      </c>
      <c r="F649" t="s">
        <v>28</v>
      </c>
      <c r="G649" t="s">
        <v>187</v>
      </c>
      <c r="H649" t="s">
        <v>188</v>
      </c>
      <c r="I649" t="s">
        <v>24</v>
      </c>
      <c r="J649">
        <v>1</v>
      </c>
      <c r="K649">
        <v>5500</v>
      </c>
      <c r="L649">
        <v>5500</v>
      </c>
    </row>
    <row r="650" spans="1:12" x14ac:dyDescent="0.3">
      <c r="A650">
        <v>10649</v>
      </c>
      <c r="B650" s="2">
        <v>45905</v>
      </c>
      <c r="C650" t="s">
        <v>19</v>
      </c>
      <c r="D650" t="s">
        <v>20</v>
      </c>
      <c r="E650" t="s">
        <v>21</v>
      </c>
      <c r="F650" t="s">
        <v>15</v>
      </c>
      <c r="G650" t="s">
        <v>140</v>
      </c>
      <c r="H650" t="s">
        <v>141</v>
      </c>
      <c r="I650" t="s">
        <v>18</v>
      </c>
      <c r="J650">
        <v>2</v>
      </c>
      <c r="K650">
        <v>3000</v>
      </c>
      <c r="L650">
        <v>6000</v>
      </c>
    </row>
    <row r="651" spans="1:12" x14ac:dyDescent="0.3">
      <c r="A651">
        <v>10650</v>
      </c>
      <c r="B651" s="2">
        <v>45948</v>
      </c>
      <c r="C651" t="s">
        <v>171</v>
      </c>
      <c r="D651" t="s">
        <v>172</v>
      </c>
      <c r="E651" t="s">
        <v>45</v>
      </c>
      <c r="F651" t="s">
        <v>46</v>
      </c>
      <c r="G651" t="s">
        <v>96</v>
      </c>
      <c r="H651" t="s">
        <v>97</v>
      </c>
      <c r="I651" t="s">
        <v>37</v>
      </c>
      <c r="J651">
        <v>2</v>
      </c>
      <c r="K651">
        <v>18000</v>
      </c>
      <c r="L651">
        <v>36000</v>
      </c>
    </row>
    <row r="652" spans="1:12" x14ac:dyDescent="0.3">
      <c r="A652">
        <v>10651</v>
      </c>
      <c r="B652" s="2">
        <v>45673</v>
      </c>
      <c r="C652" t="s">
        <v>127</v>
      </c>
      <c r="D652" t="s">
        <v>128</v>
      </c>
      <c r="E652" t="s">
        <v>102</v>
      </c>
      <c r="F652" t="s">
        <v>34</v>
      </c>
      <c r="G652" t="s">
        <v>47</v>
      </c>
      <c r="H652" t="s">
        <v>48</v>
      </c>
      <c r="I652" t="s">
        <v>49</v>
      </c>
      <c r="J652">
        <v>2</v>
      </c>
      <c r="K652">
        <v>1600</v>
      </c>
      <c r="L652">
        <v>3200</v>
      </c>
    </row>
    <row r="653" spans="1:12" x14ac:dyDescent="0.3">
      <c r="A653">
        <v>10652</v>
      </c>
      <c r="B653" s="2">
        <v>45899</v>
      </c>
      <c r="C653" t="s">
        <v>218</v>
      </c>
      <c r="D653" t="s">
        <v>219</v>
      </c>
      <c r="E653" t="s">
        <v>160</v>
      </c>
      <c r="F653" t="s">
        <v>34</v>
      </c>
      <c r="G653" t="s">
        <v>75</v>
      </c>
      <c r="H653" t="s">
        <v>76</v>
      </c>
      <c r="I653" t="s">
        <v>49</v>
      </c>
      <c r="J653">
        <v>2</v>
      </c>
      <c r="K653">
        <v>3000</v>
      </c>
      <c r="L653">
        <v>6000</v>
      </c>
    </row>
    <row r="654" spans="1:12" x14ac:dyDescent="0.3">
      <c r="A654">
        <v>10653</v>
      </c>
      <c r="B654" s="2">
        <v>45806</v>
      </c>
      <c r="C654" t="s">
        <v>117</v>
      </c>
      <c r="D654" t="s">
        <v>118</v>
      </c>
      <c r="E654" t="s">
        <v>95</v>
      </c>
      <c r="F654" t="s">
        <v>15</v>
      </c>
      <c r="G654" t="s">
        <v>75</v>
      </c>
      <c r="H654" t="s">
        <v>76</v>
      </c>
      <c r="I654" t="s">
        <v>49</v>
      </c>
      <c r="J654">
        <v>2</v>
      </c>
      <c r="K654">
        <v>3000</v>
      </c>
      <c r="L654">
        <v>6000</v>
      </c>
    </row>
    <row r="655" spans="1:12" x14ac:dyDescent="0.3">
      <c r="A655">
        <v>10654</v>
      </c>
      <c r="B655" s="2">
        <v>45841</v>
      </c>
      <c r="C655" t="s">
        <v>62</v>
      </c>
      <c r="D655" t="s">
        <v>63</v>
      </c>
      <c r="E655" t="s">
        <v>64</v>
      </c>
      <c r="F655" t="s">
        <v>46</v>
      </c>
      <c r="G655" t="s">
        <v>125</v>
      </c>
      <c r="H655" t="s">
        <v>126</v>
      </c>
      <c r="I655" t="s">
        <v>37</v>
      </c>
      <c r="J655">
        <v>2</v>
      </c>
      <c r="K655">
        <v>22000</v>
      </c>
      <c r="L655">
        <v>44000</v>
      </c>
    </row>
    <row r="656" spans="1:12" x14ac:dyDescent="0.3">
      <c r="A656">
        <v>10655</v>
      </c>
      <c r="B656" s="2">
        <v>45886</v>
      </c>
      <c r="C656" t="s">
        <v>119</v>
      </c>
      <c r="D656" t="s">
        <v>120</v>
      </c>
      <c r="E656" t="s">
        <v>27</v>
      </c>
      <c r="F656" t="s">
        <v>28</v>
      </c>
      <c r="G656" t="s">
        <v>113</v>
      </c>
      <c r="H656" t="s">
        <v>114</v>
      </c>
      <c r="I656" t="s">
        <v>37</v>
      </c>
      <c r="J656">
        <v>1</v>
      </c>
      <c r="K656">
        <v>52000</v>
      </c>
      <c r="L656">
        <v>52000</v>
      </c>
    </row>
    <row r="657" spans="1:12" x14ac:dyDescent="0.3">
      <c r="A657">
        <v>10656</v>
      </c>
      <c r="B657" s="2">
        <v>45938</v>
      </c>
      <c r="C657" t="s">
        <v>220</v>
      </c>
      <c r="D657" t="s">
        <v>221</v>
      </c>
      <c r="E657" t="s">
        <v>102</v>
      </c>
      <c r="F657" t="s">
        <v>34</v>
      </c>
      <c r="G657" t="s">
        <v>131</v>
      </c>
      <c r="H657" t="s">
        <v>132</v>
      </c>
      <c r="I657" t="s">
        <v>37</v>
      </c>
      <c r="J657">
        <v>1</v>
      </c>
      <c r="K657">
        <v>4500</v>
      </c>
      <c r="L657">
        <v>4500</v>
      </c>
    </row>
    <row r="658" spans="1:12" x14ac:dyDescent="0.3">
      <c r="A658">
        <v>10657</v>
      </c>
      <c r="B658" s="2">
        <v>45967</v>
      </c>
      <c r="C658" t="s">
        <v>107</v>
      </c>
      <c r="D658" t="s">
        <v>108</v>
      </c>
      <c r="E658" t="s">
        <v>74</v>
      </c>
      <c r="F658" t="s">
        <v>28</v>
      </c>
      <c r="G658" t="s">
        <v>125</v>
      </c>
      <c r="H658" t="s">
        <v>126</v>
      </c>
      <c r="I658" t="s">
        <v>37</v>
      </c>
      <c r="J658">
        <v>1</v>
      </c>
      <c r="K658">
        <v>22000</v>
      </c>
      <c r="L658">
        <v>22000</v>
      </c>
    </row>
    <row r="659" spans="1:12" x14ac:dyDescent="0.3">
      <c r="A659">
        <v>10658</v>
      </c>
      <c r="B659" s="2">
        <v>45768</v>
      </c>
      <c r="C659" t="s">
        <v>100</v>
      </c>
      <c r="D659" t="s">
        <v>101</v>
      </c>
      <c r="E659" t="s">
        <v>102</v>
      </c>
      <c r="F659" t="s">
        <v>34</v>
      </c>
      <c r="G659" t="s">
        <v>144</v>
      </c>
      <c r="H659" t="s">
        <v>145</v>
      </c>
      <c r="I659" t="s">
        <v>37</v>
      </c>
      <c r="J659">
        <v>2</v>
      </c>
      <c r="K659">
        <v>65000</v>
      </c>
      <c r="L659">
        <v>130000</v>
      </c>
    </row>
    <row r="660" spans="1:12" x14ac:dyDescent="0.3">
      <c r="A660">
        <v>10659</v>
      </c>
      <c r="B660" s="2">
        <v>45787</v>
      </c>
      <c r="C660" t="s">
        <v>105</v>
      </c>
      <c r="D660" t="s">
        <v>106</v>
      </c>
      <c r="E660" t="s">
        <v>45</v>
      </c>
      <c r="F660" t="s">
        <v>46</v>
      </c>
      <c r="G660" t="s">
        <v>52</v>
      </c>
      <c r="H660" t="s">
        <v>53</v>
      </c>
      <c r="I660" t="s">
        <v>24</v>
      </c>
      <c r="J660">
        <v>1</v>
      </c>
      <c r="K660">
        <v>3500</v>
      </c>
      <c r="L660">
        <v>3500</v>
      </c>
    </row>
    <row r="661" spans="1:12" x14ac:dyDescent="0.3">
      <c r="A661">
        <v>10660</v>
      </c>
      <c r="B661" s="2">
        <v>45709</v>
      </c>
      <c r="C661" t="s">
        <v>19</v>
      </c>
      <c r="D661" t="s">
        <v>20</v>
      </c>
      <c r="E661" t="s">
        <v>21</v>
      </c>
      <c r="F661" t="s">
        <v>15</v>
      </c>
      <c r="G661" t="s">
        <v>177</v>
      </c>
      <c r="H661" t="s">
        <v>178</v>
      </c>
      <c r="I661" t="s">
        <v>37</v>
      </c>
      <c r="J661">
        <v>2</v>
      </c>
      <c r="K661">
        <v>2500</v>
      </c>
      <c r="L661">
        <v>5000</v>
      </c>
    </row>
    <row r="662" spans="1:12" x14ac:dyDescent="0.3">
      <c r="A662">
        <v>10661</v>
      </c>
      <c r="B662" s="2">
        <v>45783</v>
      </c>
      <c r="C662" t="s">
        <v>146</v>
      </c>
      <c r="D662" t="s">
        <v>147</v>
      </c>
      <c r="E662" t="s">
        <v>64</v>
      </c>
      <c r="F662" t="s">
        <v>46</v>
      </c>
      <c r="G662" t="s">
        <v>109</v>
      </c>
      <c r="H662" t="s">
        <v>110</v>
      </c>
      <c r="I662" t="s">
        <v>18</v>
      </c>
      <c r="J662">
        <v>2</v>
      </c>
      <c r="K662">
        <v>5000</v>
      </c>
      <c r="L662">
        <v>10000</v>
      </c>
    </row>
    <row r="663" spans="1:12" x14ac:dyDescent="0.3">
      <c r="A663">
        <v>10662</v>
      </c>
      <c r="B663" s="2">
        <v>45714</v>
      </c>
      <c r="C663" t="s">
        <v>25</v>
      </c>
      <c r="D663" t="s">
        <v>26</v>
      </c>
      <c r="E663" t="s">
        <v>27</v>
      </c>
      <c r="F663" t="s">
        <v>28</v>
      </c>
      <c r="G663" t="s">
        <v>35</v>
      </c>
      <c r="H663" t="s">
        <v>36</v>
      </c>
      <c r="I663" t="s">
        <v>37</v>
      </c>
      <c r="J663">
        <v>2</v>
      </c>
      <c r="K663">
        <v>12000</v>
      </c>
      <c r="L663">
        <v>24000</v>
      </c>
    </row>
    <row r="664" spans="1:12" x14ac:dyDescent="0.3">
      <c r="A664">
        <v>10663</v>
      </c>
      <c r="B664" s="2">
        <v>45682</v>
      </c>
      <c r="C664" t="s">
        <v>62</v>
      </c>
      <c r="D664" t="s">
        <v>63</v>
      </c>
      <c r="E664" t="s">
        <v>64</v>
      </c>
      <c r="F664" t="s">
        <v>46</v>
      </c>
      <c r="G664" t="s">
        <v>131</v>
      </c>
      <c r="H664" t="s">
        <v>132</v>
      </c>
      <c r="I664" t="s">
        <v>37</v>
      </c>
      <c r="J664">
        <v>2</v>
      </c>
      <c r="K664">
        <v>4500</v>
      </c>
      <c r="L664">
        <v>9000</v>
      </c>
    </row>
    <row r="665" spans="1:12" x14ac:dyDescent="0.3">
      <c r="A665">
        <v>10664</v>
      </c>
      <c r="B665" s="2">
        <v>45702</v>
      </c>
      <c r="C665" t="s">
        <v>105</v>
      </c>
      <c r="D665" t="s">
        <v>106</v>
      </c>
      <c r="E665" t="s">
        <v>45</v>
      </c>
      <c r="F665" t="s">
        <v>46</v>
      </c>
      <c r="G665" t="s">
        <v>98</v>
      </c>
      <c r="H665" t="s">
        <v>99</v>
      </c>
      <c r="I665" t="s">
        <v>24</v>
      </c>
      <c r="J665">
        <v>2</v>
      </c>
      <c r="K665">
        <v>2000</v>
      </c>
      <c r="L665">
        <v>4000</v>
      </c>
    </row>
    <row r="666" spans="1:12" x14ac:dyDescent="0.3">
      <c r="A666">
        <v>10665</v>
      </c>
      <c r="B666" s="2">
        <v>45964</v>
      </c>
      <c r="C666" t="s">
        <v>85</v>
      </c>
      <c r="D666" t="s">
        <v>86</v>
      </c>
      <c r="E666" t="s">
        <v>45</v>
      </c>
      <c r="F666" t="s">
        <v>46</v>
      </c>
      <c r="G666" t="s">
        <v>113</v>
      </c>
      <c r="H666" t="s">
        <v>114</v>
      </c>
      <c r="I666" t="s">
        <v>37</v>
      </c>
      <c r="J666">
        <v>2</v>
      </c>
      <c r="K666">
        <v>52000</v>
      </c>
      <c r="L666">
        <v>104000</v>
      </c>
    </row>
    <row r="667" spans="1:12" x14ac:dyDescent="0.3">
      <c r="A667">
        <v>10666</v>
      </c>
      <c r="B667" s="2">
        <v>45712</v>
      </c>
      <c r="C667" t="s">
        <v>85</v>
      </c>
      <c r="D667" t="s">
        <v>86</v>
      </c>
      <c r="E667" t="s">
        <v>45</v>
      </c>
      <c r="F667" t="s">
        <v>46</v>
      </c>
      <c r="G667" t="s">
        <v>75</v>
      </c>
      <c r="H667" t="s">
        <v>76</v>
      </c>
      <c r="I667" t="s">
        <v>49</v>
      </c>
      <c r="J667">
        <v>1</v>
      </c>
      <c r="K667">
        <v>3000</v>
      </c>
      <c r="L667">
        <v>3000</v>
      </c>
    </row>
    <row r="668" spans="1:12" x14ac:dyDescent="0.3">
      <c r="A668">
        <v>10667</v>
      </c>
      <c r="B668" s="2">
        <v>45857</v>
      </c>
      <c r="C668" t="s">
        <v>19</v>
      </c>
      <c r="D668" t="s">
        <v>20</v>
      </c>
      <c r="E668" t="s">
        <v>21</v>
      </c>
      <c r="F668" t="s">
        <v>15</v>
      </c>
      <c r="G668" t="s">
        <v>125</v>
      </c>
      <c r="H668" t="s">
        <v>126</v>
      </c>
      <c r="I668" t="s">
        <v>37</v>
      </c>
      <c r="J668">
        <v>2</v>
      </c>
      <c r="K668">
        <v>22000</v>
      </c>
      <c r="L668">
        <v>44000</v>
      </c>
    </row>
    <row r="669" spans="1:12" x14ac:dyDescent="0.3">
      <c r="A669">
        <v>10668</v>
      </c>
      <c r="B669" s="2">
        <v>45996</v>
      </c>
      <c r="C669" t="s">
        <v>38</v>
      </c>
      <c r="D669" t="s">
        <v>39</v>
      </c>
      <c r="E669" t="s">
        <v>40</v>
      </c>
      <c r="F669" t="s">
        <v>15</v>
      </c>
      <c r="G669" t="s">
        <v>103</v>
      </c>
      <c r="H669" t="s">
        <v>104</v>
      </c>
      <c r="I669" t="s">
        <v>37</v>
      </c>
      <c r="J669">
        <v>1</v>
      </c>
      <c r="K669">
        <v>28000</v>
      </c>
      <c r="L669">
        <v>28000</v>
      </c>
    </row>
    <row r="670" spans="1:12" x14ac:dyDescent="0.3">
      <c r="A670">
        <v>10669</v>
      </c>
      <c r="B670" s="2">
        <v>45916</v>
      </c>
      <c r="C670" t="s">
        <v>135</v>
      </c>
      <c r="D670" t="s">
        <v>136</v>
      </c>
      <c r="E670" t="s">
        <v>137</v>
      </c>
      <c r="F670" t="s">
        <v>46</v>
      </c>
      <c r="G670" t="s">
        <v>89</v>
      </c>
      <c r="H670" t="s">
        <v>90</v>
      </c>
      <c r="I670" t="s">
        <v>18</v>
      </c>
      <c r="J670">
        <v>2</v>
      </c>
      <c r="K670">
        <v>4200</v>
      </c>
      <c r="L670">
        <v>8400</v>
      </c>
    </row>
    <row r="671" spans="1:12" x14ac:dyDescent="0.3">
      <c r="A671">
        <v>10670</v>
      </c>
      <c r="B671" s="2">
        <v>45951</v>
      </c>
      <c r="C671" t="s">
        <v>93</v>
      </c>
      <c r="D671" t="s">
        <v>94</v>
      </c>
      <c r="E671" t="s">
        <v>95</v>
      </c>
      <c r="F671" t="s">
        <v>15</v>
      </c>
      <c r="G671" t="s">
        <v>121</v>
      </c>
      <c r="H671" t="s">
        <v>122</v>
      </c>
      <c r="I671" t="s">
        <v>49</v>
      </c>
      <c r="J671">
        <v>2</v>
      </c>
      <c r="K671">
        <v>4800</v>
      </c>
      <c r="L671">
        <v>9600</v>
      </c>
    </row>
    <row r="672" spans="1:12" x14ac:dyDescent="0.3">
      <c r="A672">
        <v>10671</v>
      </c>
      <c r="B672" s="2">
        <v>45979</v>
      </c>
      <c r="C672" t="s">
        <v>195</v>
      </c>
      <c r="D672" t="s">
        <v>196</v>
      </c>
      <c r="E672" t="s">
        <v>102</v>
      </c>
      <c r="F672" t="s">
        <v>34</v>
      </c>
      <c r="G672" t="s">
        <v>47</v>
      </c>
      <c r="H672" t="s">
        <v>48</v>
      </c>
      <c r="I672" t="s">
        <v>49</v>
      </c>
      <c r="J672">
        <v>3</v>
      </c>
      <c r="K672">
        <v>1600</v>
      </c>
      <c r="L672">
        <v>4800</v>
      </c>
    </row>
    <row r="673" spans="1:12" x14ac:dyDescent="0.3">
      <c r="A673">
        <v>10672</v>
      </c>
      <c r="B673" s="2">
        <v>45823</v>
      </c>
      <c r="C673" t="s">
        <v>105</v>
      </c>
      <c r="D673" t="s">
        <v>106</v>
      </c>
      <c r="E673" t="s">
        <v>45</v>
      </c>
      <c r="F673" t="s">
        <v>46</v>
      </c>
      <c r="G673" t="s">
        <v>96</v>
      </c>
      <c r="H673" t="s">
        <v>97</v>
      </c>
      <c r="I673" t="s">
        <v>37</v>
      </c>
      <c r="J673">
        <v>1</v>
      </c>
      <c r="K673">
        <v>18000</v>
      </c>
      <c r="L673">
        <v>18000</v>
      </c>
    </row>
    <row r="674" spans="1:12" x14ac:dyDescent="0.3">
      <c r="A674">
        <v>10673</v>
      </c>
      <c r="B674" s="2">
        <v>45670</v>
      </c>
      <c r="C674" t="s">
        <v>133</v>
      </c>
      <c r="D674" t="s">
        <v>134</v>
      </c>
      <c r="E674" t="s">
        <v>33</v>
      </c>
      <c r="F674" t="s">
        <v>34</v>
      </c>
      <c r="G674" t="s">
        <v>152</v>
      </c>
      <c r="H674" t="s">
        <v>153</v>
      </c>
      <c r="I674" t="s">
        <v>49</v>
      </c>
      <c r="J674">
        <v>2</v>
      </c>
      <c r="K674">
        <v>3200</v>
      </c>
      <c r="L674">
        <v>6400</v>
      </c>
    </row>
    <row r="675" spans="1:12" x14ac:dyDescent="0.3">
      <c r="A675">
        <v>10674</v>
      </c>
      <c r="B675" s="2">
        <v>45701</v>
      </c>
      <c r="C675" t="s">
        <v>77</v>
      </c>
      <c r="D675" t="s">
        <v>78</v>
      </c>
      <c r="E675" t="s">
        <v>79</v>
      </c>
      <c r="F675" t="s">
        <v>34</v>
      </c>
      <c r="G675" t="s">
        <v>121</v>
      </c>
      <c r="H675" t="s">
        <v>122</v>
      </c>
      <c r="I675" t="s">
        <v>49</v>
      </c>
      <c r="J675">
        <v>3</v>
      </c>
      <c r="K675">
        <v>4800</v>
      </c>
      <c r="L675">
        <v>14400</v>
      </c>
    </row>
    <row r="676" spans="1:12" x14ac:dyDescent="0.3">
      <c r="A676">
        <v>10675</v>
      </c>
      <c r="B676" s="2">
        <v>45680</v>
      </c>
      <c r="C676" t="s">
        <v>127</v>
      </c>
      <c r="D676" t="s">
        <v>128</v>
      </c>
      <c r="E676" t="s">
        <v>102</v>
      </c>
      <c r="F676" t="s">
        <v>34</v>
      </c>
      <c r="G676" t="s">
        <v>109</v>
      </c>
      <c r="H676" t="s">
        <v>110</v>
      </c>
      <c r="I676" t="s">
        <v>18</v>
      </c>
      <c r="J676">
        <v>1</v>
      </c>
      <c r="K676">
        <v>5000</v>
      </c>
      <c r="L676">
        <v>5000</v>
      </c>
    </row>
    <row r="677" spans="1:12" x14ac:dyDescent="0.3">
      <c r="A677">
        <v>10676</v>
      </c>
      <c r="B677" s="2">
        <v>45884</v>
      </c>
      <c r="C677" t="s">
        <v>38</v>
      </c>
      <c r="D677" t="s">
        <v>39</v>
      </c>
      <c r="E677" t="s">
        <v>40</v>
      </c>
      <c r="F677" t="s">
        <v>15</v>
      </c>
      <c r="G677" t="s">
        <v>60</v>
      </c>
      <c r="H677" t="s">
        <v>61</v>
      </c>
      <c r="I677" t="s">
        <v>18</v>
      </c>
      <c r="J677">
        <v>1</v>
      </c>
      <c r="K677">
        <v>2200</v>
      </c>
      <c r="L677">
        <v>2200</v>
      </c>
    </row>
    <row r="678" spans="1:12" x14ac:dyDescent="0.3">
      <c r="A678">
        <v>10677</v>
      </c>
      <c r="B678" s="2">
        <v>45756</v>
      </c>
      <c r="C678" t="s">
        <v>156</v>
      </c>
      <c r="D678" t="s">
        <v>157</v>
      </c>
      <c r="E678" t="s">
        <v>95</v>
      </c>
      <c r="F678" t="s">
        <v>15</v>
      </c>
      <c r="G678" t="s">
        <v>187</v>
      </c>
      <c r="H678" t="s">
        <v>188</v>
      </c>
      <c r="I678" t="s">
        <v>24</v>
      </c>
      <c r="J678">
        <v>2</v>
      </c>
      <c r="K678">
        <v>5500</v>
      </c>
      <c r="L678">
        <v>11000</v>
      </c>
    </row>
    <row r="679" spans="1:12" x14ac:dyDescent="0.3">
      <c r="A679">
        <v>10678</v>
      </c>
      <c r="B679" s="2">
        <v>45709</v>
      </c>
      <c r="C679" t="s">
        <v>220</v>
      </c>
      <c r="D679" t="s">
        <v>221</v>
      </c>
      <c r="E679" t="s">
        <v>102</v>
      </c>
      <c r="F679" t="s">
        <v>34</v>
      </c>
      <c r="G679" t="s">
        <v>70</v>
      </c>
      <c r="H679" t="s">
        <v>71</v>
      </c>
      <c r="I679" t="s">
        <v>37</v>
      </c>
      <c r="J679">
        <v>2</v>
      </c>
      <c r="K679">
        <v>2200</v>
      </c>
      <c r="L679">
        <v>4400</v>
      </c>
    </row>
    <row r="680" spans="1:12" x14ac:dyDescent="0.3">
      <c r="A680">
        <v>10679</v>
      </c>
      <c r="B680" s="2">
        <v>45697</v>
      </c>
      <c r="C680" t="s">
        <v>193</v>
      </c>
      <c r="D680" t="s">
        <v>194</v>
      </c>
      <c r="E680" t="s">
        <v>102</v>
      </c>
      <c r="F680" t="s">
        <v>34</v>
      </c>
      <c r="G680" t="s">
        <v>98</v>
      </c>
      <c r="H680" t="s">
        <v>99</v>
      </c>
      <c r="I680" t="s">
        <v>24</v>
      </c>
      <c r="J680">
        <v>3</v>
      </c>
      <c r="K680">
        <v>2000</v>
      </c>
      <c r="L680">
        <v>6000</v>
      </c>
    </row>
    <row r="681" spans="1:12" x14ac:dyDescent="0.3">
      <c r="A681">
        <v>10680</v>
      </c>
      <c r="B681" s="2">
        <v>45778</v>
      </c>
      <c r="C681" t="s">
        <v>169</v>
      </c>
      <c r="D681" t="s">
        <v>170</v>
      </c>
      <c r="E681" t="s">
        <v>64</v>
      </c>
      <c r="F681" t="s">
        <v>46</v>
      </c>
      <c r="G681" t="s">
        <v>41</v>
      </c>
      <c r="H681" t="s">
        <v>42</v>
      </c>
      <c r="I681" t="s">
        <v>37</v>
      </c>
      <c r="J681">
        <v>3</v>
      </c>
      <c r="K681">
        <v>30000</v>
      </c>
      <c r="L681">
        <v>90000</v>
      </c>
    </row>
    <row r="682" spans="1:12" x14ac:dyDescent="0.3">
      <c r="A682">
        <v>10681</v>
      </c>
      <c r="B682" s="2">
        <v>45920</v>
      </c>
      <c r="C682" t="s">
        <v>107</v>
      </c>
      <c r="D682" t="s">
        <v>108</v>
      </c>
      <c r="E682" t="s">
        <v>74</v>
      </c>
      <c r="F682" t="s">
        <v>28</v>
      </c>
      <c r="G682" t="s">
        <v>96</v>
      </c>
      <c r="H682" t="s">
        <v>97</v>
      </c>
      <c r="I682" t="s">
        <v>37</v>
      </c>
      <c r="J682">
        <v>1</v>
      </c>
      <c r="K682">
        <v>18000</v>
      </c>
      <c r="L682">
        <v>18000</v>
      </c>
    </row>
    <row r="683" spans="1:12" x14ac:dyDescent="0.3">
      <c r="A683">
        <v>10682</v>
      </c>
      <c r="B683" s="2">
        <v>45680</v>
      </c>
      <c r="C683" t="s">
        <v>236</v>
      </c>
      <c r="D683" t="s">
        <v>237</v>
      </c>
      <c r="E683" t="s">
        <v>201</v>
      </c>
      <c r="F683" t="s">
        <v>28</v>
      </c>
      <c r="G683" t="s">
        <v>144</v>
      </c>
      <c r="H683" t="s">
        <v>145</v>
      </c>
      <c r="I683" t="s">
        <v>37</v>
      </c>
      <c r="J683">
        <v>1</v>
      </c>
      <c r="K683">
        <v>65000</v>
      </c>
      <c r="L683">
        <v>65000</v>
      </c>
    </row>
    <row r="684" spans="1:12" x14ac:dyDescent="0.3">
      <c r="A684">
        <v>10683</v>
      </c>
      <c r="B684" s="2">
        <v>45979</v>
      </c>
      <c r="C684" t="s">
        <v>43</v>
      </c>
      <c r="D684" t="s">
        <v>44</v>
      </c>
      <c r="E684" t="s">
        <v>45</v>
      </c>
      <c r="F684" t="s">
        <v>46</v>
      </c>
      <c r="G684" t="s">
        <v>16</v>
      </c>
      <c r="H684" t="s">
        <v>17</v>
      </c>
      <c r="I684" t="s">
        <v>18</v>
      </c>
      <c r="J684">
        <v>5</v>
      </c>
      <c r="K684">
        <v>11000</v>
      </c>
      <c r="L684">
        <v>55000</v>
      </c>
    </row>
    <row r="685" spans="1:12" x14ac:dyDescent="0.3">
      <c r="A685">
        <v>10684</v>
      </c>
      <c r="B685" s="2">
        <v>45848</v>
      </c>
      <c r="C685" t="s">
        <v>197</v>
      </c>
      <c r="D685" t="s">
        <v>198</v>
      </c>
      <c r="E685" t="s">
        <v>95</v>
      </c>
      <c r="F685" t="s">
        <v>15</v>
      </c>
      <c r="G685" t="s">
        <v>187</v>
      </c>
      <c r="H685" t="s">
        <v>188</v>
      </c>
      <c r="I685" t="s">
        <v>24</v>
      </c>
      <c r="J685">
        <v>1</v>
      </c>
      <c r="K685">
        <v>5500</v>
      </c>
      <c r="L685">
        <v>5500</v>
      </c>
    </row>
    <row r="686" spans="1:12" x14ac:dyDescent="0.3">
      <c r="A686">
        <v>10685</v>
      </c>
      <c r="B686" s="2">
        <v>45700</v>
      </c>
      <c r="C686" t="s">
        <v>91</v>
      </c>
      <c r="D686" t="s">
        <v>92</v>
      </c>
      <c r="E686" t="s">
        <v>40</v>
      </c>
      <c r="F686" t="s">
        <v>15</v>
      </c>
      <c r="G686" t="s">
        <v>16</v>
      </c>
      <c r="H686" t="s">
        <v>17</v>
      </c>
      <c r="I686" t="s">
        <v>18</v>
      </c>
      <c r="J686">
        <v>1</v>
      </c>
      <c r="K686">
        <v>11000</v>
      </c>
      <c r="L686">
        <v>11000</v>
      </c>
    </row>
    <row r="687" spans="1:12" x14ac:dyDescent="0.3">
      <c r="A687">
        <v>10686</v>
      </c>
      <c r="B687" s="2">
        <v>45680</v>
      </c>
      <c r="C687" t="s">
        <v>242</v>
      </c>
      <c r="D687" t="s">
        <v>243</v>
      </c>
      <c r="E687" t="s">
        <v>40</v>
      </c>
      <c r="F687" t="s">
        <v>15</v>
      </c>
      <c r="G687" t="s">
        <v>56</v>
      </c>
      <c r="H687" t="s">
        <v>57</v>
      </c>
      <c r="I687" t="s">
        <v>18</v>
      </c>
      <c r="J687">
        <v>1</v>
      </c>
      <c r="K687">
        <v>9000</v>
      </c>
      <c r="L687">
        <v>9000</v>
      </c>
    </row>
    <row r="688" spans="1:12" x14ac:dyDescent="0.3">
      <c r="A688">
        <v>10687</v>
      </c>
      <c r="B688" s="2">
        <v>45763</v>
      </c>
      <c r="C688" t="s">
        <v>236</v>
      </c>
      <c r="D688" t="s">
        <v>237</v>
      </c>
      <c r="E688" t="s">
        <v>201</v>
      </c>
      <c r="F688" t="s">
        <v>28</v>
      </c>
      <c r="G688" t="s">
        <v>144</v>
      </c>
      <c r="H688" t="s">
        <v>145</v>
      </c>
      <c r="I688" t="s">
        <v>37</v>
      </c>
      <c r="J688">
        <v>1</v>
      </c>
      <c r="K688">
        <v>65000</v>
      </c>
      <c r="L688">
        <v>65000</v>
      </c>
    </row>
    <row r="689" spans="1:12" x14ac:dyDescent="0.3">
      <c r="A689">
        <v>10688</v>
      </c>
      <c r="B689" s="2">
        <v>45913</v>
      </c>
      <c r="C689" t="s">
        <v>115</v>
      </c>
      <c r="D689" t="s">
        <v>116</v>
      </c>
      <c r="E689" t="s">
        <v>33</v>
      </c>
      <c r="F689" t="s">
        <v>34</v>
      </c>
      <c r="G689" t="s">
        <v>96</v>
      </c>
      <c r="H689" t="s">
        <v>97</v>
      </c>
      <c r="I689" t="s">
        <v>37</v>
      </c>
      <c r="J689">
        <v>3</v>
      </c>
      <c r="K689">
        <v>18000</v>
      </c>
      <c r="L689">
        <v>54000</v>
      </c>
    </row>
    <row r="690" spans="1:12" x14ac:dyDescent="0.3">
      <c r="A690">
        <v>10689</v>
      </c>
      <c r="B690" s="2">
        <v>45778</v>
      </c>
      <c r="C690" t="s">
        <v>91</v>
      </c>
      <c r="D690" t="s">
        <v>92</v>
      </c>
      <c r="E690" t="s">
        <v>40</v>
      </c>
      <c r="F690" t="s">
        <v>15</v>
      </c>
      <c r="G690" t="s">
        <v>41</v>
      </c>
      <c r="H690" t="s">
        <v>42</v>
      </c>
      <c r="I690" t="s">
        <v>37</v>
      </c>
      <c r="J690">
        <v>1</v>
      </c>
      <c r="K690">
        <v>30000</v>
      </c>
      <c r="L690">
        <v>30000</v>
      </c>
    </row>
    <row r="691" spans="1:12" x14ac:dyDescent="0.3">
      <c r="A691">
        <v>10690</v>
      </c>
      <c r="B691" s="2">
        <v>45931</v>
      </c>
      <c r="C691" t="s">
        <v>212</v>
      </c>
      <c r="D691" t="s">
        <v>213</v>
      </c>
      <c r="E691" t="s">
        <v>69</v>
      </c>
      <c r="F691" t="s">
        <v>28</v>
      </c>
      <c r="G691" t="s">
        <v>22</v>
      </c>
      <c r="H691" t="s">
        <v>23</v>
      </c>
      <c r="I691" t="s">
        <v>24</v>
      </c>
      <c r="J691">
        <v>2</v>
      </c>
      <c r="K691">
        <v>2400</v>
      </c>
      <c r="L691">
        <v>4800</v>
      </c>
    </row>
    <row r="692" spans="1:12" x14ac:dyDescent="0.3">
      <c r="A692">
        <v>10691</v>
      </c>
      <c r="B692" s="2">
        <v>45746</v>
      </c>
      <c r="C692" t="s">
        <v>183</v>
      </c>
      <c r="D692" t="s">
        <v>184</v>
      </c>
      <c r="E692" t="s">
        <v>27</v>
      </c>
      <c r="F692" t="s">
        <v>28</v>
      </c>
      <c r="G692" t="s">
        <v>129</v>
      </c>
      <c r="H692" t="s">
        <v>130</v>
      </c>
      <c r="I692" t="s">
        <v>24</v>
      </c>
      <c r="J692">
        <v>1</v>
      </c>
      <c r="K692">
        <v>1400</v>
      </c>
      <c r="L692">
        <v>1400</v>
      </c>
    </row>
    <row r="693" spans="1:12" x14ac:dyDescent="0.3">
      <c r="A693">
        <v>10692</v>
      </c>
      <c r="B693" s="2">
        <v>45785</v>
      </c>
      <c r="C693" t="s">
        <v>244</v>
      </c>
      <c r="D693" t="s">
        <v>245</v>
      </c>
      <c r="E693" t="s">
        <v>45</v>
      </c>
      <c r="F693" t="s">
        <v>46</v>
      </c>
      <c r="G693" t="s">
        <v>167</v>
      </c>
      <c r="H693" t="s">
        <v>168</v>
      </c>
      <c r="I693" t="s">
        <v>49</v>
      </c>
      <c r="J693">
        <v>1</v>
      </c>
      <c r="K693">
        <v>3800</v>
      </c>
      <c r="L693">
        <v>3800</v>
      </c>
    </row>
    <row r="694" spans="1:12" x14ac:dyDescent="0.3">
      <c r="A694">
        <v>10693</v>
      </c>
      <c r="B694" s="2">
        <v>45928</v>
      </c>
      <c r="C694" t="s">
        <v>111</v>
      </c>
      <c r="D694" t="s">
        <v>112</v>
      </c>
      <c r="E694" t="s">
        <v>40</v>
      </c>
      <c r="F694" t="s">
        <v>15</v>
      </c>
      <c r="G694" t="s">
        <v>179</v>
      </c>
      <c r="H694" t="s">
        <v>180</v>
      </c>
      <c r="I694" t="s">
        <v>18</v>
      </c>
      <c r="J694">
        <v>2</v>
      </c>
      <c r="K694">
        <v>6500</v>
      </c>
      <c r="L694">
        <v>13000</v>
      </c>
    </row>
    <row r="695" spans="1:12" x14ac:dyDescent="0.3">
      <c r="A695">
        <v>10694</v>
      </c>
      <c r="B695" s="2">
        <v>45759</v>
      </c>
      <c r="C695" t="s">
        <v>169</v>
      </c>
      <c r="D695" t="s">
        <v>170</v>
      </c>
      <c r="E695" t="s">
        <v>64</v>
      </c>
      <c r="F695" t="s">
        <v>46</v>
      </c>
      <c r="G695" t="s">
        <v>163</v>
      </c>
      <c r="H695" t="s">
        <v>164</v>
      </c>
      <c r="I695" t="s">
        <v>49</v>
      </c>
      <c r="J695">
        <v>1</v>
      </c>
      <c r="K695">
        <v>4200</v>
      </c>
      <c r="L695">
        <v>4200</v>
      </c>
    </row>
    <row r="696" spans="1:12" x14ac:dyDescent="0.3">
      <c r="A696">
        <v>10695</v>
      </c>
      <c r="B696" s="2">
        <v>45674</v>
      </c>
      <c r="C696" t="s">
        <v>72</v>
      </c>
      <c r="D696" t="s">
        <v>73</v>
      </c>
      <c r="E696" t="s">
        <v>74</v>
      </c>
      <c r="F696" t="s">
        <v>28</v>
      </c>
      <c r="G696" t="s">
        <v>167</v>
      </c>
      <c r="H696" t="s">
        <v>168</v>
      </c>
      <c r="I696" t="s">
        <v>49</v>
      </c>
      <c r="J696">
        <v>5</v>
      </c>
      <c r="K696">
        <v>3800</v>
      </c>
      <c r="L696">
        <v>19000</v>
      </c>
    </row>
    <row r="697" spans="1:12" x14ac:dyDescent="0.3">
      <c r="A697">
        <v>10696</v>
      </c>
      <c r="B697" s="2">
        <v>45978</v>
      </c>
      <c r="C697" t="s">
        <v>105</v>
      </c>
      <c r="D697" t="s">
        <v>106</v>
      </c>
      <c r="E697" t="s">
        <v>45</v>
      </c>
      <c r="F697" t="s">
        <v>46</v>
      </c>
      <c r="G697" t="s">
        <v>113</v>
      </c>
      <c r="H697" t="s">
        <v>114</v>
      </c>
      <c r="I697" t="s">
        <v>37</v>
      </c>
      <c r="J697">
        <v>1</v>
      </c>
      <c r="K697">
        <v>52000</v>
      </c>
      <c r="L697">
        <v>52000</v>
      </c>
    </row>
    <row r="698" spans="1:12" x14ac:dyDescent="0.3">
      <c r="A698">
        <v>10697</v>
      </c>
      <c r="B698" s="2">
        <v>45716</v>
      </c>
      <c r="C698" t="s">
        <v>206</v>
      </c>
      <c r="D698" t="s">
        <v>207</v>
      </c>
      <c r="E698" t="s">
        <v>160</v>
      </c>
      <c r="F698" t="s">
        <v>34</v>
      </c>
      <c r="G698" t="s">
        <v>22</v>
      </c>
      <c r="H698" t="s">
        <v>23</v>
      </c>
      <c r="I698" t="s">
        <v>24</v>
      </c>
      <c r="J698">
        <v>1</v>
      </c>
      <c r="K698">
        <v>2400</v>
      </c>
      <c r="L698">
        <v>2400</v>
      </c>
    </row>
    <row r="699" spans="1:12" x14ac:dyDescent="0.3">
      <c r="A699">
        <v>10698</v>
      </c>
      <c r="B699" s="2">
        <v>45829</v>
      </c>
      <c r="C699" t="s">
        <v>173</v>
      </c>
      <c r="D699" t="s">
        <v>174</v>
      </c>
      <c r="E699" t="s">
        <v>137</v>
      </c>
      <c r="F699" t="s">
        <v>46</v>
      </c>
      <c r="G699" t="s">
        <v>177</v>
      </c>
      <c r="H699" t="s">
        <v>178</v>
      </c>
      <c r="I699" t="s">
        <v>37</v>
      </c>
      <c r="J699">
        <v>3</v>
      </c>
      <c r="K699">
        <v>2500</v>
      </c>
      <c r="L699">
        <v>7500</v>
      </c>
    </row>
    <row r="700" spans="1:12" x14ac:dyDescent="0.3">
      <c r="A700">
        <v>10699</v>
      </c>
      <c r="B700" s="2">
        <v>46019</v>
      </c>
      <c r="C700" t="s">
        <v>123</v>
      </c>
      <c r="D700" t="s">
        <v>124</v>
      </c>
      <c r="E700" t="s">
        <v>69</v>
      </c>
      <c r="F700" t="s">
        <v>28</v>
      </c>
      <c r="G700" t="s">
        <v>75</v>
      </c>
      <c r="H700" t="s">
        <v>76</v>
      </c>
      <c r="I700" t="s">
        <v>49</v>
      </c>
      <c r="J700">
        <v>1</v>
      </c>
      <c r="K700">
        <v>3000</v>
      </c>
      <c r="L700">
        <v>3000</v>
      </c>
    </row>
    <row r="701" spans="1:12" x14ac:dyDescent="0.3">
      <c r="A701">
        <v>10700</v>
      </c>
      <c r="B701" s="2">
        <v>45668</v>
      </c>
      <c r="C701" t="s">
        <v>195</v>
      </c>
      <c r="D701" t="s">
        <v>196</v>
      </c>
      <c r="E701" t="s">
        <v>102</v>
      </c>
      <c r="F701" t="s">
        <v>34</v>
      </c>
      <c r="G701" t="s">
        <v>52</v>
      </c>
      <c r="H701" t="s">
        <v>53</v>
      </c>
      <c r="I701" t="s">
        <v>24</v>
      </c>
      <c r="J701">
        <v>1</v>
      </c>
      <c r="K701">
        <v>3500</v>
      </c>
      <c r="L701">
        <v>3500</v>
      </c>
    </row>
    <row r="702" spans="1:12" x14ac:dyDescent="0.3">
      <c r="A702">
        <v>10701</v>
      </c>
      <c r="B702" s="2">
        <v>45786</v>
      </c>
      <c r="C702" t="s">
        <v>148</v>
      </c>
      <c r="D702" t="s">
        <v>149</v>
      </c>
      <c r="E702" t="s">
        <v>14</v>
      </c>
      <c r="F702" t="s">
        <v>15</v>
      </c>
      <c r="G702" t="s">
        <v>113</v>
      </c>
      <c r="H702" t="s">
        <v>114</v>
      </c>
      <c r="I702" t="s">
        <v>37</v>
      </c>
      <c r="J702">
        <v>1</v>
      </c>
      <c r="K702">
        <v>52000</v>
      </c>
      <c r="L702">
        <v>52000</v>
      </c>
    </row>
    <row r="703" spans="1:12" x14ac:dyDescent="0.3">
      <c r="A703">
        <v>10702</v>
      </c>
      <c r="B703" s="2">
        <v>45875</v>
      </c>
      <c r="C703" t="s">
        <v>214</v>
      </c>
      <c r="D703" t="s">
        <v>215</v>
      </c>
      <c r="E703" t="s">
        <v>137</v>
      </c>
      <c r="F703" t="s">
        <v>46</v>
      </c>
      <c r="G703" t="s">
        <v>113</v>
      </c>
      <c r="H703" t="s">
        <v>114</v>
      </c>
      <c r="I703" t="s">
        <v>37</v>
      </c>
      <c r="J703">
        <v>1</v>
      </c>
      <c r="K703">
        <v>52000</v>
      </c>
      <c r="L703">
        <v>52000</v>
      </c>
    </row>
    <row r="704" spans="1:12" x14ac:dyDescent="0.3">
      <c r="A704">
        <v>10703</v>
      </c>
      <c r="B704" s="2">
        <v>45761</v>
      </c>
      <c r="C704" t="s">
        <v>195</v>
      </c>
      <c r="D704" t="s">
        <v>196</v>
      </c>
      <c r="E704" t="s">
        <v>102</v>
      </c>
      <c r="F704" t="s">
        <v>34</v>
      </c>
      <c r="G704" t="s">
        <v>29</v>
      </c>
      <c r="H704" t="s">
        <v>30</v>
      </c>
      <c r="I704" t="s">
        <v>18</v>
      </c>
      <c r="J704">
        <v>2</v>
      </c>
      <c r="K704">
        <v>15000</v>
      </c>
      <c r="L704">
        <v>30000</v>
      </c>
    </row>
    <row r="705" spans="1:12" x14ac:dyDescent="0.3">
      <c r="A705">
        <v>10704</v>
      </c>
      <c r="B705" s="2">
        <v>46018</v>
      </c>
      <c r="C705" t="s">
        <v>226</v>
      </c>
      <c r="D705" t="s">
        <v>227</v>
      </c>
      <c r="E705" t="s">
        <v>79</v>
      </c>
      <c r="F705" t="s">
        <v>34</v>
      </c>
      <c r="G705" t="s">
        <v>41</v>
      </c>
      <c r="H705" t="s">
        <v>42</v>
      </c>
      <c r="I705" t="s">
        <v>37</v>
      </c>
      <c r="J705">
        <v>1</v>
      </c>
      <c r="K705">
        <v>30000</v>
      </c>
      <c r="L705">
        <v>30000</v>
      </c>
    </row>
    <row r="706" spans="1:12" x14ac:dyDescent="0.3">
      <c r="A706">
        <v>10705</v>
      </c>
      <c r="B706" s="2">
        <v>45680</v>
      </c>
      <c r="C706" t="s">
        <v>105</v>
      </c>
      <c r="D706" t="s">
        <v>106</v>
      </c>
      <c r="E706" t="s">
        <v>45</v>
      </c>
      <c r="F706" t="s">
        <v>46</v>
      </c>
      <c r="G706" t="s">
        <v>121</v>
      </c>
      <c r="H706" t="s">
        <v>122</v>
      </c>
      <c r="I706" t="s">
        <v>49</v>
      </c>
      <c r="J706">
        <v>1</v>
      </c>
      <c r="K706">
        <v>4800</v>
      </c>
      <c r="L706">
        <v>4800</v>
      </c>
    </row>
    <row r="707" spans="1:12" x14ac:dyDescent="0.3">
      <c r="A707">
        <v>10706</v>
      </c>
      <c r="B707" s="2">
        <v>45987</v>
      </c>
      <c r="C707" t="s">
        <v>161</v>
      </c>
      <c r="D707" t="s">
        <v>162</v>
      </c>
      <c r="E707" t="s">
        <v>33</v>
      </c>
      <c r="F707" t="s">
        <v>34</v>
      </c>
      <c r="G707" t="s">
        <v>177</v>
      </c>
      <c r="H707" t="s">
        <v>178</v>
      </c>
      <c r="I707" t="s">
        <v>37</v>
      </c>
      <c r="J707">
        <v>4</v>
      </c>
      <c r="K707">
        <v>2500</v>
      </c>
      <c r="L707">
        <v>10000</v>
      </c>
    </row>
    <row r="708" spans="1:12" x14ac:dyDescent="0.3">
      <c r="A708">
        <v>10707</v>
      </c>
      <c r="B708" s="2">
        <v>45727</v>
      </c>
      <c r="C708" t="s">
        <v>148</v>
      </c>
      <c r="D708" t="s">
        <v>149</v>
      </c>
      <c r="E708" t="s">
        <v>14</v>
      </c>
      <c r="F708" t="s">
        <v>15</v>
      </c>
      <c r="G708" t="s">
        <v>96</v>
      </c>
      <c r="H708" t="s">
        <v>97</v>
      </c>
      <c r="I708" t="s">
        <v>37</v>
      </c>
      <c r="J708">
        <v>1</v>
      </c>
      <c r="K708">
        <v>18000</v>
      </c>
      <c r="L708">
        <v>18000</v>
      </c>
    </row>
    <row r="709" spans="1:12" x14ac:dyDescent="0.3">
      <c r="A709">
        <v>10708</v>
      </c>
      <c r="B709" s="2">
        <v>45754</v>
      </c>
      <c r="C709" t="s">
        <v>115</v>
      </c>
      <c r="D709" t="s">
        <v>116</v>
      </c>
      <c r="E709" t="s">
        <v>33</v>
      </c>
      <c r="F709" t="s">
        <v>34</v>
      </c>
      <c r="G709" t="s">
        <v>163</v>
      </c>
      <c r="H709" t="s">
        <v>164</v>
      </c>
      <c r="I709" t="s">
        <v>49</v>
      </c>
      <c r="J709">
        <v>1</v>
      </c>
      <c r="K709">
        <v>4200</v>
      </c>
      <c r="L709">
        <v>4200</v>
      </c>
    </row>
    <row r="710" spans="1:12" x14ac:dyDescent="0.3">
      <c r="A710">
        <v>10709</v>
      </c>
      <c r="B710" s="2">
        <v>45713</v>
      </c>
      <c r="C710" t="s">
        <v>31</v>
      </c>
      <c r="D710" t="s">
        <v>32</v>
      </c>
      <c r="E710" t="s">
        <v>33</v>
      </c>
      <c r="F710" t="s">
        <v>34</v>
      </c>
      <c r="G710" t="s">
        <v>60</v>
      </c>
      <c r="H710" t="s">
        <v>61</v>
      </c>
      <c r="I710" t="s">
        <v>18</v>
      </c>
      <c r="J710">
        <v>1</v>
      </c>
      <c r="K710">
        <v>2200</v>
      </c>
      <c r="L710">
        <v>2200</v>
      </c>
    </row>
    <row r="711" spans="1:12" x14ac:dyDescent="0.3">
      <c r="A711">
        <v>10710</v>
      </c>
      <c r="B711" s="2">
        <v>45970</v>
      </c>
      <c r="C711" t="s">
        <v>146</v>
      </c>
      <c r="D711" t="s">
        <v>147</v>
      </c>
      <c r="E711" t="s">
        <v>64</v>
      </c>
      <c r="F711" t="s">
        <v>46</v>
      </c>
      <c r="G711" t="s">
        <v>29</v>
      </c>
      <c r="H711" t="s">
        <v>30</v>
      </c>
      <c r="I711" t="s">
        <v>18</v>
      </c>
      <c r="J711">
        <v>1</v>
      </c>
      <c r="K711">
        <v>15000</v>
      </c>
      <c r="L711">
        <v>15000</v>
      </c>
    </row>
    <row r="712" spans="1:12" x14ac:dyDescent="0.3">
      <c r="A712">
        <v>10711</v>
      </c>
      <c r="B712" s="2">
        <v>45720</v>
      </c>
      <c r="C712" t="s">
        <v>38</v>
      </c>
      <c r="D712" t="s">
        <v>39</v>
      </c>
      <c r="E712" t="s">
        <v>40</v>
      </c>
      <c r="F712" t="s">
        <v>15</v>
      </c>
      <c r="G712" t="s">
        <v>125</v>
      </c>
      <c r="H712" t="s">
        <v>126</v>
      </c>
      <c r="I712" t="s">
        <v>37</v>
      </c>
      <c r="J712">
        <v>3</v>
      </c>
      <c r="K712">
        <v>22000</v>
      </c>
      <c r="L712">
        <v>66000</v>
      </c>
    </row>
    <row r="713" spans="1:12" x14ac:dyDescent="0.3">
      <c r="A713">
        <v>10712</v>
      </c>
      <c r="B713" s="2">
        <v>45820</v>
      </c>
      <c r="C713" t="s">
        <v>228</v>
      </c>
      <c r="D713" t="s">
        <v>229</v>
      </c>
      <c r="E713" t="s">
        <v>84</v>
      </c>
      <c r="F713" t="s">
        <v>46</v>
      </c>
      <c r="G713" t="s">
        <v>163</v>
      </c>
      <c r="H713" t="s">
        <v>164</v>
      </c>
      <c r="I713" t="s">
        <v>49</v>
      </c>
      <c r="J713">
        <v>4</v>
      </c>
      <c r="K713">
        <v>4200</v>
      </c>
      <c r="L713">
        <v>16800</v>
      </c>
    </row>
    <row r="714" spans="1:12" x14ac:dyDescent="0.3">
      <c r="A714">
        <v>10713</v>
      </c>
      <c r="B714" s="2">
        <v>45665</v>
      </c>
      <c r="C714" t="s">
        <v>197</v>
      </c>
      <c r="D714" t="s">
        <v>198</v>
      </c>
      <c r="E714" t="s">
        <v>95</v>
      </c>
      <c r="F714" t="s">
        <v>15</v>
      </c>
      <c r="G714" t="s">
        <v>125</v>
      </c>
      <c r="H714" t="s">
        <v>126</v>
      </c>
      <c r="I714" t="s">
        <v>37</v>
      </c>
      <c r="J714">
        <v>4</v>
      </c>
      <c r="K714">
        <v>22000</v>
      </c>
      <c r="L714">
        <v>88000</v>
      </c>
    </row>
    <row r="715" spans="1:12" x14ac:dyDescent="0.3">
      <c r="A715">
        <v>10714</v>
      </c>
      <c r="B715" s="2">
        <v>45828</v>
      </c>
      <c r="C715" t="s">
        <v>142</v>
      </c>
      <c r="D715" t="s">
        <v>143</v>
      </c>
      <c r="E715" t="s">
        <v>14</v>
      </c>
      <c r="F715" t="s">
        <v>15</v>
      </c>
      <c r="G715" t="s">
        <v>75</v>
      </c>
      <c r="H715" t="s">
        <v>76</v>
      </c>
      <c r="I715" t="s">
        <v>49</v>
      </c>
      <c r="J715">
        <v>1</v>
      </c>
      <c r="K715">
        <v>3000</v>
      </c>
      <c r="L715">
        <v>3000</v>
      </c>
    </row>
    <row r="716" spans="1:12" x14ac:dyDescent="0.3">
      <c r="A716">
        <v>10715</v>
      </c>
      <c r="B716" s="2">
        <v>45960</v>
      </c>
      <c r="C716" t="s">
        <v>148</v>
      </c>
      <c r="D716" t="s">
        <v>149</v>
      </c>
      <c r="E716" t="s">
        <v>14</v>
      </c>
      <c r="F716" t="s">
        <v>15</v>
      </c>
      <c r="G716" t="s">
        <v>121</v>
      </c>
      <c r="H716" t="s">
        <v>122</v>
      </c>
      <c r="I716" t="s">
        <v>49</v>
      </c>
      <c r="J716">
        <v>3</v>
      </c>
      <c r="K716">
        <v>4800</v>
      </c>
      <c r="L716">
        <v>14400</v>
      </c>
    </row>
    <row r="717" spans="1:12" x14ac:dyDescent="0.3">
      <c r="A717">
        <v>10716</v>
      </c>
      <c r="B717" s="2">
        <v>46016</v>
      </c>
      <c r="C717" t="s">
        <v>72</v>
      </c>
      <c r="D717" t="s">
        <v>73</v>
      </c>
      <c r="E717" t="s">
        <v>74</v>
      </c>
      <c r="F717" t="s">
        <v>28</v>
      </c>
      <c r="G717" t="s">
        <v>98</v>
      </c>
      <c r="H717" t="s">
        <v>99</v>
      </c>
      <c r="I717" t="s">
        <v>24</v>
      </c>
      <c r="J717">
        <v>1</v>
      </c>
      <c r="K717">
        <v>2000</v>
      </c>
      <c r="L717">
        <v>2000</v>
      </c>
    </row>
    <row r="718" spans="1:12" x14ac:dyDescent="0.3">
      <c r="A718">
        <v>10717</v>
      </c>
      <c r="B718" s="2">
        <v>45843</v>
      </c>
      <c r="C718" t="s">
        <v>146</v>
      </c>
      <c r="D718" t="s">
        <v>147</v>
      </c>
      <c r="E718" t="s">
        <v>64</v>
      </c>
      <c r="F718" t="s">
        <v>46</v>
      </c>
      <c r="G718" t="s">
        <v>167</v>
      </c>
      <c r="H718" t="s">
        <v>168</v>
      </c>
      <c r="I718" t="s">
        <v>49</v>
      </c>
      <c r="J718">
        <v>1</v>
      </c>
      <c r="K718">
        <v>3800</v>
      </c>
      <c r="L718">
        <v>3800</v>
      </c>
    </row>
    <row r="719" spans="1:12" x14ac:dyDescent="0.3">
      <c r="A719">
        <v>10718</v>
      </c>
      <c r="B719" s="2">
        <v>45700</v>
      </c>
      <c r="C719" t="s">
        <v>12</v>
      </c>
      <c r="D719" t="s">
        <v>13</v>
      </c>
      <c r="E719" t="s">
        <v>14</v>
      </c>
      <c r="F719" t="s">
        <v>15</v>
      </c>
      <c r="G719" t="s">
        <v>152</v>
      </c>
      <c r="H719" t="s">
        <v>153</v>
      </c>
      <c r="I719" t="s">
        <v>49</v>
      </c>
      <c r="J719">
        <v>2</v>
      </c>
      <c r="K719">
        <v>3200</v>
      </c>
      <c r="L719">
        <v>6400</v>
      </c>
    </row>
    <row r="720" spans="1:12" x14ac:dyDescent="0.3">
      <c r="A720">
        <v>10719</v>
      </c>
      <c r="B720" s="2">
        <v>45729</v>
      </c>
      <c r="C720" t="s">
        <v>199</v>
      </c>
      <c r="D720" t="s">
        <v>200</v>
      </c>
      <c r="E720" t="s">
        <v>201</v>
      </c>
      <c r="F720" t="s">
        <v>28</v>
      </c>
      <c r="G720" t="s">
        <v>16</v>
      </c>
      <c r="H720" t="s">
        <v>17</v>
      </c>
      <c r="I720" t="s">
        <v>18</v>
      </c>
      <c r="J720">
        <v>2</v>
      </c>
      <c r="K720">
        <v>11000</v>
      </c>
      <c r="L720">
        <v>22000</v>
      </c>
    </row>
    <row r="721" spans="1:12" x14ac:dyDescent="0.3">
      <c r="A721">
        <v>10720</v>
      </c>
      <c r="B721" s="2">
        <v>46019</v>
      </c>
      <c r="C721" t="s">
        <v>50</v>
      </c>
      <c r="D721" t="s">
        <v>51</v>
      </c>
      <c r="E721" t="s">
        <v>14</v>
      </c>
      <c r="F721" t="s">
        <v>15</v>
      </c>
      <c r="G721" t="s">
        <v>144</v>
      </c>
      <c r="H721" t="s">
        <v>145</v>
      </c>
      <c r="I721" t="s">
        <v>37</v>
      </c>
      <c r="J721">
        <v>1</v>
      </c>
      <c r="K721">
        <v>65000</v>
      </c>
      <c r="L721">
        <v>65000</v>
      </c>
    </row>
    <row r="722" spans="1:12" x14ac:dyDescent="0.3">
      <c r="A722">
        <v>10721</v>
      </c>
      <c r="B722" s="2">
        <v>45874</v>
      </c>
      <c r="C722" t="s">
        <v>199</v>
      </c>
      <c r="D722" t="s">
        <v>200</v>
      </c>
      <c r="E722" t="s">
        <v>201</v>
      </c>
      <c r="F722" t="s">
        <v>28</v>
      </c>
      <c r="G722" t="s">
        <v>103</v>
      </c>
      <c r="H722" t="s">
        <v>104</v>
      </c>
      <c r="I722" t="s">
        <v>37</v>
      </c>
      <c r="J722">
        <v>3</v>
      </c>
      <c r="K722">
        <v>28000</v>
      </c>
      <c r="L722">
        <v>84000</v>
      </c>
    </row>
    <row r="723" spans="1:12" x14ac:dyDescent="0.3">
      <c r="A723">
        <v>10722</v>
      </c>
      <c r="B723" s="2">
        <v>46005</v>
      </c>
      <c r="C723" t="s">
        <v>12</v>
      </c>
      <c r="D723" t="s">
        <v>13</v>
      </c>
      <c r="E723" t="s">
        <v>14</v>
      </c>
      <c r="F723" t="s">
        <v>15</v>
      </c>
      <c r="G723" t="s">
        <v>167</v>
      </c>
      <c r="H723" t="s">
        <v>168</v>
      </c>
      <c r="I723" t="s">
        <v>49</v>
      </c>
      <c r="J723">
        <v>1</v>
      </c>
      <c r="K723">
        <v>3800</v>
      </c>
      <c r="L723">
        <v>3800</v>
      </c>
    </row>
    <row r="724" spans="1:12" x14ac:dyDescent="0.3">
      <c r="A724">
        <v>10723</v>
      </c>
      <c r="B724" s="2">
        <v>45859</v>
      </c>
      <c r="C724" t="s">
        <v>220</v>
      </c>
      <c r="D724" t="s">
        <v>221</v>
      </c>
      <c r="E724" t="s">
        <v>102</v>
      </c>
      <c r="F724" t="s">
        <v>34</v>
      </c>
      <c r="G724" t="s">
        <v>41</v>
      </c>
      <c r="H724" t="s">
        <v>42</v>
      </c>
      <c r="I724" t="s">
        <v>37</v>
      </c>
      <c r="J724">
        <v>2</v>
      </c>
      <c r="K724">
        <v>30000</v>
      </c>
      <c r="L724">
        <v>60000</v>
      </c>
    </row>
    <row r="725" spans="1:12" x14ac:dyDescent="0.3">
      <c r="A725">
        <v>10724</v>
      </c>
      <c r="B725" s="2">
        <v>45978</v>
      </c>
      <c r="C725" t="s">
        <v>38</v>
      </c>
      <c r="D725" t="s">
        <v>39</v>
      </c>
      <c r="E725" t="s">
        <v>40</v>
      </c>
      <c r="F725" t="s">
        <v>15</v>
      </c>
      <c r="G725" t="s">
        <v>177</v>
      </c>
      <c r="H725" t="s">
        <v>178</v>
      </c>
      <c r="I725" t="s">
        <v>37</v>
      </c>
      <c r="J725">
        <v>4</v>
      </c>
      <c r="K725">
        <v>2500</v>
      </c>
      <c r="L725">
        <v>10000</v>
      </c>
    </row>
    <row r="726" spans="1:12" x14ac:dyDescent="0.3">
      <c r="A726">
        <v>10725</v>
      </c>
      <c r="B726" s="2">
        <v>45977</v>
      </c>
      <c r="C726" t="s">
        <v>62</v>
      </c>
      <c r="D726" t="s">
        <v>63</v>
      </c>
      <c r="E726" t="s">
        <v>64</v>
      </c>
      <c r="F726" t="s">
        <v>46</v>
      </c>
      <c r="G726" t="s">
        <v>152</v>
      </c>
      <c r="H726" t="s">
        <v>153</v>
      </c>
      <c r="I726" t="s">
        <v>49</v>
      </c>
      <c r="J726">
        <v>1</v>
      </c>
      <c r="K726">
        <v>3200</v>
      </c>
      <c r="L726">
        <v>3200</v>
      </c>
    </row>
    <row r="727" spans="1:12" x14ac:dyDescent="0.3">
      <c r="A727">
        <v>10726</v>
      </c>
      <c r="B727" s="2">
        <v>45798</v>
      </c>
      <c r="C727" t="s">
        <v>146</v>
      </c>
      <c r="D727" t="s">
        <v>147</v>
      </c>
      <c r="E727" t="s">
        <v>64</v>
      </c>
      <c r="F727" t="s">
        <v>46</v>
      </c>
      <c r="G727" t="s">
        <v>163</v>
      </c>
      <c r="H727" t="s">
        <v>164</v>
      </c>
      <c r="I727" t="s">
        <v>49</v>
      </c>
      <c r="J727">
        <v>3</v>
      </c>
      <c r="K727">
        <v>4200</v>
      </c>
      <c r="L727">
        <v>12600</v>
      </c>
    </row>
    <row r="728" spans="1:12" x14ac:dyDescent="0.3">
      <c r="A728">
        <v>10727</v>
      </c>
      <c r="B728" s="2">
        <v>45960</v>
      </c>
      <c r="C728" t="s">
        <v>204</v>
      </c>
      <c r="D728" t="s">
        <v>205</v>
      </c>
      <c r="E728" t="s">
        <v>201</v>
      </c>
      <c r="F728" t="s">
        <v>28</v>
      </c>
      <c r="G728" t="s">
        <v>35</v>
      </c>
      <c r="H728" t="s">
        <v>36</v>
      </c>
      <c r="I728" t="s">
        <v>37</v>
      </c>
      <c r="J728">
        <v>3</v>
      </c>
      <c r="K728">
        <v>12000</v>
      </c>
      <c r="L728">
        <v>36000</v>
      </c>
    </row>
    <row r="729" spans="1:12" x14ac:dyDescent="0.3">
      <c r="A729">
        <v>10728</v>
      </c>
      <c r="B729" s="2">
        <v>45960</v>
      </c>
      <c r="C729" t="s">
        <v>77</v>
      </c>
      <c r="D729" t="s">
        <v>78</v>
      </c>
      <c r="E729" t="s">
        <v>79</v>
      </c>
      <c r="F729" t="s">
        <v>34</v>
      </c>
      <c r="G729" t="s">
        <v>35</v>
      </c>
      <c r="H729" t="s">
        <v>36</v>
      </c>
      <c r="I729" t="s">
        <v>37</v>
      </c>
      <c r="J729">
        <v>1</v>
      </c>
      <c r="K729">
        <v>12000</v>
      </c>
      <c r="L729">
        <v>12000</v>
      </c>
    </row>
    <row r="730" spans="1:12" x14ac:dyDescent="0.3">
      <c r="A730">
        <v>10729</v>
      </c>
      <c r="B730" s="2">
        <v>45710</v>
      </c>
      <c r="C730" t="s">
        <v>119</v>
      </c>
      <c r="D730" t="s">
        <v>120</v>
      </c>
      <c r="E730" t="s">
        <v>27</v>
      </c>
      <c r="F730" t="s">
        <v>28</v>
      </c>
      <c r="G730" t="s">
        <v>167</v>
      </c>
      <c r="H730" t="s">
        <v>168</v>
      </c>
      <c r="I730" t="s">
        <v>49</v>
      </c>
      <c r="J730">
        <v>2</v>
      </c>
      <c r="K730">
        <v>3800</v>
      </c>
      <c r="L730">
        <v>7600</v>
      </c>
    </row>
    <row r="731" spans="1:12" x14ac:dyDescent="0.3">
      <c r="A731">
        <v>10730</v>
      </c>
      <c r="B731" s="2">
        <v>45792</v>
      </c>
      <c r="C731" t="s">
        <v>85</v>
      </c>
      <c r="D731" t="s">
        <v>86</v>
      </c>
      <c r="E731" t="s">
        <v>45</v>
      </c>
      <c r="F731" t="s">
        <v>46</v>
      </c>
      <c r="G731" t="s">
        <v>113</v>
      </c>
      <c r="H731" t="s">
        <v>114</v>
      </c>
      <c r="I731" t="s">
        <v>37</v>
      </c>
      <c r="J731">
        <v>1</v>
      </c>
      <c r="K731">
        <v>52000</v>
      </c>
      <c r="L731">
        <v>52000</v>
      </c>
    </row>
    <row r="732" spans="1:12" x14ac:dyDescent="0.3">
      <c r="A732">
        <v>10731</v>
      </c>
      <c r="B732" s="2">
        <v>45993</v>
      </c>
      <c r="C732" t="s">
        <v>169</v>
      </c>
      <c r="D732" t="s">
        <v>170</v>
      </c>
      <c r="E732" t="s">
        <v>64</v>
      </c>
      <c r="F732" t="s">
        <v>46</v>
      </c>
      <c r="G732" t="s">
        <v>75</v>
      </c>
      <c r="H732" t="s">
        <v>76</v>
      </c>
      <c r="I732" t="s">
        <v>49</v>
      </c>
      <c r="J732">
        <v>1</v>
      </c>
      <c r="K732">
        <v>3000</v>
      </c>
      <c r="L732">
        <v>3000</v>
      </c>
    </row>
    <row r="733" spans="1:12" x14ac:dyDescent="0.3">
      <c r="A733">
        <v>10732</v>
      </c>
      <c r="B733" s="2">
        <v>45673</v>
      </c>
      <c r="C733" t="s">
        <v>117</v>
      </c>
      <c r="D733" t="s">
        <v>118</v>
      </c>
      <c r="E733" t="s">
        <v>95</v>
      </c>
      <c r="F733" t="s">
        <v>15</v>
      </c>
      <c r="G733" t="s">
        <v>131</v>
      </c>
      <c r="H733" t="s">
        <v>132</v>
      </c>
      <c r="I733" t="s">
        <v>37</v>
      </c>
      <c r="J733">
        <v>2</v>
      </c>
      <c r="K733">
        <v>4500</v>
      </c>
      <c r="L733">
        <v>9000</v>
      </c>
    </row>
    <row r="734" spans="1:12" x14ac:dyDescent="0.3">
      <c r="A734">
        <v>10733</v>
      </c>
      <c r="B734" s="2">
        <v>45690</v>
      </c>
      <c r="C734" t="s">
        <v>38</v>
      </c>
      <c r="D734" t="s">
        <v>39</v>
      </c>
      <c r="E734" t="s">
        <v>40</v>
      </c>
      <c r="F734" t="s">
        <v>15</v>
      </c>
      <c r="G734" t="s">
        <v>65</v>
      </c>
      <c r="H734" t="s">
        <v>66</v>
      </c>
      <c r="I734" t="s">
        <v>49</v>
      </c>
      <c r="J734">
        <v>4</v>
      </c>
      <c r="K734">
        <v>2400</v>
      </c>
      <c r="L734">
        <v>9600</v>
      </c>
    </row>
    <row r="735" spans="1:12" x14ac:dyDescent="0.3">
      <c r="A735">
        <v>10734</v>
      </c>
      <c r="B735" s="2">
        <v>45777</v>
      </c>
      <c r="C735" t="s">
        <v>150</v>
      </c>
      <c r="D735" t="s">
        <v>151</v>
      </c>
      <c r="E735" t="s">
        <v>84</v>
      </c>
      <c r="F735" t="s">
        <v>46</v>
      </c>
      <c r="G735" t="s">
        <v>47</v>
      </c>
      <c r="H735" t="s">
        <v>48</v>
      </c>
      <c r="I735" t="s">
        <v>49</v>
      </c>
      <c r="J735">
        <v>1</v>
      </c>
      <c r="K735">
        <v>1600</v>
      </c>
      <c r="L735">
        <v>1600</v>
      </c>
    </row>
    <row r="736" spans="1:12" x14ac:dyDescent="0.3">
      <c r="A736">
        <v>10735</v>
      </c>
      <c r="B736" s="2">
        <v>45711</v>
      </c>
      <c r="C736" t="s">
        <v>148</v>
      </c>
      <c r="D736" t="s">
        <v>149</v>
      </c>
      <c r="E736" t="s">
        <v>14</v>
      </c>
      <c r="F736" t="s">
        <v>15</v>
      </c>
      <c r="G736" t="s">
        <v>113</v>
      </c>
      <c r="H736" t="s">
        <v>114</v>
      </c>
      <c r="I736" t="s">
        <v>37</v>
      </c>
      <c r="J736">
        <v>3</v>
      </c>
      <c r="K736">
        <v>52000</v>
      </c>
      <c r="L736">
        <v>156000</v>
      </c>
    </row>
    <row r="737" spans="1:12" x14ac:dyDescent="0.3">
      <c r="A737">
        <v>10736</v>
      </c>
      <c r="B737" s="2">
        <v>45688</v>
      </c>
      <c r="C737" t="s">
        <v>220</v>
      </c>
      <c r="D737" t="s">
        <v>221</v>
      </c>
      <c r="E737" t="s">
        <v>102</v>
      </c>
      <c r="F737" t="s">
        <v>34</v>
      </c>
      <c r="G737" t="s">
        <v>131</v>
      </c>
      <c r="H737" t="s">
        <v>132</v>
      </c>
      <c r="I737" t="s">
        <v>37</v>
      </c>
      <c r="J737">
        <v>1</v>
      </c>
      <c r="K737">
        <v>4500</v>
      </c>
      <c r="L737">
        <v>4500</v>
      </c>
    </row>
    <row r="738" spans="1:12" x14ac:dyDescent="0.3">
      <c r="A738">
        <v>10737</v>
      </c>
      <c r="B738" s="2">
        <v>45798</v>
      </c>
      <c r="C738" t="s">
        <v>135</v>
      </c>
      <c r="D738" t="s">
        <v>136</v>
      </c>
      <c r="E738" t="s">
        <v>137</v>
      </c>
      <c r="F738" t="s">
        <v>46</v>
      </c>
      <c r="G738" t="s">
        <v>179</v>
      </c>
      <c r="H738" t="s">
        <v>180</v>
      </c>
      <c r="I738" t="s">
        <v>18</v>
      </c>
      <c r="J738">
        <v>1</v>
      </c>
      <c r="K738">
        <v>6500</v>
      </c>
      <c r="L738">
        <v>6500</v>
      </c>
    </row>
    <row r="739" spans="1:12" x14ac:dyDescent="0.3">
      <c r="A739">
        <v>10738</v>
      </c>
      <c r="B739" s="2">
        <v>45893</v>
      </c>
      <c r="C739" t="s">
        <v>105</v>
      </c>
      <c r="D739" t="s">
        <v>106</v>
      </c>
      <c r="E739" t="s">
        <v>45</v>
      </c>
      <c r="F739" t="s">
        <v>46</v>
      </c>
      <c r="G739" t="s">
        <v>131</v>
      </c>
      <c r="H739" t="s">
        <v>132</v>
      </c>
      <c r="I739" t="s">
        <v>37</v>
      </c>
      <c r="J739">
        <v>1</v>
      </c>
      <c r="K739">
        <v>4500</v>
      </c>
      <c r="L739">
        <v>4500</v>
      </c>
    </row>
    <row r="740" spans="1:12" x14ac:dyDescent="0.3">
      <c r="A740">
        <v>10739</v>
      </c>
      <c r="B740" s="2">
        <v>45954</v>
      </c>
      <c r="C740" t="s">
        <v>58</v>
      </c>
      <c r="D740" t="s">
        <v>59</v>
      </c>
      <c r="E740" t="s">
        <v>21</v>
      </c>
      <c r="F740" t="s">
        <v>15</v>
      </c>
      <c r="G740" t="s">
        <v>41</v>
      </c>
      <c r="H740" t="s">
        <v>42</v>
      </c>
      <c r="I740" t="s">
        <v>37</v>
      </c>
      <c r="J740">
        <v>1</v>
      </c>
      <c r="K740">
        <v>30000</v>
      </c>
      <c r="L740">
        <v>30000</v>
      </c>
    </row>
    <row r="741" spans="1:12" x14ac:dyDescent="0.3">
      <c r="A741">
        <v>10740</v>
      </c>
      <c r="B741" s="2">
        <v>45776</v>
      </c>
      <c r="C741" t="s">
        <v>175</v>
      </c>
      <c r="D741" t="s">
        <v>176</v>
      </c>
      <c r="E741" t="s">
        <v>84</v>
      </c>
      <c r="F741" t="s">
        <v>46</v>
      </c>
      <c r="G741" t="s">
        <v>177</v>
      </c>
      <c r="H741" t="s">
        <v>178</v>
      </c>
      <c r="I741" t="s">
        <v>37</v>
      </c>
      <c r="J741">
        <v>1</v>
      </c>
      <c r="K741">
        <v>2500</v>
      </c>
      <c r="L741">
        <v>2500</v>
      </c>
    </row>
    <row r="742" spans="1:12" x14ac:dyDescent="0.3">
      <c r="A742">
        <v>10741</v>
      </c>
      <c r="B742" s="2">
        <v>46020</v>
      </c>
      <c r="C742" t="s">
        <v>206</v>
      </c>
      <c r="D742" t="s">
        <v>207</v>
      </c>
      <c r="E742" t="s">
        <v>160</v>
      </c>
      <c r="F742" t="s">
        <v>34</v>
      </c>
      <c r="G742" t="s">
        <v>98</v>
      </c>
      <c r="H742" t="s">
        <v>99</v>
      </c>
      <c r="I742" t="s">
        <v>24</v>
      </c>
      <c r="J742">
        <v>1</v>
      </c>
      <c r="K742">
        <v>2000</v>
      </c>
      <c r="L742">
        <v>2000</v>
      </c>
    </row>
    <row r="743" spans="1:12" x14ac:dyDescent="0.3">
      <c r="A743">
        <v>10742</v>
      </c>
      <c r="B743" s="2">
        <v>45941</v>
      </c>
      <c r="C743" t="s">
        <v>12</v>
      </c>
      <c r="D743" t="s">
        <v>13</v>
      </c>
      <c r="E743" t="s">
        <v>14</v>
      </c>
      <c r="F743" t="s">
        <v>15</v>
      </c>
      <c r="G743" t="s">
        <v>41</v>
      </c>
      <c r="H743" t="s">
        <v>42</v>
      </c>
      <c r="I743" t="s">
        <v>37</v>
      </c>
      <c r="J743">
        <v>3</v>
      </c>
      <c r="K743">
        <v>30000</v>
      </c>
      <c r="L743">
        <v>90000</v>
      </c>
    </row>
    <row r="744" spans="1:12" x14ac:dyDescent="0.3">
      <c r="A744">
        <v>10743</v>
      </c>
      <c r="B744" s="2">
        <v>45913</v>
      </c>
      <c r="C744" t="s">
        <v>50</v>
      </c>
      <c r="D744" t="s">
        <v>51</v>
      </c>
      <c r="E744" t="s">
        <v>14</v>
      </c>
      <c r="F744" t="s">
        <v>15</v>
      </c>
      <c r="G744" t="s">
        <v>35</v>
      </c>
      <c r="H744" t="s">
        <v>36</v>
      </c>
      <c r="I744" t="s">
        <v>37</v>
      </c>
      <c r="J744">
        <v>4</v>
      </c>
      <c r="K744">
        <v>12000</v>
      </c>
      <c r="L744">
        <v>48000</v>
      </c>
    </row>
    <row r="745" spans="1:12" x14ac:dyDescent="0.3">
      <c r="A745">
        <v>10744</v>
      </c>
      <c r="B745" s="2">
        <v>45988</v>
      </c>
      <c r="C745" t="s">
        <v>148</v>
      </c>
      <c r="D745" t="s">
        <v>149</v>
      </c>
      <c r="E745" t="s">
        <v>14</v>
      </c>
      <c r="F745" t="s">
        <v>15</v>
      </c>
      <c r="G745" t="s">
        <v>163</v>
      </c>
      <c r="H745" t="s">
        <v>164</v>
      </c>
      <c r="I745" t="s">
        <v>49</v>
      </c>
      <c r="J745">
        <v>1</v>
      </c>
      <c r="K745">
        <v>4200</v>
      </c>
      <c r="L745">
        <v>4200</v>
      </c>
    </row>
    <row r="746" spans="1:12" x14ac:dyDescent="0.3">
      <c r="A746">
        <v>10745</v>
      </c>
      <c r="B746" s="2">
        <v>45708</v>
      </c>
      <c r="C746" t="s">
        <v>43</v>
      </c>
      <c r="D746" t="s">
        <v>44</v>
      </c>
      <c r="E746" t="s">
        <v>45</v>
      </c>
      <c r="F746" t="s">
        <v>46</v>
      </c>
      <c r="G746" t="s">
        <v>16</v>
      </c>
      <c r="H746" t="s">
        <v>17</v>
      </c>
      <c r="I746" t="s">
        <v>18</v>
      </c>
      <c r="J746">
        <v>1</v>
      </c>
      <c r="K746">
        <v>11000</v>
      </c>
      <c r="L746">
        <v>11000</v>
      </c>
    </row>
    <row r="747" spans="1:12" x14ac:dyDescent="0.3">
      <c r="A747">
        <v>10746</v>
      </c>
      <c r="B747" s="2">
        <v>45721</v>
      </c>
      <c r="C747" t="s">
        <v>175</v>
      </c>
      <c r="D747" t="s">
        <v>176</v>
      </c>
      <c r="E747" t="s">
        <v>84</v>
      </c>
      <c r="F747" t="s">
        <v>46</v>
      </c>
      <c r="G747" t="s">
        <v>187</v>
      </c>
      <c r="H747" t="s">
        <v>188</v>
      </c>
      <c r="I747" t="s">
        <v>24</v>
      </c>
      <c r="J747">
        <v>2</v>
      </c>
      <c r="K747">
        <v>5500</v>
      </c>
      <c r="L747">
        <v>11000</v>
      </c>
    </row>
    <row r="748" spans="1:12" x14ac:dyDescent="0.3">
      <c r="A748">
        <v>10747</v>
      </c>
      <c r="B748" s="2">
        <v>45821</v>
      </c>
      <c r="C748" t="s">
        <v>133</v>
      </c>
      <c r="D748" t="s">
        <v>134</v>
      </c>
      <c r="E748" t="s">
        <v>33</v>
      </c>
      <c r="F748" t="s">
        <v>34</v>
      </c>
      <c r="G748" t="s">
        <v>131</v>
      </c>
      <c r="H748" t="s">
        <v>132</v>
      </c>
      <c r="I748" t="s">
        <v>37</v>
      </c>
      <c r="J748">
        <v>3</v>
      </c>
      <c r="K748">
        <v>4500</v>
      </c>
      <c r="L748">
        <v>13500</v>
      </c>
    </row>
    <row r="749" spans="1:12" x14ac:dyDescent="0.3">
      <c r="A749">
        <v>10748</v>
      </c>
      <c r="B749" s="2">
        <v>45686</v>
      </c>
      <c r="C749" t="s">
        <v>107</v>
      </c>
      <c r="D749" t="s">
        <v>108</v>
      </c>
      <c r="E749" t="s">
        <v>74</v>
      </c>
      <c r="F749" t="s">
        <v>28</v>
      </c>
      <c r="G749" t="s">
        <v>96</v>
      </c>
      <c r="H749" t="s">
        <v>97</v>
      </c>
      <c r="I749" t="s">
        <v>37</v>
      </c>
      <c r="J749">
        <v>1</v>
      </c>
      <c r="K749">
        <v>18000</v>
      </c>
      <c r="L749">
        <v>18000</v>
      </c>
    </row>
    <row r="750" spans="1:12" x14ac:dyDescent="0.3">
      <c r="A750">
        <v>10749</v>
      </c>
      <c r="B750" s="2">
        <v>45992</v>
      </c>
      <c r="C750" t="s">
        <v>133</v>
      </c>
      <c r="D750" t="s">
        <v>134</v>
      </c>
      <c r="E750" t="s">
        <v>33</v>
      </c>
      <c r="F750" t="s">
        <v>34</v>
      </c>
      <c r="G750" t="s">
        <v>65</v>
      </c>
      <c r="H750" t="s">
        <v>66</v>
      </c>
      <c r="I750" t="s">
        <v>49</v>
      </c>
      <c r="J750">
        <v>1</v>
      </c>
      <c r="K750">
        <v>2400</v>
      </c>
      <c r="L750">
        <v>2400</v>
      </c>
    </row>
    <row r="751" spans="1:12" x14ac:dyDescent="0.3">
      <c r="A751">
        <v>10750</v>
      </c>
      <c r="B751" s="2">
        <v>45673</v>
      </c>
      <c r="C751" t="s">
        <v>154</v>
      </c>
      <c r="D751" t="s">
        <v>155</v>
      </c>
      <c r="E751" t="s">
        <v>74</v>
      </c>
      <c r="F751" t="s">
        <v>28</v>
      </c>
      <c r="G751" t="s">
        <v>103</v>
      </c>
      <c r="H751" t="s">
        <v>104</v>
      </c>
      <c r="I751" t="s">
        <v>37</v>
      </c>
      <c r="J751">
        <v>1</v>
      </c>
      <c r="K751">
        <v>28000</v>
      </c>
      <c r="L751">
        <v>28000</v>
      </c>
    </row>
    <row r="752" spans="1:12" x14ac:dyDescent="0.3">
      <c r="A752">
        <v>10751</v>
      </c>
      <c r="B752" s="2">
        <v>45795</v>
      </c>
      <c r="C752" t="s">
        <v>135</v>
      </c>
      <c r="D752" t="s">
        <v>136</v>
      </c>
      <c r="E752" t="s">
        <v>137</v>
      </c>
      <c r="F752" t="s">
        <v>46</v>
      </c>
      <c r="G752" t="s">
        <v>125</v>
      </c>
      <c r="H752" t="s">
        <v>126</v>
      </c>
      <c r="I752" t="s">
        <v>37</v>
      </c>
      <c r="J752">
        <v>2</v>
      </c>
      <c r="K752">
        <v>22000</v>
      </c>
      <c r="L752">
        <v>44000</v>
      </c>
    </row>
    <row r="753" spans="1:12" x14ac:dyDescent="0.3">
      <c r="A753">
        <v>10752</v>
      </c>
      <c r="B753" s="2">
        <v>45925</v>
      </c>
      <c r="C753" t="s">
        <v>146</v>
      </c>
      <c r="D753" t="s">
        <v>147</v>
      </c>
      <c r="E753" t="s">
        <v>64</v>
      </c>
      <c r="F753" t="s">
        <v>46</v>
      </c>
      <c r="G753" t="s">
        <v>29</v>
      </c>
      <c r="H753" t="s">
        <v>30</v>
      </c>
      <c r="I753" t="s">
        <v>18</v>
      </c>
      <c r="J753">
        <v>1</v>
      </c>
      <c r="K753">
        <v>15000</v>
      </c>
      <c r="L753">
        <v>15000</v>
      </c>
    </row>
    <row r="754" spans="1:12" x14ac:dyDescent="0.3">
      <c r="A754">
        <v>10753</v>
      </c>
      <c r="B754" s="2">
        <v>45676</v>
      </c>
      <c r="C754" t="s">
        <v>50</v>
      </c>
      <c r="D754" t="s">
        <v>51</v>
      </c>
      <c r="E754" t="s">
        <v>14</v>
      </c>
      <c r="F754" t="s">
        <v>15</v>
      </c>
      <c r="G754" t="s">
        <v>103</v>
      </c>
      <c r="H754" t="s">
        <v>104</v>
      </c>
      <c r="I754" t="s">
        <v>37</v>
      </c>
      <c r="J754">
        <v>3</v>
      </c>
      <c r="K754">
        <v>28000</v>
      </c>
      <c r="L754">
        <v>84000</v>
      </c>
    </row>
    <row r="755" spans="1:12" x14ac:dyDescent="0.3">
      <c r="A755">
        <v>10754</v>
      </c>
      <c r="B755" s="2">
        <v>45718</v>
      </c>
      <c r="C755" t="s">
        <v>67</v>
      </c>
      <c r="D755" t="s">
        <v>68</v>
      </c>
      <c r="E755" t="s">
        <v>69</v>
      </c>
      <c r="F755" t="s">
        <v>28</v>
      </c>
      <c r="G755" t="s">
        <v>163</v>
      </c>
      <c r="H755" t="s">
        <v>164</v>
      </c>
      <c r="I755" t="s">
        <v>49</v>
      </c>
      <c r="J755">
        <v>1</v>
      </c>
      <c r="K755">
        <v>4200</v>
      </c>
      <c r="L755">
        <v>4200</v>
      </c>
    </row>
    <row r="756" spans="1:12" x14ac:dyDescent="0.3">
      <c r="A756">
        <v>10755</v>
      </c>
      <c r="B756" s="2">
        <v>45852</v>
      </c>
      <c r="C756" t="s">
        <v>183</v>
      </c>
      <c r="D756" t="s">
        <v>184</v>
      </c>
      <c r="E756" t="s">
        <v>27</v>
      </c>
      <c r="F756" t="s">
        <v>28</v>
      </c>
      <c r="G756" t="s">
        <v>140</v>
      </c>
      <c r="H756" t="s">
        <v>141</v>
      </c>
      <c r="I756" t="s">
        <v>18</v>
      </c>
      <c r="J756">
        <v>2</v>
      </c>
      <c r="K756">
        <v>3000</v>
      </c>
      <c r="L756">
        <v>6000</v>
      </c>
    </row>
    <row r="757" spans="1:12" x14ac:dyDescent="0.3">
      <c r="A757">
        <v>10756</v>
      </c>
      <c r="B757" s="2">
        <v>45998</v>
      </c>
      <c r="C757" t="s">
        <v>105</v>
      </c>
      <c r="D757" t="s">
        <v>106</v>
      </c>
      <c r="E757" t="s">
        <v>45</v>
      </c>
      <c r="F757" t="s">
        <v>46</v>
      </c>
      <c r="G757" t="s">
        <v>75</v>
      </c>
      <c r="H757" t="s">
        <v>76</v>
      </c>
      <c r="I757" t="s">
        <v>49</v>
      </c>
      <c r="J757">
        <v>2</v>
      </c>
      <c r="K757">
        <v>3000</v>
      </c>
      <c r="L757">
        <v>6000</v>
      </c>
    </row>
    <row r="758" spans="1:12" x14ac:dyDescent="0.3">
      <c r="A758">
        <v>10757</v>
      </c>
      <c r="B758" s="2">
        <v>45978</v>
      </c>
      <c r="C758" t="s">
        <v>85</v>
      </c>
      <c r="D758" t="s">
        <v>86</v>
      </c>
      <c r="E758" t="s">
        <v>45</v>
      </c>
      <c r="F758" t="s">
        <v>46</v>
      </c>
      <c r="G758" t="s">
        <v>29</v>
      </c>
      <c r="H758" t="s">
        <v>30</v>
      </c>
      <c r="I758" t="s">
        <v>18</v>
      </c>
      <c r="J758">
        <v>1</v>
      </c>
      <c r="K758">
        <v>15000</v>
      </c>
      <c r="L758">
        <v>15000</v>
      </c>
    </row>
    <row r="759" spans="1:12" x14ac:dyDescent="0.3">
      <c r="A759">
        <v>10758</v>
      </c>
      <c r="B759" s="2">
        <v>45782</v>
      </c>
      <c r="C759" t="s">
        <v>127</v>
      </c>
      <c r="D759" t="s">
        <v>128</v>
      </c>
      <c r="E759" t="s">
        <v>102</v>
      </c>
      <c r="F759" t="s">
        <v>34</v>
      </c>
      <c r="G759" t="s">
        <v>109</v>
      </c>
      <c r="H759" t="s">
        <v>110</v>
      </c>
      <c r="I759" t="s">
        <v>18</v>
      </c>
      <c r="J759">
        <v>4</v>
      </c>
      <c r="K759">
        <v>5000</v>
      </c>
      <c r="L759">
        <v>20000</v>
      </c>
    </row>
    <row r="760" spans="1:12" x14ac:dyDescent="0.3">
      <c r="A760">
        <v>10759</v>
      </c>
      <c r="B760" s="2">
        <v>45897</v>
      </c>
      <c r="C760" t="s">
        <v>12</v>
      </c>
      <c r="D760" t="s">
        <v>13</v>
      </c>
      <c r="E760" t="s">
        <v>14</v>
      </c>
      <c r="F760" t="s">
        <v>15</v>
      </c>
      <c r="G760" t="s">
        <v>144</v>
      </c>
      <c r="H760" t="s">
        <v>145</v>
      </c>
      <c r="I760" t="s">
        <v>37</v>
      </c>
      <c r="J760">
        <v>4</v>
      </c>
      <c r="K760">
        <v>65000</v>
      </c>
      <c r="L760">
        <v>260000</v>
      </c>
    </row>
    <row r="761" spans="1:12" x14ac:dyDescent="0.3">
      <c r="A761">
        <v>10760</v>
      </c>
      <c r="B761" s="2">
        <v>45906</v>
      </c>
      <c r="C761" t="s">
        <v>138</v>
      </c>
      <c r="D761" t="s">
        <v>139</v>
      </c>
      <c r="E761" t="s">
        <v>79</v>
      </c>
      <c r="F761" t="s">
        <v>34</v>
      </c>
      <c r="G761" t="s">
        <v>75</v>
      </c>
      <c r="H761" t="s">
        <v>76</v>
      </c>
      <c r="I761" t="s">
        <v>49</v>
      </c>
      <c r="J761">
        <v>1</v>
      </c>
      <c r="K761">
        <v>3000</v>
      </c>
      <c r="L761">
        <v>3000</v>
      </c>
    </row>
    <row r="762" spans="1:12" x14ac:dyDescent="0.3">
      <c r="A762">
        <v>10761</v>
      </c>
      <c r="B762" s="2">
        <v>45964</v>
      </c>
      <c r="C762" t="s">
        <v>100</v>
      </c>
      <c r="D762" t="s">
        <v>101</v>
      </c>
      <c r="E762" t="s">
        <v>102</v>
      </c>
      <c r="F762" t="s">
        <v>34</v>
      </c>
      <c r="G762" t="s">
        <v>47</v>
      </c>
      <c r="H762" t="s">
        <v>48</v>
      </c>
      <c r="I762" t="s">
        <v>49</v>
      </c>
      <c r="J762">
        <v>1</v>
      </c>
      <c r="K762">
        <v>1600</v>
      </c>
      <c r="L762">
        <v>1600</v>
      </c>
    </row>
    <row r="763" spans="1:12" x14ac:dyDescent="0.3">
      <c r="A763">
        <v>10762</v>
      </c>
      <c r="B763" s="2">
        <v>45677</v>
      </c>
      <c r="C763" t="s">
        <v>224</v>
      </c>
      <c r="D763" t="s">
        <v>225</v>
      </c>
      <c r="E763" t="s">
        <v>201</v>
      </c>
      <c r="F763" t="s">
        <v>28</v>
      </c>
      <c r="G763" t="s">
        <v>60</v>
      </c>
      <c r="H763" t="s">
        <v>61</v>
      </c>
      <c r="I763" t="s">
        <v>18</v>
      </c>
      <c r="J763">
        <v>4</v>
      </c>
      <c r="K763">
        <v>2200</v>
      </c>
      <c r="L763">
        <v>8800</v>
      </c>
    </row>
    <row r="764" spans="1:12" x14ac:dyDescent="0.3">
      <c r="A764">
        <v>10763</v>
      </c>
      <c r="B764" s="2">
        <v>45770</v>
      </c>
      <c r="C764" t="s">
        <v>93</v>
      </c>
      <c r="D764" t="s">
        <v>94</v>
      </c>
      <c r="E764" t="s">
        <v>95</v>
      </c>
      <c r="F764" t="s">
        <v>15</v>
      </c>
      <c r="G764" t="s">
        <v>96</v>
      </c>
      <c r="H764" t="s">
        <v>97</v>
      </c>
      <c r="I764" t="s">
        <v>37</v>
      </c>
      <c r="J764">
        <v>1</v>
      </c>
      <c r="K764">
        <v>18000</v>
      </c>
      <c r="L764">
        <v>18000</v>
      </c>
    </row>
    <row r="765" spans="1:12" x14ac:dyDescent="0.3">
      <c r="A765">
        <v>10764</v>
      </c>
      <c r="B765" s="2">
        <v>45833</v>
      </c>
      <c r="C765" t="s">
        <v>204</v>
      </c>
      <c r="D765" t="s">
        <v>205</v>
      </c>
      <c r="E765" t="s">
        <v>201</v>
      </c>
      <c r="F765" t="s">
        <v>28</v>
      </c>
      <c r="G765" t="s">
        <v>98</v>
      </c>
      <c r="H765" t="s">
        <v>99</v>
      </c>
      <c r="I765" t="s">
        <v>24</v>
      </c>
      <c r="J765">
        <v>1</v>
      </c>
      <c r="K765">
        <v>2000</v>
      </c>
      <c r="L765">
        <v>2000</v>
      </c>
    </row>
    <row r="766" spans="1:12" x14ac:dyDescent="0.3">
      <c r="A766">
        <v>10765</v>
      </c>
      <c r="B766" s="2">
        <v>45961</v>
      </c>
      <c r="C766" t="s">
        <v>87</v>
      </c>
      <c r="D766" t="s">
        <v>88</v>
      </c>
      <c r="E766" t="s">
        <v>64</v>
      </c>
      <c r="F766" t="s">
        <v>46</v>
      </c>
      <c r="G766" t="s">
        <v>103</v>
      </c>
      <c r="H766" t="s">
        <v>104</v>
      </c>
      <c r="I766" t="s">
        <v>37</v>
      </c>
      <c r="J766">
        <v>1</v>
      </c>
      <c r="K766">
        <v>28000</v>
      </c>
      <c r="L766">
        <v>28000</v>
      </c>
    </row>
    <row r="767" spans="1:12" x14ac:dyDescent="0.3">
      <c r="A767">
        <v>10766</v>
      </c>
      <c r="B767" s="2">
        <v>45810</v>
      </c>
      <c r="C767" t="s">
        <v>161</v>
      </c>
      <c r="D767" t="s">
        <v>162</v>
      </c>
      <c r="E767" t="s">
        <v>33</v>
      </c>
      <c r="F767" t="s">
        <v>34</v>
      </c>
      <c r="G767" t="s">
        <v>70</v>
      </c>
      <c r="H767" t="s">
        <v>71</v>
      </c>
      <c r="I767" t="s">
        <v>37</v>
      </c>
      <c r="J767">
        <v>2</v>
      </c>
      <c r="K767">
        <v>2200</v>
      </c>
      <c r="L767">
        <v>4400</v>
      </c>
    </row>
    <row r="768" spans="1:12" x14ac:dyDescent="0.3">
      <c r="A768">
        <v>10767</v>
      </c>
      <c r="B768" s="2">
        <v>45864</v>
      </c>
      <c r="C768" t="s">
        <v>91</v>
      </c>
      <c r="D768" t="s">
        <v>92</v>
      </c>
      <c r="E768" t="s">
        <v>40</v>
      </c>
      <c r="F768" t="s">
        <v>15</v>
      </c>
      <c r="G768" t="s">
        <v>177</v>
      </c>
      <c r="H768" t="s">
        <v>178</v>
      </c>
      <c r="I768" t="s">
        <v>37</v>
      </c>
      <c r="J768">
        <v>1</v>
      </c>
      <c r="K768">
        <v>2500</v>
      </c>
      <c r="L768">
        <v>2500</v>
      </c>
    </row>
    <row r="769" spans="1:12" x14ac:dyDescent="0.3">
      <c r="A769">
        <v>10768</v>
      </c>
      <c r="B769" s="2">
        <v>45754</v>
      </c>
      <c r="C769" t="s">
        <v>43</v>
      </c>
      <c r="D769" t="s">
        <v>44</v>
      </c>
      <c r="E769" t="s">
        <v>45</v>
      </c>
      <c r="F769" t="s">
        <v>46</v>
      </c>
      <c r="G769" t="s">
        <v>113</v>
      </c>
      <c r="H769" t="s">
        <v>114</v>
      </c>
      <c r="I769" t="s">
        <v>37</v>
      </c>
      <c r="J769">
        <v>2</v>
      </c>
      <c r="K769">
        <v>52000</v>
      </c>
      <c r="L769">
        <v>104000</v>
      </c>
    </row>
    <row r="770" spans="1:12" x14ac:dyDescent="0.3">
      <c r="A770">
        <v>10769</v>
      </c>
      <c r="B770" s="2">
        <v>45829</v>
      </c>
      <c r="C770" t="s">
        <v>77</v>
      </c>
      <c r="D770" t="s">
        <v>78</v>
      </c>
      <c r="E770" t="s">
        <v>79</v>
      </c>
      <c r="F770" t="s">
        <v>34</v>
      </c>
      <c r="G770" t="s">
        <v>144</v>
      </c>
      <c r="H770" t="s">
        <v>145</v>
      </c>
      <c r="I770" t="s">
        <v>37</v>
      </c>
      <c r="J770">
        <v>1</v>
      </c>
      <c r="K770">
        <v>65000</v>
      </c>
      <c r="L770">
        <v>65000</v>
      </c>
    </row>
    <row r="771" spans="1:12" x14ac:dyDescent="0.3">
      <c r="A771">
        <v>10770</v>
      </c>
      <c r="B771" s="2">
        <v>45989</v>
      </c>
      <c r="C771" t="s">
        <v>133</v>
      </c>
      <c r="D771" t="s">
        <v>134</v>
      </c>
      <c r="E771" t="s">
        <v>33</v>
      </c>
      <c r="F771" t="s">
        <v>34</v>
      </c>
      <c r="G771" t="s">
        <v>22</v>
      </c>
      <c r="H771" t="s">
        <v>23</v>
      </c>
      <c r="I771" t="s">
        <v>24</v>
      </c>
      <c r="J771">
        <v>1</v>
      </c>
      <c r="K771">
        <v>2400</v>
      </c>
      <c r="L771">
        <v>2400</v>
      </c>
    </row>
    <row r="772" spans="1:12" x14ac:dyDescent="0.3">
      <c r="A772">
        <v>10771</v>
      </c>
      <c r="B772" s="2">
        <v>45878</v>
      </c>
      <c r="C772" t="s">
        <v>210</v>
      </c>
      <c r="D772" t="s">
        <v>211</v>
      </c>
      <c r="E772" t="s">
        <v>40</v>
      </c>
      <c r="F772" t="s">
        <v>15</v>
      </c>
      <c r="G772" t="s">
        <v>98</v>
      </c>
      <c r="H772" t="s">
        <v>99</v>
      </c>
      <c r="I772" t="s">
        <v>24</v>
      </c>
      <c r="J772">
        <v>2</v>
      </c>
      <c r="K772">
        <v>2000</v>
      </c>
      <c r="L772">
        <v>4000</v>
      </c>
    </row>
    <row r="773" spans="1:12" x14ac:dyDescent="0.3">
      <c r="A773">
        <v>10772</v>
      </c>
      <c r="B773" s="2">
        <v>45851</v>
      </c>
      <c r="C773" t="s">
        <v>119</v>
      </c>
      <c r="D773" t="s">
        <v>120</v>
      </c>
      <c r="E773" t="s">
        <v>27</v>
      </c>
      <c r="F773" t="s">
        <v>28</v>
      </c>
      <c r="G773" t="s">
        <v>113</v>
      </c>
      <c r="H773" t="s">
        <v>114</v>
      </c>
      <c r="I773" t="s">
        <v>37</v>
      </c>
      <c r="J773">
        <v>3</v>
      </c>
      <c r="K773">
        <v>52000</v>
      </c>
      <c r="L773">
        <v>156000</v>
      </c>
    </row>
    <row r="774" spans="1:12" x14ac:dyDescent="0.3">
      <c r="A774">
        <v>10773</v>
      </c>
      <c r="B774" s="2">
        <v>45878</v>
      </c>
      <c r="C774" t="s">
        <v>38</v>
      </c>
      <c r="D774" t="s">
        <v>39</v>
      </c>
      <c r="E774" t="s">
        <v>40</v>
      </c>
      <c r="F774" t="s">
        <v>15</v>
      </c>
      <c r="G774" t="s">
        <v>70</v>
      </c>
      <c r="H774" t="s">
        <v>71</v>
      </c>
      <c r="I774" t="s">
        <v>37</v>
      </c>
      <c r="J774">
        <v>3</v>
      </c>
      <c r="K774">
        <v>2200</v>
      </c>
      <c r="L774">
        <v>6600</v>
      </c>
    </row>
    <row r="775" spans="1:12" x14ac:dyDescent="0.3">
      <c r="A775">
        <v>10774</v>
      </c>
      <c r="B775" s="2">
        <v>45830</v>
      </c>
      <c r="C775" t="s">
        <v>82</v>
      </c>
      <c r="D775" t="s">
        <v>83</v>
      </c>
      <c r="E775" t="s">
        <v>84</v>
      </c>
      <c r="F775" t="s">
        <v>46</v>
      </c>
      <c r="G775" t="s">
        <v>16</v>
      </c>
      <c r="H775" t="s">
        <v>17</v>
      </c>
      <c r="I775" t="s">
        <v>18</v>
      </c>
      <c r="J775">
        <v>2</v>
      </c>
      <c r="K775">
        <v>11000</v>
      </c>
      <c r="L775">
        <v>22000</v>
      </c>
    </row>
    <row r="776" spans="1:12" x14ac:dyDescent="0.3">
      <c r="A776">
        <v>10775</v>
      </c>
      <c r="B776" s="2">
        <v>45714</v>
      </c>
      <c r="C776" t="s">
        <v>135</v>
      </c>
      <c r="D776" t="s">
        <v>136</v>
      </c>
      <c r="E776" t="s">
        <v>137</v>
      </c>
      <c r="F776" t="s">
        <v>46</v>
      </c>
      <c r="G776" t="s">
        <v>89</v>
      </c>
      <c r="H776" t="s">
        <v>90</v>
      </c>
      <c r="I776" t="s">
        <v>18</v>
      </c>
      <c r="J776">
        <v>1</v>
      </c>
      <c r="K776">
        <v>4200</v>
      </c>
      <c r="L776">
        <v>4200</v>
      </c>
    </row>
    <row r="777" spans="1:12" x14ac:dyDescent="0.3">
      <c r="A777">
        <v>10776</v>
      </c>
      <c r="B777" s="2">
        <v>45989</v>
      </c>
      <c r="C777" t="s">
        <v>115</v>
      </c>
      <c r="D777" t="s">
        <v>116</v>
      </c>
      <c r="E777" t="s">
        <v>33</v>
      </c>
      <c r="F777" t="s">
        <v>34</v>
      </c>
      <c r="G777" t="s">
        <v>109</v>
      </c>
      <c r="H777" t="s">
        <v>110</v>
      </c>
      <c r="I777" t="s">
        <v>18</v>
      </c>
      <c r="J777">
        <v>2</v>
      </c>
      <c r="K777">
        <v>5000</v>
      </c>
      <c r="L777">
        <v>10000</v>
      </c>
    </row>
    <row r="778" spans="1:12" x14ac:dyDescent="0.3">
      <c r="A778">
        <v>10777</v>
      </c>
      <c r="B778" s="2">
        <v>45831</v>
      </c>
      <c r="C778" t="s">
        <v>72</v>
      </c>
      <c r="D778" t="s">
        <v>73</v>
      </c>
      <c r="E778" t="s">
        <v>74</v>
      </c>
      <c r="F778" t="s">
        <v>28</v>
      </c>
      <c r="G778" t="s">
        <v>70</v>
      </c>
      <c r="H778" t="s">
        <v>71</v>
      </c>
      <c r="I778" t="s">
        <v>37</v>
      </c>
      <c r="J778">
        <v>1</v>
      </c>
      <c r="K778">
        <v>2200</v>
      </c>
      <c r="L778">
        <v>2200</v>
      </c>
    </row>
    <row r="779" spans="1:12" x14ac:dyDescent="0.3">
      <c r="A779">
        <v>10778</v>
      </c>
      <c r="B779" s="2">
        <v>45703</v>
      </c>
      <c r="C779" t="s">
        <v>43</v>
      </c>
      <c r="D779" t="s">
        <v>44</v>
      </c>
      <c r="E779" t="s">
        <v>45</v>
      </c>
      <c r="F779" t="s">
        <v>46</v>
      </c>
      <c r="G779" t="s">
        <v>179</v>
      </c>
      <c r="H779" t="s">
        <v>180</v>
      </c>
      <c r="I779" t="s">
        <v>18</v>
      </c>
      <c r="J779">
        <v>2</v>
      </c>
      <c r="K779">
        <v>6500</v>
      </c>
      <c r="L779">
        <v>13000</v>
      </c>
    </row>
    <row r="780" spans="1:12" x14ac:dyDescent="0.3">
      <c r="A780">
        <v>10779</v>
      </c>
      <c r="B780" s="2">
        <v>45982</v>
      </c>
      <c r="C780" t="s">
        <v>146</v>
      </c>
      <c r="D780" t="s">
        <v>147</v>
      </c>
      <c r="E780" t="s">
        <v>64</v>
      </c>
      <c r="F780" t="s">
        <v>46</v>
      </c>
      <c r="G780" t="s">
        <v>35</v>
      </c>
      <c r="H780" t="s">
        <v>36</v>
      </c>
      <c r="I780" t="s">
        <v>37</v>
      </c>
      <c r="J780">
        <v>1</v>
      </c>
      <c r="K780">
        <v>12000</v>
      </c>
      <c r="L780">
        <v>12000</v>
      </c>
    </row>
    <row r="781" spans="1:12" x14ac:dyDescent="0.3">
      <c r="A781">
        <v>10780</v>
      </c>
      <c r="B781" s="2">
        <v>45840</v>
      </c>
      <c r="C781" t="s">
        <v>82</v>
      </c>
      <c r="D781" t="s">
        <v>83</v>
      </c>
      <c r="E781" t="s">
        <v>84</v>
      </c>
      <c r="F781" t="s">
        <v>46</v>
      </c>
      <c r="G781" t="s">
        <v>152</v>
      </c>
      <c r="H781" t="s">
        <v>153</v>
      </c>
      <c r="I781" t="s">
        <v>49</v>
      </c>
      <c r="J781">
        <v>1</v>
      </c>
      <c r="K781">
        <v>3200</v>
      </c>
      <c r="L781">
        <v>3200</v>
      </c>
    </row>
    <row r="782" spans="1:12" x14ac:dyDescent="0.3">
      <c r="A782">
        <v>10781</v>
      </c>
      <c r="B782" s="2">
        <v>45755</v>
      </c>
      <c r="C782" t="s">
        <v>72</v>
      </c>
      <c r="D782" t="s">
        <v>73</v>
      </c>
      <c r="E782" t="s">
        <v>74</v>
      </c>
      <c r="F782" t="s">
        <v>28</v>
      </c>
      <c r="G782" t="s">
        <v>60</v>
      </c>
      <c r="H782" t="s">
        <v>61</v>
      </c>
      <c r="I782" t="s">
        <v>18</v>
      </c>
      <c r="J782">
        <v>1</v>
      </c>
      <c r="K782">
        <v>2200</v>
      </c>
      <c r="L782">
        <v>2200</v>
      </c>
    </row>
    <row r="783" spans="1:12" x14ac:dyDescent="0.3">
      <c r="A783">
        <v>10782</v>
      </c>
      <c r="B783" s="2">
        <v>45936</v>
      </c>
      <c r="C783" t="s">
        <v>25</v>
      </c>
      <c r="D783" t="s">
        <v>26</v>
      </c>
      <c r="E783" t="s">
        <v>27</v>
      </c>
      <c r="F783" t="s">
        <v>28</v>
      </c>
      <c r="G783" t="s">
        <v>177</v>
      </c>
      <c r="H783" t="s">
        <v>178</v>
      </c>
      <c r="I783" t="s">
        <v>37</v>
      </c>
      <c r="J783">
        <v>2</v>
      </c>
      <c r="K783">
        <v>2500</v>
      </c>
      <c r="L783">
        <v>5000</v>
      </c>
    </row>
    <row r="784" spans="1:12" x14ac:dyDescent="0.3">
      <c r="A784">
        <v>10783</v>
      </c>
      <c r="B784" s="2">
        <v>45912</v>
      </c>
      <c r="C784" t="s">
        <v>191</v>
      </c>
      <c r="D784" t="s">
        <v>192</v>
      </c>
      <c r="E784" t="s">
        <v>27</v>
      </c>
      <c r="F784" t="s">
        <v>28</v>
      </c>
      <c r="G784" t="s">
        <v>167</v>
      </c>
      <c r="H784" t="s">
        <v>168</v>
      </c>
      <c r="I784" t="s">
        <v>49</v>
      </c>
      <c r="J784">
        <v>1</v>
      </c>
      <c r="K784">
        <v>3800</v>
      </c>
      <c r="L784">
        <v>3800</v>
      </c>
    </row>
    <row r="785" spans="1:12" x14ac:dyDescent="0.3">
      <c r="A785">
        <v>10784</v>
      </c>
      <c r="B785" s="2">
        <v>46009</v>
      </c>
      <c r="C785" t="s">
        <v>183</v>
      </c>
      <c r="D785" t="s">
        <v>184</v>
      </c>
      <c r="E785" t="s">
        <v>27</v>
      </c>
      <c r="F785" t="s">
        <v>28</v>
      </c>
      <c r="G785" t="s">
        <v>179</v>
      </c>
      <c r="H785" t="s">
        <v>180</v>
      </c>
      <c r="I785" t="s">
        <v>18</v>
      </c>
      <c r="J785">
        <v>1</v>
      </c>
      <c r="K785">
        <v>6500</v>
      </c>
      <c r="L785">
        <v>6500</v>
      </c>
    </row>
    <row r="786" spans="1:12" x14ac:dyDescent="0.3">
      <c r="A786">
        <v>10785</v>
      </c>
      <c r="B786" s="2">
        <v>46017</v>
      </c>
      <c r="C786" t="s">
        <v>67</v>
      </c>
      <c r="D786" t="s">
        <v>68</v>
      </c>
      <c r="E786" t="s">
        <v>69</v>
      </c>
      <c r="F786" t="s">
        <v>28</v>
      </c>
      <c r="G786" t="s">
        <v>29</v>
      </c>
      <c r="H786" t="s">
        <v>30</v>
      </c>
      <c r="I786" t="s">
        <v>18</v>
      </c>
      <c r="J786">
        <v>1</v>
      </c>
      <c r="K786">
        <v>15000</v>
      </c>
      <c r="L786">
        <v>15000</v>
      </c>
    </row>
    <row r="787" spans="1:12" x14ac:dyDescent="0.3">
      <c r="A787">
        <v>10786</v>
      </c>
      <c r="B787" s="2">
        <v>45735</v>
      </c>
      <c r="C787" t="s">
        <v>117</v>
      </c>
      <c r="D787" t="s">
        <v>118</v>
      </c>
      <c r="E787" t="s">
        <v>95</v>
      </c>
      <c r="F787" t="s">
        <v>15</v>
      </c>
      <c r="G787" t="s">
        <v>35</v>
      </c>
      <c r="H787" t="s">
        <v>36</v>
      </c>
      <c r="I787" t="s">
        <v>37</v>
      </c>
      <c r="J787">
        <v>2</v>
      </c>
      <c r="K787">
        <v>12000</v>
      </c>
      <c r="L787">
        <v>24000</v>
      </c>
    </row>
    <row r="788" spans="1:12" x14ac:dyDescent="0.3">
      <c r="A788">
        <v>10787</v>
      </c>
      <c r="B788" s="2">
        <v>46005</v>
      </c>
      <c r="C788" t="s">
        <v>43</v>
      </c>
      <c r="D788" t="s">
        <v>44</v>
      </c>
      <c r="E788" t="s">
        <v>45</v>
      </c>
      <c r="F788" t="s">
        <v>46</v>
      </c>
      <c r="G788" t="s">
        <v>70</v>
      </c>
      <c r="H788" t="s">
        <v>71</v>
      </c>
      <c r="I788" t="s">
        <v>37</v>
      </c>
      <c r="J788">
        <v>1</v>
      </c>
      <c r="K788">
        <v>2200</v>
      </c>
      <c r="L788">
        <v>2200</v>
      </c>
    </row>
    <row r="789" spans="1:12" x14ac:dyDescent="0.3">
      <c r="A789">
        <v>10788</v>
      </c>
      <c r="B789" s="2">
        <v>45982</v>
      </c>
      <c r="C789" t="s">
        <v>58</v>
      </c>
      <c r="D789" t="s">
        <v>59</v>
      </c>
      <c r="E789" t="s">
        <v>21</v>
      </c>
      <c r="F789" t="s">
        <v>15</v>
      </c>
      <c r="G789" t="s">
        <v>60</v>
      </c>
      <c r="H789" t="s">
        <v>61</v>
      </c>
      <c r="I789" t="s">
        <v>18</v>
      </c>
      <c r="J789">
        <v>1</v>
      </c>
      <c r="K789">
        <v>2200</v>
      </c>
      <c r="L789">
        <v>2200</v>
      </c>
    </row>
    <row r="790" spans="1:12" x14ac:dyDescent="0.3">
      <c r="A790">
        <v>10789</v>
      </c>
      <c r="B790" s="2">
        <v>45744</v>
      </c>
      <c r="C790" t="s">
        <v>105</v>
      </c>
      <c r="D790" t="s">
        <v>106</v>
      </c>
      <c r="E790" t="s">
        <v>45</v>
      </c>
      <c r="F790" t="s">
        <v>46</v>
      </c>
      <c r="G790" t="s">
        <v>22</v>
      </c>
      <c r="H790" t="s">
        <v>23</v>
      </c>
      <c r="I790" t="s">
        <v>24</v>
      </c>
      <c r="J790">
        <v>1</v>
      </c>
      <c r="K790">
        <v>2400</v>
      </c>
      <c r="L790">
        <v>2400</v>
      </c>
    </row>
    <row r="791" spans="1:12" x14ac:dyDescent="0.3">
      <c r="A791">
        <v>10790</v>
      </c>
      <c r="B791" s="2">
        <v>45908</v>
      </c>
      <c r="C791" t="s">
        <v>12</v>
      </c>
      <c r="D791" t="s">
        <v>13</v>
      </c>
      <c r="E791" t="s">
        <v>14</v>
      </c>
      <c r="F791" t="s">
        <v>15</v>
      </c>
      <c r="G791" t="s">
        <v>56</v>
      </c>
      <c r="H791" t="s">
        <v>57</v>
      </c>
      <c r="I791" t="s">
        <v>18</v>
      </c>
      <c r="J791">
        <v>2</v>
      </c>
      <c r="K791">
        <v>9000</v>
      </c>
      <c r="L791">
        <v>18000</v>
      </c>
    </row>
    <row r="792" spans="1:12" x14ac:dyDescent="0.3">
      <c r="A792">
        <v>10791</v>
      </c>
      <c r="B792" s="2">
        <v>46003</v>
      </c>
      <c r="C792" t="s">
        <v>50</v>
      </c>
      <c r="D792" t="s">
        <v>51</v>
      </c>
      <c r="E792" t="s">
        <v>14</v>
      </c>
      <c r="F792" t="s">
        <v>15</v>
      </c>
      <c r="G792" t="s">
        <v>125</v>
      </c>
      <c r="H792" t="s">
        <v>126</v>
      </c>
      <c r="I792" t="s">
        <v>37</v>
      </c>
      <c r="J792">
        <v>2</v>
      </c>
      <c r="K792">
        <v>22000</v>
      </c>
      <c r="L792">
        <v>44000</v>
      </c>
    </row>
    <row r="793" spans="1:12" x14ac:dyDescent="0.3">
      <c r="A793">
        <v>10792</v>
      </c>
      <c r="B793" s="2">
        <v>45754</v>
      </c>
      <c r="C793" t="s">
        <v>80</v>
      </c>
      <c r="D793" t="s">
        <v>81</v>
      </c>
      <c r="E793" t="s">
        <v>79</v>
      </c>
      <c r="F793" t="s">
        <v>34</v>
      </c>
      <c r="G793" t="s">
        <v>177</v>
      </c>
      <c r="H793" t="s">
        <v>178</v>
      </c>
      <c r="I793" t="s">
        <v>37</v>
      </c>
      <c r="J793">
        <v>2</v>
      </c>
      <c r="K793">
        <v>2500</v>
      </c>
      <c r="L793">
        <v>5000</v>
      </c>
    </row>
    <row r="794" spans="1:12" x14ac:dyDescent="0.3">
      <c r="A794">
        <v>10793</v>
      </c>
      <c r="B794" s="2">
        <v>45974</v>
      </c>
      <c r="C794" t="s">
        <v>31</v>
      </c>
      <c r="D794" t="s">
        <v>32</v>
      </c>
      <c r="E794" t="s">
        <v>33</v>
      </c>
      <c r="F794" t="s">
        <v>34</v>
      </c>
      <c r="G794" t="s">
        <v>56</v>
      </c>
      <c r="H794" t="s">
        <v>57</v>
      </c>
      <c r="I794" t="s">
        <v>18</v>
      </c>
      <c r="J794">
        <v>1</v>
      </c>
      <c r="K794">
        <v>9000</v>
      </c>
      <c r="L794">
        <v>9000</v>
      </c>
    </row>
    <row r="795" spans="1:12" x14ac:dyDescent="0.3">
      <c r="A795">
        <v>10794</v>
      </c>
      <c r="B795" s="2">
        <v>45851</v>
      </c>
      <c r="C795" t="s">
        <v>210</v>
      </c>
      <c r="D795" t="s">
        <v>211</v>
      </c>
      <c r="E795" t="s">
        <v>40</v>
      </c>
      <c r="F795" t="s">
        <v>15</v>
      </c>
      <c r="G795" t="s">
        <v>125</v>
      </c>
      <c r="H795" t="s">
        <v>126</v>
      </c>
      <c r="I795" t="s">
        <v>37</v>
      </c>
      <c r="J795">
        <v>2</v>
      </c>
      <c r="K795">
        <v>22000</v>
      </c>
      <c r="L795">
        <v>44000</v>
      </c>
    </row>
    <row r="796" spans="1:12" x14ac:dyDescent="0.3">
      <c r="A796">
        <v>10795</v>
      </c>
      <c r="B796" s="2">
        <v>45832</v>
      </c>
      <c r="C796" t="s">
        <v>191</v>
      </c>
      <c r="D796" t="s">
        <v>192</v>
      </c>
      <c r="E796" t="s">
        <v>27</v>
      </c>
      <c r="F796" t="s">
        <v>28</v>
      </c>
      <c r="G796" t="s">
        <v>113</v>
      </c>
      <c r="H796" t="s">
        <v>114</v>
      </c>
      <c r="I796" t="s">
        <v>37</v>
      </c>
      <c r="J796">
        <v>1</v>
      </c>
      <c r="K796">
        <v>52000</v>
      </c>
      <c r="L796">
        <v>52000</v>
      </c>
    </row>
    <row r="797" spans="1:12" x14ac:dyDescent="0.3">
      <c r="A797">
        <v>10796</v>
      </c>
      <c r="B797" s="2">
        <v>45663</v>
      </c>
      <c r="C797" t="s">
        <v>171</v>
      </c>
      <c r="D797" t="s">
        <v>172</v>
      </c>
      <c r="E797" t="s">
        <v>45</v>
      </c>
      <c r="F797" t="s">
        <v>46</v>
      </c>
      <c r="G797" t="s">
        <v>29</v>
      </c>
      <c r="H797" t="s">
        <v>30</v>
      </c>
      <c r="I797" t="s">
        <v>18</v>
      </c>
      <c r="J797">
        <v>2</v>
      </c>
      <c r="K797">
        <v>15000</v>
      </c>
      <c r="L797">
        <v>30000</v>
      </c>
    </row>
    <row r="798" spans="1:12" x14ac:dyDescent="0.3">
      <c r="A798">
        <v>10797</v>
      </c>
      <c r="B798" s="2">
        <v>45730</v>
      </c>
      <c r="C798" t="s">
        <v>175</v>
      </c>
      <c r="D798" t="s">
        <v>176</v>
      </c>
      <c r="E798" t="s">
        <v>84</v>
      </c>
      <c r="F798" t="s">
        <v>46</v>
      </c>
      <c r="G798" t="s">
        <v>167</v>
      </c>
      <c r="H798" t="s">
        <v>168</v>
      </c>
      <c r="I798" t="s">
        <v>49</v>
      </c>
      <c r="J798">
        <v>1</v>
      </c>
      <c r="K798">
        <v>3800</v>
      </c>
      <c r="L798">
        <v>3800</v>
      </c>
    </row>
    <row r="799" spans="1:12" x14ac:dyDescent="0.3">
      <c r="A799">
        <v>10798</v>
      </c>
      <c r="B799" s="2">
        <v>45796</v>
      </c>
      <c r="C799" t="s">
        <v>199</v>
      </c>
      <c r="D799" t="s">
        <v>200</v>
      </c>
      <c r="E799" t="s">
        <v>201</v>
      </c>
      <c r="F799" t="s">
        <v>28</v>
      </c>
      <c r="G799" t="s">
        <v>125</v>
      </c>
      <c r="H799" t="s">
        <v>126</v>
      </c>
      <c r="I799" t="s">
        <v>37</v>
      </c>
      <c r="J799">
        <v>3</v>
      </c>
      <c r="K799">
        <v>22000</v>
      </c>
      <c r="L799">
        <v>66000</v>
      </c>
    </row>
    <row r="800" spans="1:12" x14ac:dyDescent="0.3">
      <c r="A800">
        <v>10799</v>
      </c>
      <c r="B800" s="2">
        <v>45801</v>
      </c>
      <c r="C800" t="s">
        <v>210</v>
      </c>
      <c r="D800" t="s">
        <v>211</v>
      </c>
      <c r="E800" t="s">
        <v>40</v>
      </c>
      <c r="F800" t="s">
        <v>15</v>
      </c>
      <c r="G800" t="s">
        <v>41</v>
      </c>
      <c r="H800" t="s">
        <v>42</v>
      </c>
      <c r="I800" t="s">
        <v>37</v>
      </c>
      <c r="J800">
        <v>3</v>
      </c>
      <c r="K800">
        <v>30000</v>
      </c>
      <c r="L800">
        <v>90000</v>
      </c>
    </row>
    <row r="801" spans="1:12" x14ac:dyDescent="0.3">
      <c r="A801">
        <v>10800</v>
      </c>
      <c r="B801" s="2">
        <v>46008</v>
      </c>
      <c r="C801" t="s">
        <v>191</v>
      </c>
      <c r="D801" t="s">
        <v>192</v>
      </c>
      <c r="E801" t="s">
        <v>27</v>
      </c>
      <c r="F801" t="s">
        <v>28</v>
      </c>
      <c r="G801" t="s">
        <v>75</v>
      </c>
      <c r="H801" t="s">
        <v>76</v>
      </c>
      <c r="I801" t="s">
        <v>49</v>
      </c>
      <c r="J801">
        <v>3</v>
      </c>
      <c r="K801">
        <v>3000</v>
      </c>
      <c r="L801">
        <v>9000</v>
      </c>
    </row>
    <row r="802" spans="1:12" x14ac:dyDescent="0.3">
      <c r="A802">
        <v>10801</v>
      </c>
      <c r="B802" s="2">
        <v>46003</v>
      </c>
      <c r="C802" t="s">
        <v>204</v>
      </c>
      <c r="D802" t="s">
        <v>205</v>
      </c>
      <c r="E802" t="s">
        <v>201</v>
      </c>
      <c r="F802" t="s">
        <v>28</v>
      </c>
      <c r="G802" t="s">
        <v>29</v>
      </c>
      <c r="H802" t="s">
        <v>30</v>
      </c>
      <c r="I802" t="s">
        <v>18</v>
      </c>
      <c r="J802">
        <v>3</v>
      </c>
      <c r="K802">
        <v>15000</v>
      </c>
      <c r="L802">
        <v>45000</v>
      </c>
    </row>
    <row r="803" spans="1:12" x14ac:dyDescent="0.3">
      <c r="A803">
        <v>10802</v>
      </c>
      <c r="B803" s="2">
        <v>45831</v>
      </c>
      <c r="C803" t="s">
        <v>50</v>
      </c>
      <c r="D803" t="s">
        <v>51</v>
      </c>
      <c r="E803" t="s">
        <v>14</v>
      </c>
      <c r="F803" t="s">
        <v>15</v>
      </c>
      <c r="G803" t="s">
        <v>29</v>
      </c>
      <c r="H803" t="s">
        <v>30</v>
      </c>
      <c r="I803" t="s">
        <v>18</v>
      </c>
      <c r="J803">
        <v>4</v>
      </c>
      <c r="K803">
        <v>15000</v>
      </c>
      <c r="L803">
        <v>60000</v>
      </c>
    </row>
    <row r="804" spans="1:12" x14ac:dyDescent="0.3">
      <c r="A804">
        <v>10803</v>
      </c>
      <c r="B804" s="2">
        <v>45674</v>
      </c>
      <c r="C804" t="s">
        <v>80</v>
      </c>
      <c r="D804" t="s">
        <v>81</v>
      </c>
      <c r="E804" t="s">
        <v>79</v>
      </c>
      <c r="F804" t="s">
        <v>34</v>
      </c>
      <c r="G804" t="s">
        <v>109</v>
      </c>
      <c r="H804" t="s">
        <v>110</v>
      </c>
      <c r="I804" t="s">
        <v>18</v>
      </c>
      <c r="J804">
        <v>1</v>
      </c>
      <c r="K804">
        <v>5000</v>
      </c>
      <c r="L804">
        <v>5000</v>
      </c>
    </row>
    <row r="805" spans="1:12" x14ac:dyDescent="0.3">
      <c r="A805">
        <v>10804</v>
      </c>
      <c r="B805" s="2">
        <v>45823</v>
      </c>
      <c r="C805" t="s">
        <v>105</v>
      </c>
      <c r="D805" t="s">
        <v>106</v>
      </c>
      <c r="E805" t="s">
        <v>45</v>
      </c>
      <c r="F805" t="s">
        <v>46</v>
      </c>
      <c r="G805" t="s">
        <v>60</v>
      </c>
      <c r="H805" t="s">
        <v>61</v>
      </c>
      <c r="I805" t="s">
        <v>18</v>
      </c>
      <c r="J805">
        <v>3</v>
      </c>
      <c r="K805">
        <v>2200</v>
      </c>
      <c r="L805">
        <v>6600</v>
      </c>
    </row>
    <row r="806" spans="1:12" x14ac:dyDescent="0.3">
      <c r="A806">
        <v>10805</v>
      </c>
      <c r="B806" s="2">
        <v>45731</v>
      </c>
      <c r="C806" t="s">
        <v>91</v>
      </c>
      <c r="D806" t="s">
        <v>92</v>
      </c>
      <c r="E806" t="s">
        <v>40</v>
      </c>
      <c r="F806" t="s">
        <v>15</v>
      </c>
      <c r="G806" t="s">
        <v>96</v>
      </c>
      <c r="H806" t="s">
        <v>97</v>
      </c>
      <c r="I806" t="s">
        <v>37</v>
      </c>
      <c r="J806">
        <v>1</v>
      </c>
      <c r="K806">
        <v>18000</v>
      </c>
      <c r="L806">
        <v>18000</v>
      </c>
    </row>
    <row r="807" spans="1:12" x14ac:dyDescent="0.3">
      <c r="A807">
        <v>10806</v>
      </c>
      <c r="B807" s="2">
        <v>45709</v>
      </c>
      <c r="C807" t="s">
        <v>123</v>
      </c>
      <c r="D807" t="s">
        <v>124</v>
      </c>
      <c r="E807" t="s">
        <v>69</v>
      </c>
      <c r="F807" t="s">
        <v>28</v>
      </c>
      <c r="G807" t="s">
        <v>60</v>
      </c>
      <c r="H807" t="s">
        <v>61</v>
      </c>
      <c r="I807" t="s">
        <v>18</v>
      </c>
      <c r="J807">
        <v>1</v>
      </c>
      <c r="K807">
        <v>2200</v>
      </c>
      <c r="L807">
        <v>2200</v>
      </c>
    </row>
    <row r="808" spans="1:12" x14ac:dyDescent="0.3">
      <c r="A808">
        <v>10807</v>
      </c>
      <c r="B808" s="2">
        <v>45951</v>
      </c>
      <c r="C808" t="s">
        <v>107</v>
      </c>
      <c r="D808" t="s">
        <v>108</v>
      </c>
      <c r="E808" t="s">
        <v>74</v>
      </c>
      <c r="F808" t="s">
        <v>28</v>
      </c>
      <c r="G808" t="s">
        <v>177</v>
      </c>
      <c r="H808" t="s">
        <v>178</v>
      </c>
      <c r="I808" t="s">
        <v>37</v>
      </c>
      <c r="J808">
        <v>1</v>
      </c>
      <c r="K808">
        <v>2500</v>
      </c>
      <c r="L808">
        <v>2500</v>
      </c>
    </row>
    <row r="809" spans="1:12" x14ac:dyDescent="0.3">
      <c r="A809">
        <v>10808</v>
      </c>
      <c r="B809" s="2">
        <v>45961</v>
      </c>
      <c r="C809" t="s">
        <v>206</v>
      </c>
      <c r="D809" t="s">
        <v>207</v>
      </c>
      <c r="E809" t="s">
        <v>160</v>
      </c>
      <c r="F809" t="s">
        <v>34</v>
      </c>
      <c r="G809" t="s">
        <v>131</v>
      </c>
      <c r="H809" t="s">
        <v>132</v>
      </c>
      <c r="I809" t="s">
        <v>37</v>
      </c>
      <c r="J809">
        <v>2</v>
      </c>
      <c r="K809">
        <v>4500</v>
      </c>
      <c r="L809">
        <v>9000</v>
      </c>
    </row>
    <row r="810" spans="1:12" x14ac:dyDescent="0.3">
      <c r="A810">
        <v>10809</v>
      </c>
      <c r="B810" s="2">
        <v>45697</v>
      </c>
      <c r="C810" t="s">
        <v>80</v>
      </c>
      <c r="D810" t="s">
        <v>81</v>
      </c>
      <c r="E810" t="s">
        <v>79</v>
      </c>
      <c r="F810" t="s">
        <v>34</v>
      </c>
      <c r="G810" t="s">
        <v>129</v>
      </c>
      <c r="H810" t="s">
        <v>130</v>
      </c>
      <c r="I810" t="s">
        <v>24</v>
      </c>
      <c r="J810">
        <v>1</v>
      </c>
      <c r="K810">
        <v>1400</v>
      </c>
      <c r="L810">
        <v>1400</v>
      </c>
    </row>
    <row r="811" spans="1:12" x14ac:dyDescent="0.3">
      <c r="A811">
        <v>10810</v>
      </c>
      <c r="B811" s="2">
        <v>45946</v>
      </c>
      <c r="C811" t="s">
        <v>238</v>
      </c>
      <c r="D811" t="s">
        <v>239</v>
      </c>
      <c r="E811" t="s">
        <v>137</v>
      </c>
      <c r="F811" t="s">
        <v>46</v>
      </c>
      <c r="G811" t="s">
        <v>52</v>
      </c>
      <c r="H811" t="s">
        <v>53</v>
      </c>
      <c r="I811" t="s">
        <v>24</v>
      </c>
      <c r="J811">
        <v>2</v>
      </c>
      <c r="K811">
        <v>3500</v>
      </c>
      <c r="L811">
        <v>7000</v>
      </c>
    </row>
    <row r="812" spans="1:12" x14ac:dyDescent="0.3">
      <c r="A812">
        <v>10811</v>
      </c>
      <c r="B812" s="2">
        <v>45777</v>
      </c>
      <c r="C812" t="s">
        <v>206</v>
      </c>
      <c r="D812" t="s">
        <v>207</v>
      </c>
      <c r="E812" t="s">
        <v>160</v>
      </c>
      <c r="F812" t="s">
        <v>34</v>
      </c>
      <c r="G812" t="s">
        <v>60</v>
      </c>
      <c r="H812" t="s">
        <v>61</v>
      </c>
      <c r="I812" t="s">
        <v>18</v>
      </c>
      <c r="J812">
        <v>1</v>
      </c>
      <c r="K812">
        <v>2200</v>
      </c>
      <c r="L812">
        <v>2200</v>
      </c>
    </row>
    <row r="813" spans="1:12" x14ac:dyDescent="0.3">
      <c r="A813">
        <v>10812</v>
      </c>
      <c r="B813" s="2">
        <v>45936</v>
      </c>
      <c r="C813" t="s">
        <v>222</v>
      </c>
      <c r="D813" t="s">
        <v>223</v>
      </c>
      <c r="E813" t="s">
        <v>21</v>
      </c>
      <c r="F813" t="s">
        <v>15</v>
      </c>
      <c r="G813" t="s">
        <v>65</v>
      </c>
      <c r="H813" t="s">
        <v>66</v>
      </c>
      <c r="I813" t="s">
        <v>49</v>
      </c>
      <c r="J813">
        <v>3</v>
      </c>
      <c r="K813">
        <v>2400</v>
      </c>
      <c r="L813">
        <v>7200</v>
      </c>
    </row>
    <row r="814" spans="1:12" x14ac:dyDescent="0.3">
      <c r="A814">
        <v>10813</v>
      </c>
      <c r="B814" s="2">
        <v>45895</v>
      </c>
      <c r="C814" t="s">
        <v>146</v>
      </c>
      <c r="D814" t="s">
        <v>147</v>
      </c>
      <c r="E814" t="s">
        <v>64</v>
      </c>
      <c r="F814" t="s">
        <v>46</v>
      </c>
      <c r="G814" t="s">
        <v>131</v>
      </c>
      <c r="H814" t="s">
        <v>132</v>
      </c>
      <c r="I814" t="s">
        <v>37</v>
      </c>
      <c r="J814">
        <v>1</v>
      </c>
      <c r="K814">
        <v>4500</v>
      </c>
      <c r="L814">
        <v>4500</v>
      </c>
    </row>
    <row r="815" spans="1:12" x14ac:dyDescent="0.3">
      <c r="A815">
        <v>10814</v>
      </c>
      <c r="B815" s="2">
        <v>45817</v>
      </c>
      <c r="C815" t="s">
        <v>117</v>
      </c>
      <c r="D815" t="s">
        <v>118</v>
      </c>
      <c r="E815" t="s">
        <v>95</v>
      </c>
      <c r="F815" t="s">
        <v>15</v>
      </c>
      <c r="G815" t="s">
        <v>29</v>
      </c>
      <c r="H815" t="s">
        <v>30</v>
      </c>
      <c r="I815" t="s">
        <v>18</v>
      </c>
      <c r="J815">
        <v>1</v>
      </c>
      <c r="K815">
        <v>15000</v>
      </c>
      <c r="L815">
        <v>15000</v>
      </c>
    </row>
    <row r="816" spans="1:12" x14ac:dyDescent="0.3">
      <c r="A816">
        <v>10815</v>
      </c>
      <c r="B816" s="2">
        <v>45928</v>
      </c>
      <c r="C816" t="s">
        <v>133</v>
      </c>
      <c r="D816" t="s">
        <v>134</v>
      </c>
      <c r="E816" t="s">
        <v>33</v>
      </c>
      <c r="F816" t="s">
        <v>34</v>
      </c>
      <c r="G816" t="s">
        <v>167</v>
      </c>
      <c r="H816" t="s">
        <v>168</v>
      </c>
      <c r="I816" t="s">
        <v>49</v>
      </c>
      <c r="J816">
        <v>1</v>
      </c>
      <c r="K816">
        <v>3800</v>
      </c>
      <c r="L816">
        <v>3800</v>
      </c>
    </row>
    <row r="817" spans="1:12" x14ac:dyDescent="0.3">
      <c r="A817">
        <v>10816</v>
      </c>
      <c r="B817" s="2">
        <v>45728</v>
      </c>
      <c r="C817" t="s">
        <v>91</v>
      </c>
      <c r="D817" t="s">
        <v>92</v>
      </c>
      <c r="E817" t="s">
        <v>40</v>
      </c>
      <c r="F817" t="s">
        <v>15</v>
      </c>
      <c r="G817" t="s">
        <v>121</v>
      </c>
      <c r="H817" t="s">
        <v>122</v>
      </c>
      <c r="I817" t="s">
        <v>49</v>
      </c>
      <c r="J817">
        <v>1</v>
      </c>
      <c r="K817">
        <v>4800</v>
      </c>
      <c r="L817">
        <v>4800</v>
      </c>
    </row>
    <row r="818" spans="1:12" x14ac:dyDescent="0.3">
      <c r="A818">
        <v>10817</v>
      </c>
      <c r="B818" s="2">
        <v>45973</v>
      </c>
      <c r="C818" t="s">
        <v>212</v>
      </c>
      <c r="D818" t="s">
        <v>213</v>
      </c>
      <c r="E818" t="s">
        <v>69</v>
      </c>
      <c r="F818" t="s">
        <v>28</v>
      </c>
      <c r="G818" t="s">
        <v>96</v>
      </c>
      <c r="H818" t="s">
        <v>97</v>
      </c>
      <c r="I818" t="s">
        <v>37</v>
      </c>
      <c r="J818">
        <v>1</v>
      </c>
      <c r="K818">
        <v>18000</v>
      </c>
      <c r="L818">
        <v>18000</v>
      </c>
    </row>
    <row r="819" spans="1:12" x14ac:dyDescent="0.3">
      <c r="A819">
        <v>10818</v>
      </c>
      <c r="B819" s="2">
        <v>45664</v>
      </c>
      <c r="C819" t="s">
        <v>80</v>
      </c>
      <c r="D819" t="s">
        <v>81</v>
      </c>
      <c r="E819" t="s">
        <v>79</v>
      </c>
      <c r="F819" t="s">
        <v>34</v>
      </c>
      <c r="G819" t="s">
        <v>41</v>
      </c>
      <c r="H819" t="s">
        <v>42</v>
      </c>
      <c r="I819" t="s">
        <v>37</v>
      </c>
      <c r="J819">
        <v>1</v>
      </c>
      <c r="K819">
        <v>30000</v>
      </c>
      <c r="L819">
        <v>30000</v>
      </c>
    </row>
    <row r="820" spans="1:12" x14ac:dyDescent="0.3">
      <c r="A820">
        <v>10819</v>
      </c>
      <c r="B820" s="2">
        <v>45949</v>
      </c>
      <c r="C820" t="s">
        <v>133</v>
      </c>
      <c r="D820" t="s">
        <v>134</v>
      </c>
      <c r="E820" t="s">
        <v>33</v>
      </c>
      <c r="F820" t="s">
        <v>34</v>
      </c>
      <c r="G820" t="s">
        <v>75</v>
      </c>
      <c r="H820" t="s">
        <v>76</v>
      </c>
      <c r="I820" t="s">
        <v>49</v>
      </c>
      <c r="J820">
        <v>1</v>
      </c>
      <c r="K820">
        <v>3000</v>
      </c>
      <c r="L820">
        <v>3000</v>
      </c>
    </row>
    <row r="821" spans="1:12" x14ac:dyDescent="0.3">
      <c r="A821">
        <v>10820</v>
      </c>
      <c r="B821" s="2">
        <v>45791</v>
      </c>
      <c r="C821" t="s">
        <v>87</v>
      </c>
      <c r="D821" t="s">
        <v>88</v>
      </c>
      <c r="E821" t="s">
        <v>64</v>
      </c>
      <c r="F821" t="s">
        <v>46</v>
      </c>
      <c r="G821" t="s">
        <v>163</v>
      </c>
      <c r="H821" t="s">
        <v>164</v>
      </c>
      <c r="I821" t="s">
        <v>49</v>
      </c>
      <c r="J821">
        <v>2</v>
      </c>
      <c r="K821">
        <v>4200</v>
      </c>
      <c r="L821">
        <v>8400</v>
      </c>
    </row>
    <row r="822" spans="1:12" x14ac:dyDescent="0.3">
      <c r="A822">
        <v>10821</v>
      </c>
      <c r="B822" s="2">
        <v>45992</v>
      </c>
      <c r="C822" t="s">
        <v>133</v>
      </c>
      <c r="D822" t="s">
        <v>134</v>
      </c>
      <c r="E822" t="s">
        <v>33</v>
      </c>
      <c r="F822" t="s">
        <v>34</v>
      </c>
      <c r="G822" t="s">
        <v>96</v>
      </c>
      <c r="H822" t="s">
        <v>97</v>
      </c>
      <c r="I822" t="s">
        <v>37</v>
      </c>
      <c r="J822">
        <v>2</v>
      </c>
      <c r="K822">
        <v>18000</v>
      </c>
      <c r="L822">
        <v>36000</v>
      </c>
    </row>
    <row r="823" spans="1:12" x14ac:dyDescent="0.3">
      <c r="A823">
        <v>10822</v>
      </c>
      <c r="B823" s="2">
        <v>45945</v>
      </c>
      <c r="C823" t="s">
        <v>105</v>
      </c>
      <c r="D823" t="s">
        <v>106</v>
      </c>
      <c r="E823" t="s">
        <v>45</v>
      </c>
      <c r="F823" t="s">
        <v>46</v>
      </c>
      <c r="G823" t="s">
        <v>41</v>
      </c>
      <c r="H823" t="s">
        <v>42</v>
      </c>
      <c r="I823" t="s">
        <v>37</v>
      </c>
      <c r="J823">
        <v>1</v>
      </c>
      <c r="K823">
        <v>30000</v>
      </c>
      <c r="L823">
        <v>30000</v>
      </c>
    </row>
    <row r="824" spans="1:12" x14ac:dyDescent="0.3">
      <c r="A824">
        <v>10823</v>
      </c>
      <c r="B824" s="2">
        <v>45802</v>
      </c>
      <c r="C824" t="s">
        <v>146</v>
      </c>
      <c r="D824" t="s">
        <v>147</v>
      </c>
      <c r="E824" t="s">
        <v>64</v>
      </c>
      <c r="F824" t="s">
        <v>46</v>
      </c>
      <c r="G824" t="s">
        <v>16</v>
      </c>
      <c r="H824" t="s">
        <v>17</v>
      </c>
      <c r="I824" t="s">
        <v>18</v>
      </c>
      <c r="J824">
        <v>1</v>
      </c>
      <c r="K824">
        <v>11000</v>
      </c>
      <c r="L824">
        <v>11000</v>
      </c>
    </row>
    <row r="825" spans="1:12" x14ac:dyDescent="0.3">
      <c r="A825">
        <v>10824</v>
      </c>
      <c r="B825" s="2">
        <v>45855</v>
      </c>
      <c r="C825" t="s">
        <v>117</v>
      </c>
      <c r="D825" t="s">
        <v>118</v>
      </c>
      <c r="E825" t="s">
        <v>95</v>
      </c>
      <c r="F825" t="s">
        <v>15</v>
      </c>
      <c r="G825" t="s">
        <v>52</v>
      </c>
      <c r="H825" t="s">
        <v>53</v>
      </c>
      <c r="I825" t="s">
        <v>24</v>
      </c>
      <c r="J825">
        <v>1</v>
      </c>
      <c r="K825">
        <v>3500</v>
      </c>
      <c r="L825">
        <v>3500</v>
      </c>
    </row>
    <row r="826" spans="1:12" x14ac:dyDescent="0.3">
      <c r="A826">
        <v>10825</v>
      </c>
      <c r="B826" s="2">
        <v>45957</v>
      </c>
      <c r="C826" t="s">
        <v>117</v>
      </c>
      <c r="D826" t="s">
        <v>118</v>
      </c>
      <c r="E826" t="s">
        <v>95</v>
      </c>
      <c r="F826" t="s">
        <v>15</v>
      </c>
      <c r="G826" t="s">
        <v>113</v>
      </c>
      <c r="H826" t="s">
        <v>114</v>
      </c>
      <c r="I826" t="s">
        <v>37</v>
      </c>
      <c r="J826">
        <v>1</v>
      </c>
      <c r="K826">
        <v>52000</v>
      </c>
      <c r="L826">
        <v>52000</v>
      </c>
    </row>
    <row r="827" spans="1:12" x14ac:dyDescent="0.3">
      <c r="A827">
        <v>10826</v>
      </c>
      <c r="B827" s="2">
        <v>45918</v>
      </c>
      <c r="C827" t="s">
        <v>72</v>
      </c>
      <c r="D827" t="s">
        <v>73</v>
      </c>
      <c r="E827" t="s">
        <v>74</v>
      </c>
      <c r="F827" t="s">
        <v>28</v>
      </c>
      <c r="G827" t="s">
        <v>75</v>
      </c>
      <c r="H827" t="s">
        <v>76</v>
      </c>
      <c r="I827" t="s">
        <v>49</v>
      </c>
      <c r="J827">
        <v>2</v>
      </c>
      <c r="K827">
        <v>3000</v>
      </c>
      <c r="L827">
        <v>6000</v>
      </c>
    </row>
    <row r="828" spans="1:12" x14ac:dyDescent="0.3">
      <c r="A828">
        <v>10827</v>
      </c>
      <c r="B828" s="2">
        <v>45842</v>
      </c>
      <c r="C828" t="s">
        <v>12</v>
      </c>
      <c r="D828" t="s">
        <v>13</v>
      </c>
      <c r="E828" t="s">
        <v>14</v>
      </c>
      <c r="F828" t="s">
        <v>15</v>
      </c>
      <c r="G828" t="s">
        <v>22</v>
      </c>
      <c r="H828" t="s">
        <v>23</v>
      </c>
      <c r="I828" t="s">
        <v>24</v>
      </c>
      <c r="J828">
        <v>1</v>
      </c>
      <c r="K828">
        <v>2400</v>
      </c>
      <c r="L828">
        <v>2400</v>
      </c>
    </row>
    <row r="829" spans="1:12" x14ac:dyDescent="0.3">
      <c r="A829">
        <v>10828</v>
      </c>
      <c r="B829" s="2">
        <v>45796</v>
      </c>
      <c r="C829" t="s">
        <v>43</v>
      </c>
      <c r="D829" t="s">
        <v>44</v>
      </c>
      <c r="E829" t="s">
        <v>45</v>
      </c>
      <c r="F829" t="s">
        <v>46</v>
      </c>
      <c r="G829" t="s">
        <v>65</v>
      </c>
      <c r="H829" t="s">
        <v>66</v>
      </c>
      <c r="I829" t="s">
        <v>49</v>
      </c>
      <c r="J829">
        <v>1</v>
      </c>
      <c r="K829">
        <v>2400</v>
      </c>
      <c r="L829">
        <v>2400</v>
      </c>
    </row>
    <row r="830" spans="1:12" x14ac:dyDescent="0.3">
      <c r="A830">
        <v>10829</v>
      </c>
      <c r="B830" s="2">
        <v>45813</v>
      </c>
      <c r="C830" t="s">
        <v>117</v>
      </c>
      <c r="D830" t="s">
        <v>118</v>
      </c>
      <c r="E830" t="s">
        <v>95</v>
      </c>
      <c r="F830" t="s">
        <v>15</v>
      </c>
      <c r="G830" t="s">
        <v>125</v>
      </c>
      <c r="H830" t="s">
        <v>126</v>
      </c>
      <c r="I830" t="s">
        <v>37</v>
      </c>
      <c r="J830">
        <v>1</v>
      </c>
      <c r="K830">
        <v>22000</v>
      </c>
      <c r="L830">
        <v>22000</v>
      </c>
    </row>
    <row r="831" spans="1:12" x14ac:dyDescent="0.3">
      <c r="A831">
        <v>10830</v>
      </c>
      <c r="B831" s="2">
        <v>45707</v>
      </c>
      <c r="C831" t="s">
        <v>119</v>
      </c>
      <c r="D831" t="s">
        <v>120</v>
      </c>
      <c r="E831" t="s">
        <v>27</v>
      </c>
      <c r="F831" t="s">
        <v>28</v>
      </c>
      <c r="G831" t="s">
        <v>113</v>
      </c>
      <c r="H831" t="s">
        <v>114</v>
      </c>
      <c r="I831" t="s">
        <v>37</v>
      </c>
      <c r="J831">
        <v>1</v>
      </c>
      <c r="K831">
        <v>52000</v>
      </c>
      <c r="L831">
        <v>52000</v>
      </c>
    </row>
    <row r="832" spans="1:12" x14ac:dyDescent="0.3">
      <c r="A832">
        <v>10831</v>
      </c>
      <c r="B832" s="2">
        <v>45821</v>
      </c>
      <c r="C832" t="s">
        <v>148</v>
      </c>
      <c r="D832" t="s">
        <v>149</v>
      </c>
      <c r="E832" t="s">
        <v>14</v>
      </c>
      <c r="F832" t="s">
        <v>15</v>
      </c>
      <c r="G832" t="s">
        <v>144</v>
      </c>
      <c r="H832" t="s">
        <v>145</v>
      </c>
      <c r="I832" t="s">
        <v>37</v>
      </c>
      <c r="J832">
        <v>1</v>
      </c>
      <c r="K832">
        <v>65000</v>
      </c>
      <c r="L832">
        <v>65000</v>
      </c>
    </row>
    <row r="833" spans="1:12" x14ac:dyDescent="0.3">
      <c r="A833">
        <v>10832</v>
      </c>
      <c r="B833" s="2">
        <v>45662</v>
      </c>
      <c r="C833" t="s">
        <v>208</v>
      </c>
      <c r="D833" t="s">
        <v>209</v>
      </c>
      <c r="E833" t="s">
        <v>95</v>
      </c>
      <c r="F833" t="s">
        <v>15</v>
      </c>
      <c r="G833" t="s">
        <v>125</v>
      </c>
      <c r="H833" t="s">
        <v>126</v>
      </c>
      <c r="I833" t="s">
        <v>37</v>
      </c>
      <c r="J833">
        <v>1</v>
      </c>
      <c r="K833">
        <v>22000</v>
      </c>
      <c r="L833">
        <v>22000</v>
      </c>
    </row>
    <row r="834" spans="1:12" x14ac:dyDescent="0.3">
      <c r="A834">
        <v>10833</v>
      </c>
      <c r="B834" s="2">
        <v>45931</v>
      </c>
      <c r="C834" t="s">
        <v>202</v>
      </c>
      <c r="D834" t="s">
        <v>203</v>
      </c>
      <c r="E834" t="s">
        <v>64</v>
      </c>
      <c r="F834" t="s">
        <v>46</v>
      </c>
      <c r="G834" t="s">
        <v>96</v>
      </c>
      <c r="H834" t="s">
        <v>97</v>
      </c>
      <c r="I834" t="s">
        <v>37</v>
      </c>
      <c r="J834">
        <v>1</v>
      </c>
      <c r="K834">
        <v>18000</v>
      </c>
      <c r="L834">
        <v>18000</v>
      </c>
    </row>
    <row r="835" spans="1:12" x14ac:dyDescent="0.3">
      <c r="A835">
        <v>10834</v>
      </c>
      <c r="B835" s="2">
        <v>45720</v>
      </c>
      <c r="C835" t="s">
        <v>218</v>
      </c>
      <c r="D835" t="s">
        <v>219</v>
      </c>
      <c r="E835" t="s">
        <v>160</v>
      </c>
      <c r="F835" t="s">
        <v>34</v>
      </c>
      <c r="G835" t="s">
        <v>144</v>
      </c>
      <c r="H835" t="s">
        <v>145</v>
      </c>
      <c r="I835" t="s">
        <v>37</v>
      </c>
      <c r="J835">
        <v>1</v>
      </c>
      <c r="K835">
        <v>65000</v>
      </c>
      <c r="L835">
        <v>65000</v>
      </c>
    </row>
    <row r="836" spans="1:12" x14ac:dyDescent="0.3">
      <c r="A836">
        <v>10835</v>
      </c>
      <c r="B836" s="2">
        <v>45902</v>
      </c>
      <c r="C836" t="s">
        <v>12</v>
      </c>
      <c r="D836" t="s">
        <v>13</v>
      </c>
      <c r="E836" t="s">
        <v>14</v>
      </c>
      <c r="F836" t="s">
        <v>15</v>
      </c>
      <c r="G836" t="s">
        <v>75</v>
      </c>
      <c r="H836" t="s">
        <v>76</v>
      </c>
      <c r="I836" t="s">
        <v>49</v>
      </c>
      <c r="J836">
        <v>4</v>
      </c>
      <c r="K836">
        <v>3000</v>
      </c>
      <c r="L836">
        <v>12000</v>
      </c>
    </row>
    <row r="837" spans="1:12" x14ac:dyDescent="0.3">
      <c r="A837">
        <v>10836</v>
      </c>
      <c r="B837" s="2">
        <v>46006</v>
      </c>
      <c r="C837" t="s">
        <v>208</v>
      </c>
      <c r="D837" t="s">
        <v>209</v>
      </c>
      <c r="E837" t="s">
        <v>95</v>
      </c>
      <c r="F837" t="s">
        <v>15</v>
      </c>
      <c r="G837" t="s">
        <v>89</v>
      </c>
      <c r="H837" t="s">
        <v>90</v>
      </c>
      <c r="I837" t="s">
        <v>18</v>
      </c>
      <c r="J837">
        <v>3</v>
      </c>
      <c r="K837">
        <v>4200</v>
      </c>
      <c r="L837">
        <v>12600</v>
      </c>
    </row>
    <row r="838" spans="1:12" x14ac:dyDescent="0.3">
      <c r="A838">
        <v>10837</v>
      </c>
      <c r="B838" s="2">
        <v>45790</v>
      </c>
      <c r="C838" t="s">
        <v>202</v>
      </c>
      <c r="D838" t="s">
        <v>203</v>
      </c>
      <c r="E838" t="s">
        <v>64</v>
      </c>
      <c r="F838" t="s">
        <v>46</v>
      </c>
      <c r="G838" t="s">
        <v>16</v>
      </c>
      <c r="H838" t="s">
        <v>17</v>
      </c>
      <c r="I838" t="s">
        <v>18</v>
      </c>
      <c r="J838">
        <v>1</v>
      </c>
      <c r="K838">
        <v>11000</v>
      </c>
      <c r="L838">
        <v>11000</v>
      </c>
    </row>
    <row r="839" spans="1:12" x14ac:dyDescent="0.3">
      <c r="A839">
        <v>10838</v>
      </c>
      <c r="B839" s="2">
        <v>45942</v>
      </c>
      <c r="C839" t="s">
        <v>189</v>
      </c>
      <c r="D839" t="s">
        <v>190</v>
      </c>
      <c r="E839" t="s">
        <v>160</v>
      </c>
      <c r="F839" t="s">
        <v>34</v>
      </c>
      <c r="G839" t="s">
        <v>89</v>
      </c>
      <c r="H839" t="s">
        <v>90</v>
      </c>
      <c r="I839" t="s">
        <v>18</v>
      </c>
      <c r="J839">
        <v>2</v>
      </c>
      <c r="K839">
        <v>4200</v>
      </c>
      <c r="L839">
        <v>8400</v>
      </c>
    </row>
    <row r="840" spans="1:12" x14ac:dyDescent="0.3">
      <c r="A840">
        <v>10839</v>
      </c>
      <c r="B840" s="2">
        <v>45790</v>
      </c>
      <c r="C840" t="s">
        <v>105</v>
      </c>
      <c r="D840" t="s">
        <v>106</v>
      </c>
      <c r="E840" t="s">
        <v>45</v>
      </c>
      <c r="F840" t="s">
        <v>46</v>
      </c>
      <c r="G840" t="s">
        <v>52</v>
      </c>
      <c r="H840" t="s">
        <v>53</v>
      </c>
      <c r="I840" t="s">
        <v>24</v>
      </c>
      <c r="J840">
        <v>4</v>
      </c>
      <c r="K840">
        <v>3500</v>
      </c>
      <c r="L840">
        <v>14000</v>
      </c>
    </row>
    <row r="841" spans="1:12" x14ac:dyDescent="0.3">
      <c r="A841">
        <v>10840</v>
      </c>
      <c r="B841" s="2">
        <v>45849</v>
      </c>
      <c r="C841" t="s">
        <v>123</v>
      </c>
      <c r="D841" t="s">
        <v>124</v>
      </c>
      <c r="E841" t="s">
        <v>69</v>
      </c>
      <c r="F841" t="s">
        <v>28</v>
      </c>
      <c r="G841" t="s">
        <v>22</v>
      </c>
      <c r="H841" t="s">
        <v>23</v>
      </c>
      <c r="I841" t="s">
        <v>24</v>
      </c>
      <c r="J841">
        <v>2</v>
      </c>
      <c r="K841">
        <v>2400</v>
      </c>
      <c r="L841">
        <v>4800</v>
      </c>
    </row>
    <row r="842" spans="1:12" x14ac:dyDescent="0.3">
      <c r="A842">
        <v>10841</v>
      </c>
      <c r="B842" s="2">
        <v>45774</v>
      </c>
      <c r="C842" t="s">
        <v>31</v>
      </c>
      <c r="D842" t="s">
        <v>32</v>
      </c>
      <c r="E842" t="s">
        <v>33</v>
      </c>
      <c r="F842" t="s">
        <v>34</v>
      </c>
      <c r="G842" t="s">
        <v>65</v>
      </c>
      <c r="H842" t="s">
        <v>66</v>
      </c>
      <c r="I842" t="s">
        <v>49</v>
      </c>
      <c r="J842">
        <v>1</v>
      </c>
      <c r="K842">
        <v>2400</v>
      </c>
      <c r="L842">
        <v>2400</v>
      </c>
    </row>
    <row r="843" spans="1:12" x14ac:dyDescent="0.3">
      <c r="A843">
        <v>10842</v>
      </c>
      <c r="B843" s="2">
        <v>45973</v>
      </c>
      <c r="C843" t="s">
        <v>87</v>
      </c>
      <c r="D843" t="s">
        <v>88</v>
      </c>
      <c r="E843" t="s">
        <v>64</v>
      </c>
      <c r="F843" t="s">
        <v>46</v>
      </c>
      <c r="G843" t="s">
        <v>56</v>
      </c>
      <c r="H843" t="s">
        <v>57</v>
      </c>
      <c r="I843" t="s">
        <v>18</v>
      </c>
      <c r="J843">
        <v>1</v>
      </c>
      <c r="K843">
        <v>9000</v>
      </c>
      <c r="L843">
        <v>9000</v>
      </c>
    </row>
    <row r="844" spans="1:12" x14ac:dyDescent="0.3">
      <c r="A844">
        <v>10843</v>
      </c>
      <c r="B844" s="2">
        <v>45678</v>
      </c>
      <c r="C844" t="s">
        <v>85</v>
      </c>
      <c r="D844" t="s">
        <v>86</v>
      </c>
      <c r="E844" t="s">
        <v>45</v>
      </c>
      <c r="F844" t="s">
        <v>46</v>
      </c>
      <c r="G844" t="s">
        <v>177</v>
      </c>
      <c r="H844" t="s">
        <v>178</v>
      </c>
      <c r="I844" t="s">
        <v>37</v>
      </c>
      <c r="J844">
        <v>1</v>
      </c>
      <c r="K844">
        <v>2500</v>
      </c>
      <c r="L844">
        <v>2500</v>
      </c>
    </row>
    <row r="845" spans="1:12" x14ac:dyDescent="0.3">
      <c r="A845">
        <v>10844</v>
      </c>
      <c r="B845" s="2">
        <v>45965</v>
      </c>
      <c r="C845" t="s">
        <v>100</v>
      </c>
      <c r="D845" t="s">
        <v>101</v>
      </c>
      <c r="E845" t="s">
        <v>102</v>
      </c>
      <c r="F845" t="s">
        <v>34</v>
      </c>
      <c r="G845" t="s">
        <v>179</v>
      </c>
      <c r="H845" t="s">
        <v>180</v>
      </c>
      <c r="I845" t="s">
        <v>18</v>
      </c>
      <c r="J845">
        <v>3</v>
      </c>
      <c r="K845">
        <v>6500</v>
      </c>
      <c r="L845">
        <v>19500</v>
      </c>
    </row>
    <row r="846" spans="1:12" x14ac:dyDescent="0.3">
      <c r="A846">
        <v>10845</v>
      </c>
      <c r="B846" s="2">
        <v>45937</v>
      </c>
      <c r="C846" t="s">
        <v>107</v>
      </c>
      <c r="D846" t="s">
        <v>108</v>
      </c>
      <c r="E846" t="s">
        <v>74</v>
      </c>
      <c r="F846" t="s">
        <v>28</v>
      </c>
      <c r="G846" t="s">
        <v>129</v>
      </c>
      <c r="H846" t="s">
        <v>130</v>
      </c>
      <c r="I846" t="s">
        <v>24</v>
      </c>
      <c r="J846">
        <v>1</v>
      </c>
      <c r="K846">
        <v>1400</v>
      </c>
      <c r="L846">
        <v>1400</v>
      </c>
    </row>
    <row r="847" spans="1:12" x14ac:dyDescent="0.3">
      <c r="A847">
        <v>10846</v>
      </c>
      <c r="B847" s="2">
        <v>45946</v>
      </c>
      <c r="C847" t="s">
        <v>82</v>
      </c>
      <c r="D847" t="s">
        <v>83</v>
      </c>
      <c r="E847" t="s">
        <v>84</v>
      </c>
      <c r="F847" t="s">
        <v>46</v>
      </c>
      <c r="G847" t="s">
        <v>179</v>
      </c>
      <c r="H847" t="s">
        <v>180</v>
      </c>
      <c r="I847" t="s">
        <v>18</v>
      </c>
      <c r="J847">
        <v>1</v>
      </c>
      <c r="K847">
        <v>6500</v>
      </c>
      <c r="L847">
        <v>6500</v>
      </c>
    </row>
    <row r="848" spans="1:12" x14ac:dyDescent="0.3">
      <c r="A848">
        <v>10847</v>
      </c>
      <c r="B848" s="2">
        <v>45712</v>
      </c>
      <c r="C848" t="s">
        <v>236</v>
      </c>
      <c r="D848" t="s">
        <v>237</v>
      </c>
      <c r="E848" t="s">
        <v>201</v>
      </c>
      <c r="F848" t="s">
        <v>28</v>
      </c>
      <c r="G848" t="s">
        <v>96</v>
      </c>
      <c r="H848" t="s">
        <v>97</v>
      </c>
      <c r="I848" t="s">
        <v>37</v>
      </c>
      <c r="J848">
        <v>1</v>
      </c>
      <c r="K848">
        <v>18000</v>
      </c>
      <c r="L848">
        <v>18000</v>
      </c>
    </row>
    <row r="849" spans="1:12" x14ac:dyDescent="0.3">
      <c r="A849">
        <v>10848</v>
      </c>
      <c r="B849" s="2">
        <v>45760</v>
      </c>
      <c r="C849" t="s">
        <v>87</v>
      </c>
      <c r="D849" t="s">
        <v>88</v>
      </c>
      <c r="E849" t="s">
        <v>64</v>
      </c>
      <c r="F849" t="s">
        <v>46</v>
      </c>
      <c r="G849" t="s">
        <v>52</v>
      </c>
      <c r="H849" t="s">
        <v>53</v>
      </c>
      <c r="I849" t="s">
        <v>24</v>
      </c>
      <c r="J849">
        <v>2</v>
      </c>
      <c r="K849">
        <v>3500</v>
      </c>
      <c r="L849">
        <v>7000</v>
      </c>
    </row>
    <row r="850" spans="1:12" x14ac:dyDescent="0.3">
      <c r="A850">
        <v>10849</v>
      </c>
      <c r="B850" s="2">
        <v>45781</v>
      </c>
      <c r="C850" t="s">
        <v>183</v>
      </c>
      <c r="D850" t="s">
        <v>184</v>
      </c>
      <c r="E850" t="s">
        <v>27</v>
      </c>
      <c r="F850" t="s">
        <v>28</v>
      </c>
      <c r="G850" t="s">
        <v>140</v>
      </c>
      <c r="H850" t="s">
        <v>141</v>
      </c>
      <c r="I850" t="s">
        <v>18</v>
      </c>
      <c r="J850">
        <v>1</v>
      </c>
      <c r="K850">
        <v>3000</v>
      </c>
      <c r="L850">
        <v>3000</v>
      </c>
    </row>
    <row r="851" spans="1:12" x14ac:dyDescent="0.3">
      <c r="A851">
        <v>10850</v>
      </c>
      <c r="B851" s="2">
        <v>45855</v>
      </c>
      <c r="C851" t="s">
        <v>72</v>
      </c>
      <c r="D851" t="s">
        <v>73</v>
      </c>
      <c r="E851" t="s">
        <v>74</v>
      </c>
      <c r="F851" t="s">
        <v>28</v>
      </c>
      <c r="G851" t="s">
        <v>152</v>
      </c>
      <c r="H851" t="s">
        <v>153</v>
      </c>
      <c r="I851" t="s">
        <v>49</v>
      </c>
      <c r="J851">
        <v>1</v>
      </c>
      <c r="K851">
        <v>3200</v>
      </c>
      <c r="L851">
        <v>3200</v>
      </c>
    </row>
    <row r="852" spans="1:12" x14ac:dyDescent="0.3">
      <c r="A852">
        <v>10851</v>
      </c>
      <c r="B852" s="2">
        <v>45717</v>
      </c>
      <c r="C852" t="s">
        <v>146</v>
      </c>
      <c r="D852" t="s">
        <v>147</v>
      </c>
      <c r="E852" t="s">
        <v>64</v>
      </c>
      <c r="F852" t="s">
        <v>46</v>
      </c>
      <c r="G852" t="s">
        <v>47</v>
      </c>
      <c r="H852" t="s">
        <v>48</v>
      </c>
      <c r="I852" t="s">
        <v>49</v>
      </c>
      <c r="J852">
        <v>3</v>
      </c>
      <c r="K852">
        <v>1600</v>
      </c>
      <c r="L852">
        <v>4800</v>
      </c>
    </row>
    <row r="853" spans="1:12" x14ac:dyDescent="0.3">
      <c r="A853">
        <v>10852</v>
      </c>
      <c r="B853" s="2">
        <v>45920</v>
      </c>
      <c r="C853" t="s">
        <v>107</v>
      </c>
      <c r="D853" t="s">
        <v>108</v>
      </c>
      <c r="E853" t="s">
        <v>74</v>
      </c>
      <c r="F853" t="s">
        <v>28</v>
      </c>
      <c r="G853" t="s">
        <v>187</v>
      </c>
      <c r="H853" t="s">
        <v>188</v>
      </c>
      <c r="I853" t="s">
        <v>24</v>
      </c>
      <c r="J853">
        <v>1</v>
      </c>
      <c r="K853">
        <v>5500</v>
      </c>
      <c r="L853">
        <v>5500</v>
      </c>
    </row>
    <row r="854" spans="1:12" x14ac:dyDescent="0.3">
      <c r="A854">
        <v>10853</v>
      </c>
      <c r="B854" s="2">
        <v>45797</v>
      </c>
      <c r="C854" t="s">
        <v>156</v>
      </c>
      <c r="D854" t="s">
        <v>157</v>
      </c>
      <c r="E854" t="s">
        <v>95</v>
      </c>
      <c r="F854" t="s">
        <v>15</v>
      </c>
      <c r="G854" t="s">
        <v>47</v>
      </c>
      <c r="H854" t="s">
        <v>48</v>
      </c>
      <c r="I854" t="s">
        <v>49</v>
      </c>
      <c r="J854">
        <v>2</v>
      </c>
      <c r="K854">
        <v>1600</v>
      </c>
      <c r="L854">
        <v>3200</v>
      </c>
    </row>
    <row r="855" spans="1:12" x14ac:dyDescent="0.3">
      <c r="A855">
        <v>10854</v>
      </c>
      <c r="B855" s="2">
        <v>45896</v>
      </c>
      <c r="C855" t="s">
        <v>148</v>
      </c>
      <c r="D855" t="s">
        <v>149</v>
      </c>
      <c r="E855" t="s">
        <v>14</v>
      </c>
      <c r="F855" t="s">
        <v>15</v>
      </c>
      <c r="G855" t="s">
        <v>70</v>
      </c>
      <c r="H855" t="s">
        <v>71</v>
      </c>
      <c r="I855" t="s">
        <v>37</v>
      </c>
      <c r="J855">
        <v>1</v>
      </c>
      <c r="K855">
        <v>2200</v>
      </c>
      <c r="L855">
        <v>2200</v>
      </c>
    </row>
    <row r="856" spans="1:12" x14ac:dyDescent="0.3">
      <c r="A856">
        <v>10855</v>
      </c>
      <c r="B856" s="2">
        <v>46020</v>
      </c>
      <c r="C856" t="s">
        <v>107</v>
      </c>
      <c r="D856" t="s">
        <v>108</v>
      </c>
      <c r="E856" t="s">
        <v>74</v>
      </c>
      <c r="F856" t="s">
        <v>28</v>
      </c>
      <c r="G856" t="s">
        <v>98</v>
      </c>
      <c r="H856" t="s">
        <v>99</v>
      </c>
      <c r="I856" t="s">
        <v>24</v>
      </c>
      <c r="J856">
        <v>2</v>
      </c>
      <c r="K856">
        <v>2000</v>
      </c>
      <c r="L856">
        <v>4000</v>
      </c>
    </row>
    <row r="857" spans="1:12" x14ac:dyDescent="0.3">
      <c r="A857">
        <v>10856</v>
      </c>
      <c r="B857" s="2">
        <v>45911</v>
      </c>
      <c r="C857" t="s">
        <v>146</v>
      </c>
      <c r="D857" t="s">
        <v>147</v>
      </c>
      <c r="E857" t="s">
        <v>64</v>
      </c>
      <c r="F857" t="s">
        <v>46</v>
      </c>
      <c r="G857" t="s">
        <v>103</v>
      </c>
      <c r="H857" t="s">
        <v>104</v>
      </c>
      <c r="I857" t="s">
        <v>37</v>
      </c>
      <c r="J857">
        <v>1</v>
      </c>
      <c r="K857">
        <v>28000</v>
      </c>
      <c r="L857">
        <v>28000</v>
      </c>
    </row>
    <row r="858" spans="1:12" x14ac:dyDescent="0.3">
      <c r="A858">
        <v>10857</v>
      </c>
      <c r="B858" s="2">
        <v>45716</v>
      </c>
      <c r="C858" t="s">
        <v>204</v>
      </c>
      <c r="D858" t="s">
        <v>205</v>
      </c>
      <c r="E858" t="s">
        <v>201</v>
      </c>
      <c r="F858" t="s">
        <v>28</v>
      </c>
      <c r="G858" t="s">
        <v>35</v>
      </c>
      <c r="H858" t="s">
        <v>36</v>
      </c>
      <c r="I858" t="s">
        <v>37</v>
      </c>
      <c r="J858">
        <v>2</v>
      </c>
      <c r="K858">
        <v>12000</v>
      </c>
      <c r="L858">
        <v>24000</v>
      </c>
    </row>
    <row r="859" spans="1:12" x14ac:dyDescent="0.3">
      <c r="A859">
        <v>10858</v>
      </c>
      <c r="B859" s="2">
        <v>45746</v>
      </c>
      <c r="C859" t="s">
        <v>238</v>
      </c>
      <c r="D859" t="s">
        <v>239</v>
      </c>
      <c r="E859" t="s">
        <v>137</v>
      </c>
      <c r="F859" t="s">
        <v>46</v>
      </c>
      <c r="G859" t="s">
        <v>22</v>
      </c>
      <c r="H859" t="s">
        <v>23</v>
      </c>
      <c r="I859" t="s">
        <v>24</v>
      </c>
      <c r="J859">
        <v>1</v>
      </c>
      <c r="K859">
        <v>2400</v>
      </c>
      <c r="L859">
        <v>2400</v>
      </c>
    </row>
    <row r="860" spans="1:12" x14ac:dyDescent="0.3">
      <c r="A860">
        <v>10859</v>
      </c>
      <c r="B860" s="2">
        <v>45741</v>
      </c>
      <c r="C860" t="s">
        <v>156</v>
      </c>
      <c r="D860" t="s">
        <v>157</v>
      </c>
      <c r="E860" t="s">
        <v>95</v>
      </c>
      <c r="F860" t="s">
        <v>15</v>
      </c>
      <c r="G860" t="s">
        <v>125</v>
      </c>
      <c r="H860" t="s">
        <v>126</v>
      </c>
      <c r="I860" t="s">
        <v>37</v>
      </c>
      <c r="J860">
        <v>3</v>
      </c>
      <c r="K860">
        <v>22000</v>
      </c>
      <c r="L860">
        <v>66000</v>
      </c>
    </row>
    <row r="861" spans="1:12" x14ac:dyDescent="0.3">
      <c r="A861">
        <v>10860</v>
      </c>
      <c r="B861" s="2">
        <v>45995</v>
      </c>
      <c r="C861" t="s">
        <v>169</v>
      </c>
      <c r="D861" t="s">
        <v>170</v>
      </c>
      <c r="E861" t="s">
        <v>64</v>
      </c>
      <c r="F861" t="s">
        <v>46</v>
      </c>
      <c r="G861" t="s">
        <v>35</v>
      </c>
      <c r="H861" t="s">
        <v>36</v>
      </c>
      <c r="I861" t="s">
        <v>37</v>
      </c>
      <c r="J861">
        <v>1</v>
      </c>
      <c r="K861">
        <v>12000</v>
      </c>
      <c r="L861">
        <v>12000</v>
      </c>
    </row>
    <row r="862" spans="1:12" x14ac:dyDescent="0.3">
      <c r="A862">
        <v>10861</v>
      </c>
      <c r="B862" s="2">
        <v>45923</v>
      </c>
      <c r="C862" t="s">
        <v>193</v>
      </c>
      <c r="D862" t="s">
        <v>194</v>
      </c>
      <c r="E862" t="s">
        <v>102</v>
      </c>
      <c r="F862" t="s">
        <v>34</v>
      </c>
      <c r="G862" t="s">
        <v>140</v>
      </c>
      <c r="H862" t="s">
        <v>141</v>
      </c>
      <c r="I862" t="s">
        <v>18</v>
      </c>
      <c r="J862">
        <v>2</v>
      </c>
      <c r="K862">
        <v>3000</v>
      </c>
      <c r="L862">
        <v>6000</v>
      </c>
    </row>
    <row r="863" spans="1:12" x14ac:dyDescent="0.3">
      <c r="A863">
        <v>10862</v>
      </c>
      <c r="B863" s="2">
        <v>45979</v>
      </c>
      <c r="C863" t="s">
        <v>72</v>
      </c>
      <c r="D863" t="s">
        <v>73</v>
      </c>
      <c r="E863" t="s">
        <v>74</v>
      </c>
      <c r="F863" t="s">
        <v>28</v>
      </c>
      <c r="G863" t="s">
        <v>52</v>
      </c>
      <c r="H863" t="s">
        <v>53</v>
      </c>
      <c r="I863" t="s">
        <v>24</v>
      </c>
      <c r="J863">
        <v>2</v>
      </c>
      <c r="K863">
        <v>3500</v>
      </c>
      <c r="L863">
        <v>7000</v>
      </c>
    </row>
    <row r="864" spans="1:12" x14ac:dyDescent="0.3">
      <c r="A864">
        <v>10863</v>
      </c>
      <c r="B864" s="2">
        <v>45856</v>
      </c>
      <c r="C864" t="s">
        <v>87</v>
      </c>
      <c r="D864" t="s">
        <v>88</v>
      </c>
      <c r="E864" t="s">
        <v>64</v>
      </c>
      <c r="F864" t="s">
        <v>46</v>
      </c>
      <c r="G864" t="s">
        <v>35</v>
      </c>
      <c r="H864" t="s">
        <v>36</v>
      </c>
      <c r="I864" t="s">
        <v>37</v>
      </c>
      <c r="J864">
        <v>1</v>
      </c>
      <c r="K864">
        <v>12000</v>
      </c>
      <c r="L864">
        <v>12000</v>
      </c>
    </row>
    <row r="865" spans="1:12" x14ac:dyDescent="0.3">
      <c r="A865">
        <v>10864</v>
      </c>
      <c r="B865" s="2">
        <v>45908</v>
      </c>
      <c r="C865" t="s">
        <v>210</v>
      </c>
      <c r="D865" t="s">
        <v>211</v>
      </c>
      <c r="E865" t="s">
        <v>40</v>
      </c>
      <c r="F865" t="s">
        <v>15</v>
      </c>
      <c r="G865" t="s">
        <v>144</v>
      </c>
      <c r="H865" t="s">
        <v>145</v>
      </c>
      <c r="I865" t="s">
        <v>37</v>
      </c>
      <c r="J865">
        <v>3</v>
      </c>
      <c r="K865">
        <v>65000</v>
      </c>
      <c r="L865">
        <v>195000</v>
      </c>
    </row>
    <row r="866" spans="1:12" x14ac:dyDescent="0.3">
      <c r="A866">
        <v>10865</v>
      </c>
      <c r="B866" s="2">
        <v>45702</v>
      </c>
      <c r="C866" t="s">
        <v>50</v>
      </c>
      <c r="D866" t="s">
        <v>51</v>
      </c>
      <c r="E866" t="s">
        <v>14</v>
      </c>
      <c r="F866" t="s">
        <v>15</v>
      </c>
      <c r="G866" t="s">
        <v>144</v>
      </c>
      <c r="H866" t="s">
        <v>145</v>
      </c>
      <c r="I866" t="s">
        <v>37</v>
      </c>
      <c r="J866">
        <v>4</v>
      </c>
      <c r="K866">
        <v>65000</v>
      </c>
      <c r="L866">
        <v>260000</v>
      </c>
    </row>
    <row r="867" spans="1:12" x14ac:dyDescent="0.3">
      <c r="A867">
        <v>10866</v>
      </c>
      <c r="B867" s="2">
        <v>45659</v>
      </c>
      <c r="C867" t="s">
        <v>204</v>
      </c>
      <c r="D867" t="s">
        <v>205</v>
      </c>
      <c r="E867" t="s">
        <v>201</v>
      </c>
      <c r="F867" t="s">
        <v>28</v>
      </c>
      <c r="G867" t="s">
        <v>98</v>
      </c>
      <c r="H867" t="s">
        <v>99</v>
      </c>
      <c r="I867" t="s">
        <v>24</v>
      </c>
      <c r="J867">
        <v>1</v>
      </c>
      <c r="K867">
        <v>2000</v>
      </c>
      <c r="L867">
        <v>2000</v>
      </c>
    </row>
    <row r="868" spans="1:12" x14ac:dyDescent="0.3">
      <c r="A868">
        <v>10867</v>
      </c>
      <c r="B868" s="2">
        <v>45731</v>
      </c>
      <c r="C868" t="s">
        <v>204</v>
      </c>
      <c r="D868" t="s">
        <v>205</v>
      </c>
      <c r="E868" t="s">
        <v>201</v>
      </c>
      <c r="F868" t="s">
        <v>28</v>
      </c>
      <c r="G868" t="s">
        <v>103</v>
      </c>
      <c r="H868" t="s">
        <v>104</v>
      </c>
      <c r="I868" t="s">
        <v>37</v>
      </c>
      <c r="J868">
        <v>1</v>
      </c>
      <c r="K868">
        <v>28000</v>
      </c>
      <c r="L868">
        <v>28000</v>
      </c>
    </row>
    <row r="869" spans="1:12" x14ac:dyDescent="0.3">
      <c r="A869">
        <v>10868</v>
      </c>
      <c r="B869" s="2">
        <v>45694</v>
      </c>
      <c r="C869" t="s">
        <v>138</v>
      </c>
      <c r="D869" t="s">
        <v>139</v>
      </c>
      <c r="E869" t="s">
        <v>79</v>
      </c>
      <c r="F869" t="s">
        <v>34</v>
      </c>
      <c r="G869" t="s">
        <v>103</v>
      </c>
      <c r="H869" t="s">
        <v>104</v>
      </c>
      <c r="I869" t="s">
        <v>37</v>
      </c>
      <c r="J869">
        <v>1</v>
      </c>
      <c r="K869">
        <v>28000</v>
      </c>
      <c r="L869">
        <v>28000</v>
      </c>
    </row>
    <row r="870" spans="1:12" x14ac:dyDescent="0.3">
      <c r="A870">
        <v>10869</v>
      </c>
      <c r="B870" s="2">
        <v>45682</v>
      </c>
      <c r="C870" t="s">
        <v>146</v>
      </c>
      <c r="D870" t="s">
        <v>147</v>
      </c>
      <c r="E870" t="s">
        <v>64</v>
      </c>
      <c r="F870" t="s">
        <v>46</v>
      </c>
      <c r="G870" t="s">
        <v>187</v>
      </c>
      <c r="H870" t="s">
        <v>188</v>
      </c>
      <c r="I870" t="s">
        <v>24</v>
      </c>
      <c r="J870">
        <v>3</v>
      </c>
      <c r="K870">
        <v>5500</v>
      </c>
      <c r="L870">
        <v>16500</v>
      </c>
    </row>
    <row r="871" spans="1:12" x14ac:dyDescent="0.3">
      <c r="A871">
        <v>10870</v>
      </c>
      <c r="B871" s="2">
        <v>45792</v>
      </c>
      <c r="C871" t="s">
        <v>100</v>
      </c>
      <c r="D871" t="s">
        <v>101</v>
      </c>
      <c r="E871" t="s">
        <v>102</v>
      </c>
      <c r="F871" t="s">
        <v>34</v>
      </c>
      <c r="G871" t="s">
        <v>167</v>
      </c>
      <c r="H871" t="s">
        <v>168</v>
      </c>
      <c r="I871" t="s">
        <v>49</v>
      </c>
      <c r="J871">
        <v>3</v>
      </c>
      <c r="K871">
        <v>3800</v>
      </c>
      <c r="L871">
        <v>11400</v>
      </c>
    </row>
    <row r="872" spans="1:12" x14ac:dyDescent="0.3">
      <c r="A872">
        <v>10871</v>
      </c>
      <c r="B872" s="2">
        <v>45873</v>
      </c>
      <c r="C872" t="s">
        <v>85</v>
      </c>
      <c r="D872" t="s">
        <v>86</v>
      </c>
      <c r="E872" t="s">
        <v>45</v>
      </c>
      <c r="F872" t="s">
        <v>46</v>
      </c>
      <c r="G872" t="s">
        <v>41</v>
      </c>
      <c r="H872" t="s">
        <v>42</v>
      </c>
      <c r="I872" t="s">
        <v>37</v>
      </c>
      <c r="J872">
        <v>2</v>
      </c>
      <c r="K872">
        <v>30000</v>
      </c>
      <c r="L872">
        <v>60000</v>
      </c>
    </row>
    <row r="873" spans="1:12" x14ac:dyDescent="0.3">
      <c r="A873">
        <v>10872</v>
      </c>
      <c r="B873" s="2">
        <v>45960</v>
      </c>
      <c r="C873" t="s">
        <v>142</v>
      </c>
      <c r="D873" t="s">
        <v>143</v>
      </c>
      <c r="E873" t="s">
        <v>14</v>
      </c>
      <c r="F873" t="s">
        <v>15</v>
      </c>
      <c r="G873" t="s">
        <v>41</v>
      </c>
      <c r="H873" t="s">
        <v>42</v>
      </c>
      <c r="I873" t="s">
        <v>37</v>
      </c>
      <c r="J873">
        <v>2</v>
      </c>
      <c r="K873">
        <v>30000</v>
      </c>
      <c r="L873">
        <v>60000</v>
      </c>
    </row>
    <row r="874" spans="1:12" x14ac:dyDescent="0.3">
      <c r="A874">
        <v>10873</v>
      </c>
      <c r="B874" s="2">
        <v>45765</v>
      </c>
      <c r="C874" t="s">
        <v>142</v>
      </c>
      <c r="D874" t="s">
        <v>143</v>
      </c>
      <c r="E874" t="s">
        <v>14</v>
      </c>
      <c r="F874" t="s">
        <v>15</v>
      </c>
      <c r="G874" t="s">
        <v>144</v>
      </c>
      <c r="H874" t="s">
        <v>145</v>
      </c>
      <c r="I874" t="s">
        <v>37</v>
      </c>
      <c r="J874">
        <v>1</v>
      </c>
      <c r="K874">
        <v>65000</v>
      </c>
      <c r="L874">
        <v>65000</v>
      </c>
    </row>
    <row r="875" spans="1:12" x14ac:dyDescent="0.3">
      <c r="A875">
        <v>10874</v>
      </c>
      <c r="B875" s="2">
        <v>45803</v>
      </c>
      <c r="C875" t="s">
        <v>158</v>
      </c>
      <c r="D875" t="s">
        <v>159</v>
      </c>
      <c r="E875" t="s">
        <v>160</v>
      </c>
      <c r="F875" t="s">
        <v>34</v>
      </c>
      <c r="G875" t="s">
        <v>35</v>
      </c>
      <c r="H875" t="s">
        <v>36</v>
      </c>
      <c r="I875" t="s">
        <v>37</v>
      </c>
      <c r="J875">
        <v>1</v>
      </c>
      <c r="K875">
        <v>12000</v>
      </c>
      <c r="L875">
        <v>12000</v>
      </c>
    </row>
    <row r="876" spans="1:12" x14ac:dyDescent="0.3">
      <c r="A876">
        <v>10875</v>
      </c>
      <c r="B876" s="2">
        <v>45889</v>
      </c>
      <c r="C876" t="s">
        <v>50</v>
      </c>
      <c r="D876" t="s">
        <v>51</v>
      </c>
      <c r="E876" t="s">
        <v>14</v>
      </c>
      <c r="F876" t="s">
        <v>15</v>
      </c>
      <c r="G876" t="s">
        <v>113</v>
      </c>
      <c r="H876" t="s">
        <v>114</v>
      </c>
      <c r="I876" t="s">
        <v>37</v>
      </c>
      <c r="J876">
        <v>2</v>
      </c>
      <c r="K876">
        <v>52000</v>
      </c>
      <c r="L876">
        <v>104000</v>
      </c>
    </row>
    <row r="877" spans="1:12" x14ac:dyDescent="0.3">
      <c r="A877">
        <v>10876</v>
      </c>
      <c r="B877" s="2">
        <v>45933</v>
      </c>
      <c r="C877" t="s">
        <v>165</v>
      </c>
      <c r="D877" t="s">
        <v>166</v>
      </c>
      <c r="E877" t="s">
        <v>69</v>
      </c>
      <c r="F877" t="s">
        <v>28</v>
      </c>
      <c r="G877" t="s">
        <v>152</v>
      </c>
      <c r="H877" t="s">
        <v>153</v>
      </c>
      <c r="I877" t="s">
        <v>49</v>
      </c>
      <c r="J877">
        <v>4</v>
      </c>
      <c r="K877">
        <v>3200</v>
      </c>
      <c r="L877">
        <v>12800</v>
      </c>
    </row>
    <row r="878" spans="1:12" x14ac:dyDescent="0.3">
      <c r="A878">
        <v>10877</v>
      </c>
      <c r="B878" s="2">
        <v>45744</v>
      </c>
      <c r="C878" t="s">
        <v>93</v>
      </c>
      <c r="D878" t="s">
        <v>94</v>
      </c>
      <c r="E878" t="s">
        <v>95</v>
      </c>
      <c r="F878" t="s">
        <v>15</v>
      </c>
      <c r="G878" t="s">
        <v>35</v>
      </c>
      <c r="H878" t="s">
        <v>36</v>
      </c>
      <c r="I878" t="s">
        <v>37</v>
      </c>
      <c r="J878">
        <v>1</v>
      </c>
      <c r="K878">
        <v>12000</v>
      </c>
      <c r="L878">
        <v>12000</v>
      </c>
    </row>
    <row r="879" spans="1:12" x14ac:dyDescent="0.3">
      <c r="A879">
        <v>10878</v>
      </c>
      <c r="B879" s="2">
        <v>45904</v>
      </c>
      <c r="C879" t="s">
        <v>133</v>
      </c>
      <c r="D879" t="s">
        <v>134</v>
      </c>
      <c r="E879" t="s">
        <v>33</v>
      </c>
      <c r="F879" t="s">
        <v>34</v>
      </c>
      <c r="G879" t="s">
        <v>47</v>
      </c>
      <c r="H879" t="s">
        <v>48</v>
      </c>
      <c r="I879" t="s">
        <v>49</v>
      </c>
      <c r="J879">
        <v>2</v>
      </c>
      <c r="K879">
        <v>1600</v>
      </c>
      <c r="L879">
        <v>3200</v>
      </c>
    </row>
    <row r="880" spans="1:12" x14ac:dyDescent="0.3">
      <c r="A880">
        <v>10879</v>
      </c>
      <c r="B880" s="2">
        <v>45705</v>
      </c>
      <c r="C880" t="s">
        <v>25</v>
      </c>
      <c r="D880" t="s">
        <v>26</v>
      </c>
      <c r="E880" t="s">
        <v>27</v>
      </c>
      <c r="F880" t="s">
        <v>28</v>
      </c>
      <c r="G880" t="s">
        <v>16</v>
      </c>
      <c r="H880" t="s">
        <v>17</v>
      </c>
      <c r="I880" t="s">
        <v>18</v>
      </c>
      <c r="J880">
        <v>1</v>
      </c>
      <c r="K880">
        <v>11000</v>
      </c>
      <c r="L880">
        <v>11000</v>
      </c>
    </row>
    <row r="881" spans="1:12" x14ac:dyDescent="0.3">
      <c r="A881">
        <v>10880</v>
      </c>
      <c r="B881" s="2">
        <v>45799</v>
      </c>
      <c r="C881" t="s">
        <v>85</v>
      </c>
      <c r="D881" t="s">
        <v>86</v>
      </c>
      <c r="E881" t="s">
        <v>45</v>
      </c>
      <c r="F881" t="s">
        <v>46</v>
      </c>
      <c r="G881" t="s">
        <v>47</v>
      </c>
      <c r="H881" t="s">
        <v>48</v>
      </c>
      <c r="I881" t="s">
        <v>49</v>
      </c>
      <c r="J881">
        <v>1</v>
      </c>
      <c r="K881">
        <v>1600</v>
      </c>
      <c r="L881">
        <v>1600</v>
      </c>
    </row>
    <row r="882" spans="1:12" x14ac:dyDescent="0.3">
      <c r="A882">
        <v>10881</v>
      </c>
      <c r="B882" s="2">
        <v>46016</v>
      </c>
      <c r="C882" t="s">
        <v>80</v>
      </c>
      <c r="D882" t="s">
        <v>81</v>
      </c>
      <c r="E882" t="s">
        <v>79</v>
      </c>
      <c r="F882" t="s">
        <v>34</v>
      </c>
      <c r="G882" t="s">
        <v>41</v>
      </c>
      <c r="H882" t="s">
        <v>42</v>
      </c>
      <c r="I882" t="s">
        <v>37</v>
      </c>
      <c r="J882">
        <v>1</v>
      </c>
      <c r="K882">
        <v>30000</v>
      </c>
      <c r="L882">
        <v>30000</v>
      </c>
    </row>
    <row r="883" spans="1:12" x14ac:dyDescent="0.3">
      <c r="A883">
        <v>10882</v>
      </c>
      <c r="B883" s="2">
        <v>45977</v>
      </c>
      <c r="C883" t="s">
        <v>133</v>
      </c>
      <c r="D883" t="s">
        <v>134</v>
      </c>
      <c r="E883" t="s">
        <v>33</v>
      </c>
      <c r="F883" t="s">
        <v>34</v>
      </c>
      <c r="G883" t="s">
        <v>65</v>
      </c>
      <c r="H883" t="s">
        <v>66</v>
      </c>
      <c r="I883" t="s">
        <v>49</v>
      </c>
      <c r="J883">
        <v>1</v>
      </c>
      <c r="K883">
        <v>2400</v>
      </c>
      <c r="L883">
        <v>2400</v>
      </c>
    </row>
    <row r="884" spans="1:12" x14ac:dyDescent="0.3">
      <c r="A884">
        <v>10883</v>
      </c>
      <c r="B884" s="2">
        <v>45856</v>
      </c>
      <c r="C884" t="s">
        <v>156</v>
      </c>
      <c r="D884" t="s">
        <v>157</v>
      </c>
      <c r="E884" t="s">
        <v>95</v>
      </c>
      <c r="F884" t="s">
        <v>15</v>
      </c>
      <c r="G884" t="s">
        <v>35</v>
      </c>
      <c r="H884" t="s">
        <v>36</v>
      </c>
      <c r="I884" t="s">
        <v>37</v>
      </c>
      <c r="J884">
        <v>1</v>
      </c>
      <c r="K884">
        <v>12000</v>
      </c>
      <c r="L884">
        <v>12000</v>
      </c>
    </row>
    <row r="885" spans="1:12" x14ac:dyDescent="0.3">
      <c r="A885">
        <v>10884</v>
      </c>
      <c r="B885" s="2">
        <v>45832</v>
      </c>
      <c r="C885" t="s">
        <v>91</v>
      </c>
      <c r="D885" t="s">
        <v>92</v>
      </c>
      <c r="E885" t="s">
        <v>40</v>
      </c>
      <c r="F885" t="s">
        <v>15</v>
      </c>
      <c r="G885" t="s">
        <v>167</v>
      </c>
      <c r="H885" t="s">
        <v>168</v>
      </c>
      <c r="I885" t="s">
        <v>49</v>
      </c>
      <c r="J885">
        <v>3</v>
      </c>
      <c r="K885">
        <v>3800</v>
      </c>
      <c r="L885">
        <v>11400</v>
      </c>
    </row>
    <row r="886" spans="1:12" x14ac:dyDescent="0.3">
      <c r="A886">
        <v>10885</v>
      </c>
      <c r="B886" s="2">
        <v>45877</v>
      </c>
      <c r="C886" t="s">
        <v>50</v>
      </c>
      <c r="D886" t="s">
        <v>51</v>
      </c>
      <c r="E886" t="s">
        <v>14</v>
      </c>
      <c r="F886" t="s">
        <v>15</v>
      </c>
      <c r="G886" t="s">
        <v>56</v>
      </c>
      <c r="H886" t="s">
        <v>57</v>
      </c>
      <c r="I886" t="s">
        <v>18</v>
      </c>
      <c r="J886">
        <v>1</v>
      </c>
      <c r="K886">
        <v>9000</v>
      </c>
      <c r="L886">
        <v>9000</v>
      </c>
    </row>
    <row r="887" spans="1:12" x14ac:dyDescent="0.3">
      <c r="A887">
        <v>10886</v>
      </c>
      <c r="B887" s="2">
        <v>45999</v>
      </c>
      <c r="C887" t="s">
        <v>216</v>
      </c>
      <c r="D887" t="s">
        <v>217</v>
      </c>
      <c r="E887" t="s">
        <v>21</v>
      </c>
      <c r="F887" t="s">
        <v>15</v>
      </c>
      <c r="G887" t="s">
        <v>152</v>
      </c>
      <c r="H887" t="s">
        <v>153</v>
      </c>
      <c r="I887" t="s">
        <v>49</v>
      </c>
      <c r="J887">
        <v>3</v>
      </c>
      <c r="K887">
        <v>3200</v>
      </c>
      <c r="L887">
        <v>9600</v>
      </c>
    </row>
    <row r="888" spans="1:12" x14ac:dyDescent="0.3">
      <c r="A888">
        <v>10887</v>
      </c>
      <c r="B888" s="2">
        <v>45988</v>
      </c>
      <c r="C888" t="s">
        <v>197</v>
      </c>
      <c r="D888" t="s">
        <v>198</v>
      </c>
      <c r="E888" t="s">
        <v>95</v>
      </c>
      <c r="F888" t="s">
        <v>15</v>
      </c>
      <c r="G888" t="s">
        <v>163</v>
      </c>
      <c r="H888" t="s">
        <v>164</v>
      </c>
      <c r="I888" t="s">
        <v>49</v>
      </c>
      <c r="J888">
        <v>1</v>
      </c>
      <c r="K888">
        <v>4200</v>
      </c>
      <c r="L888">
        <v>4200</v>
      </c>
    </row>
    <row r="889" spans="1:12" x14ac:dyDescent="0.3">
      <c r="A889">
        <v>10888</v>
      </c>
      <c r="B889" s="2">
        <v>45818</v>
      </c>
      <c r="C889" t="s">
        <v>154</v>
      </c>
      <c r="D889" t="s">
        <v>155</v>
      </c>
      <c r="E889" t="s">
        <v>74</v>
      </c>
      <c r="F889" t="s">
        <v>28</v>
      </c>
      <c r="G889" t="s">
        <v>65</v>
      </c>
      <c r="H889" t="s">
        <v>66</v>
      </c>
      <c r="I889" t="s">
        <v>49</v>
      </c>
      <c r="J889">
        <v>3</v>
      </c>
      <c r="K889">
        <v>2400</v>
      </c>
      <c r="L889">
        <v>7200</v>
      </c>
    </row>
    <row r="890" spans="1:12" x14ac:dyDescent="0.3">
      <c r="A890">
        <v>10889</v>
      </c>
      <c r="B890" s="2">
        <v>45790</v>
      </c>
      <c r="C890" t="s">
        <v>50</v>
      </c>
      <c r="D890" t="s">
        <v>51</v>
      </c>
      <c r="E890" t="s">
        <v>14</v>
      </c>
      <c r="F890" t="s">
        <v>15</v>
      </c>
      <c r="G890" t="s">
        <v>144</v>
      </c>
      <c r="H890" t="s">
        <v>145</v>
      </c>
      <c r="I890" t="s">
        <v>37</v>
      </c>
      <c r="J890">
        <v>1</v>
      </c>
      <c r="K890">
        <v>65000</v>
      </c>
      <c r="L890">
        <v>65000</v>
      </c>
    </row>
    <row r="891" spans="1:12" x14ac:dyDescent="0.3">
      <c r="A891">
        <v>10890</v>
      </c>
      <c r="B891" s="2">
        <v>45785</v>
      </c>
      <c r="C891" t="s">
        <v>169</v>
      </c>
      <c r="D891" t="s">
        <v>170</v>
      </c>
      <c r="E891" t="s">
        <v>64</v>
      </c>
      <c r="F891" t="s">
        <v>46</v>
      </c>
      <c r="G891" t="s">
        <v>125</v>
      </c>
      <c r="H891" t="s">
        <v>126</v>
      </c>
      <c r="I891" t="s">
        <v>37</v>
      </c>
      <c r="J891">
        <v>1</v>
      </c>
      <c r="K891">
        <v>22000</v>
      </c>
      <c r="L891">
        <v>22000</v>
      </c>
    </row>
    <row r="892" spans="1:12" x14ac:dyDescent="0.3">
      <c r="A892">
        <v>10891</v>
      </c>
      <c r="B892" s="2">
        <v>46017</v>
      </c>
      <c r="C892" t="s">
        <v>185</v>
      </c>
      <c r="D892" t="s">
        <v>186</v>
      </c>
      <c r="E892" t="s">
        <v>14</v>
      </c>
      <c r="F892" t="s">
        <v>15</v>
      </c>
      <c r="G892" t="s">
        <v>144</v>
      </c>
      <c r="H892" t="s">
        <v>145</v>
      </c>
      <c r="I892" t="s">
        <v>37</v>
      </c>
      <c r="J892">
        <v>1</v>
      </c>
      <c r="K892">
        <v>65000</v>
      </c>
      <c r="L892">
        <v>65000</v>
      </c>
    </row>
    <row r="893" spans="1:12" x14ac:dyDescent="0.3">
      <c r="A893">
        <v>10892</v>
      </c>
      <c r="B893" s="2">
        <v>45797</v>
      </c>
      <c r="C893" t="s">
        <v>185</v>
      </c>
      <c r="D893" t="s">
        <v>186</v>
      </c>
      <c r="E893" t="s">
        <v>14</v>
      </c>
      <c r="F893" t="s">
        <v>15</v>
      </c>
      <c r="G893" t="s">
        <v>125</v>
      </c>
      <c r="H893" t="s">
        <v>126</v>
      </c>
      <c r="I893" t="s">
        <v>37</v>
      </c>
      <c r="J893">
        <v>1</v>
      </c>
      <c r="K893">
        <v>22000</v>
      </c>
      <c r="L893">
        <v>22000</v>
      </c>
    </row>
    <row r="894" spans="1:12" x14ac:dyDescent="0.3">
      <c r="A894">
        <v>10893</v>
      </c>
      <c r="B894" s="2">
        <v>45800</v>
      </c>
      <c r="C894" t="s">
        <v>43</v>
      </c>
      <c r="D894" t="s">
        <v>44</v>
      </c>
      <c r="E894" t="s">
        <v>45</v>
      </c>
      <c r="F894" t="s">
        <v>46</v>
      </c>
      <c r="G894" t="s">
        <v>163</v>
      </c>
      <c r="H894" t="s">
        <v>164</v>
      </c>
      <c r="I894" t="s">
        <v>49</v>
      </c>
      <c r="J894">
        <v>1</v>
      </c>
      <c r="K894">
        <v>4200</v>
      </c>
      <c r="L894">
        <v>4200</v>
      </c>
    </row>
    <row r="895" spans="1:12" x14ac:dyDescent="0.3">
      <c r="A895">
        <v>10894</v>
      </c>
      <c r="B895" s="2">
        <v>45992</v>
      </c>
      <c r="C895" t="s">
        <v>72</v>
      </c>
      <c r="D895" t="s">
        <v>73</v>
      </c>
      <c r="E895" t="s">
        <v>74</v>
      </c>
      <c r="F895" t="s">
        <v>28</v>
      </c>
      <c r="G895" t="s">
        <v>103</v>
      </c>
      <c r="H895" t="s">
        <v>104</v>
      </c>
      <c r="I895" t="s">
        <v>37</v>
      </c>
      <c r="J895">
        <v>1</v>
      </c>
      <c r="K895">
        <v>28000</v>
      </c>
      <c r="L895">
        <v>28000</v>
      </c>
    </row>
    <row r="896" spans="1:12" x14ac:dyDescent="0.3">
      <c r="A896">
        <v>10895</v>
      </c>
      <c r="B896" s="2">
        <v>45763</v>
      </c>
      <c r="C896" t="s">
        <v>43</v>
      </c>
      <c r="D896" t="s">
        <v>44</v>
      </c>
      <c r="E896" t="s">
        <v>45</v>
      </c>
      <c r="F896" t="s">
        <v>46</v>
      </c>
      <c r="G896" t="s">
        <v>129</v>
      </c>
      <c r="H896" t="s">
        <v>130</v>
      </c>
      <c r="I896" t="s">
        <v>24</v>
      </c>
      <c r="J896">
        <v>2</v>
      </c>
      <c r="K896">
        <v>1400</v>
      </c>
      <c r="L896">
        <v>2800</v>
      </c>
    </row>
    <row r="897" spans="1:12" x14ac:dyDescent="0.3">
      <c r="A897">
        <v>10896</v>
      </c>
      <c r="B897" s="2">
        <v>45770</v>
      </c>
      <c r="C897" t="s">
        <v>222</v>
      </c>
      <c r="D897" t="s">
        <v>223</v>
      </c>
      <c r="E897" t="s">
        <v>21</v>
      </c>
      <c r="F897" t="s">
        <v>15</v>
      </c>
      <c r="G897" t="s">
        <v>56</v>
      </c>
      <c r="H897" t="s">
        <v>57</v>
      </c>
      <c r="I897" t="s">
        <v>18</v>
      </c>
      <c r="J897">
        <v>1</v>
      </c>
      <c r="K897">
        <v>9000</v>
      </c>
      <c r="L897">
        <v>9000</v>
      </c>
    </row>
    <row r="898" spans="1:12" x14ac:dyDescent="0.3">
      <c r="A898">
        <v>10897</v>
      </c>
      <c r="B898" s="2">
        <v>45849</v>
      </c>
      <c r="C898" t="s">
        <v>93</v>
      </c>
      <c r="D898" t="s">
        <v>94</v>
      </c>
      <c r="E898" t="s">
        <v>95</v>
      </c>
      <c r="F898" t="s">
        <v>15</v>
      </c>
      <c r="G898" t="s">
        <v>98</v>
      </c>
      <c r="H898" t="s">
        <v>99</v>
      </c>
      <c r="I898" t="s">
        <v>24</v>
      </c>
      <c r="J898">
        <v>1</v>
      </c>
      <c r="K898">
        <v>2000</v>
      </c>
      <c r="L898">
        <v>2000</v>
      </c>
    </row>
    <row r="899" spans="1:12" x14ac:dyDescent="0.3">
      <c r="A899">
        <v>10898</v>
      </c>
      <c r="B899" s="2">
        <v>45732</v>
      </c>
      <c r="C899" t="s">
        <v>156</v>
      </c>
      <c r="D899" t="s">
        <v>157</v>
      </c>
      <c r="E899" t="s">
        <v>95</v>
      </c>
      <c r="F899" t="s">
        <v>15</v>
      </c>
      <c r="G899" t="s">
        <v>103</v>
      </c>
      <c r="H899" t="s">
        <v>104</v>
      </c>
      <c r="I899" t="s">
        <v>37</v>
      </c>
      <c r="J899">
        <v>1</v>
      </c>
      <c r="K899">
        <v>28000</v>
      </c>
      <c r="L899">
        <v>28000</v>
      </c>
    </row>
    <row r="900" spans="1:12" x14ac:dyDescent="0.3">
      <c r="A900">
        <v>10899</v>
      </c>
      <c r="B900" s="2">
        <v>45941</v>
      </c>
      <c r="C900" t="s">
        <v>234</v>
      </c>
      <c r="D900" t="s">
        <v>235</v>
      </c>
      <c r="E900" t="s">
        <v>137</v>
      </c>
      <c r="F900" t="s">
        <v>46</v>
      </c>
      <c r="G900" t="s">
        <v>131</v>
      </c>
      <c r="H900" t="s">
        <v>132</v>
      </c>
      <c r="I900" t="s">
        <v>37</v>
      </c>
      <c r="J900">
        <v>1</v>
      </c>
      <c r="K900">
        <v>4500</v>
      </c>
      <c r="L900">
        <v>4500</v>
      </c>
    </row>
    <row r="901" spans="1:12" x14ac:dyDescent="0.3">
      <c r="A901">
        <v>10900</v>
      </c>
      <c r="B901" s="2">
        <v>45788</v>
      </c>
      <c r="C901" t="s">
        <v>161</v>
      </c>
      <c r="D901" t="s">
        <v>162</v>
      </c>
      <c r="E901" t="s">
        <v>33</v>
      </c>
      <c r="F901" t="s">
        <v>34</v>
      </c>
      <c r="G901" t="s">
        <v>35</v>
      </c>
      <c r="H901" t="s">
        <v>36</v>
      </c>
      <c r="I901" t="s">
        <v>37</v>
      </c>
      <c r="J901">
        <v>3</v>
      </c>
      <c r="K901">
        <v>12000</v>
      </c>
      <c r="L901">
        <v>36000</v>
      </c>
    </row>
    <row r="902" spans="1:12" x14ac:dyDescent="0.3">
      <c r="A902">
        <v>10901</v>
      </c>
      <c r="B902" s="2">
        <v>45774</v>
      </c>
      <c r="C902" t="s">
        <v>80</v>
      </c>
      <c r="D902" t="s">
        <v>81</v>
      </c>
      <c r="E902" t="s">
        <v>79</v>
      </c>
      <c r="F902" t="s">
        <v>34</v>
      </c>
      <c r="G902" t="s">
        <v>177</v>
      </c>
      <c r="H902" t="s">
        <v>178</v>
      </c>
      <c r="I902" t="s">
        <v>37</v>
      </c>
      <c r="J902">
        <v>2</v>
      </c>
      <c r="K902">
        <v>2500</v>
      </c>
      <c r="L902">
        <v>5000</v>
      </c>
    </row>
    <row r="903" spans="1:12" x14ac:dyDescent="0.3">
      <c r="A903">
        <v>10902</v>
      </c>
      <c r="B903" s="2">
        <v>45664</v>
      </c>
      <c r="C903" t="s">
        <v>148</v>
      </c>
      <c r="D903" t="s">
        <v>149</v>
      </c>
      <c r="E903" t="s">
        <v>14</v>
      </c>
      <c r="F903" t="s">
        <v>15</v>
      </c>
      <c r="G903" t="s">
        <v>177</v>
      </c>
      <c r="H903" t="s">
        <v>178</v>
      </c>
      <c r="I903" t="s">
        <v>37</v>
      </c>
      <c r="J903">
        <v>2</v>
      </c>
      <c r="K903">
        <v>2500</v>
      </c>
      <c r="L903">
        <v>5000</v>
      </c>
    </row>
    <row r="904" spans="1:12" x14ac:dyDescent="0.3">
      <c r="A904">
        <v>10903</v>
      </c>
      <c r="B904" s="2">
        <v>45884</v>
      </c>
      <c r="C904" t="s">
        <v>50</v>
      </c>
      <c r="D904" t="s">
        <v>51</v>
      </c>
      <c r="E904" t="s">
        <v>14</v>
      </c>
      <c r="F904" t="s">
        <v>15</v>
      </c>
      <c r="G904" t="s">
        <v>47</v>
      </c>
      <c r="H904" t="s">
        <v>48</v>
      </c>
      <c r="I904" t="s">
        <v>49</v>
      </c>
      <c r="J904">
        <v>2</v>
      </c>
      <c r="K904">
        <v>1600</v>
      </c>
      <c r="L904">
        <v>3200</v>
      </c>
    </row>
    <row r="905" spans="1:12" x14ac:dyDescent="0.3">
      <c r="A905">
        <v>10904</v>
      </c>
      <c r="B905" s="2">
        <v>45786</v>
      </c>
      <c r="C905" t="s">
        <v>220</v>
      </c>
      <c r="D905" t="s">
        <v>221</v>
      </c>
      <c r="E905" t="s">
        <v>102</v>
      </c>
      <c r="F905" t="s">
        <v>34</v>
      </c>
      <c r="G905" t="s">
        <v>131</v>
      </c>
      <c r="H905" t="s">
        <v>132</v>
      </c>
      <c r="I905" t="s">
        <v>37</v>
      </c>
      <c r="J905">
        <v>1</v>
      </c>
      <c r="K905">
        <v>4500</v>
      </c>
      <c r="L905">
        <v>4500</v>
      </c>
    </row>
    <row r="906" spans="1:12" x14ac:dyDescent="0.3">
      <c r="A906">
        <v>10905</v>
      </c>
      <c r="B906" s="2">
        <v>45956</v>
      </c>
      <c r="C906" t="s">
        <v>216</v>
      </c>
      <c r="D906" t="s">
        <v>217</v>
      </c>
      <c r="E906" t="s">
        <v>21</v>
      </c>
      <c r="F906" t="s">
        <v>15</v>
      </c>
      <c r="G906" t="s">
        <v>35</v>
      </c>
      <c r="H906" t="s">
        <v>36</v>
      </c>
      <c r="I906" t="s">
        <v>37</v>
      </c>
      <c r="J906">
        <v>2</v>
      </c>
      <c r="K906">
        <v>12000</v>
      </c>
      <c r="L906">
        <v>24000</v>
      </c>
    </row>
    <row r="907" spans="1:12" x14ac:dyDescent="0.3">
      <c r="A907">
        <v>10906</v>
      </c>
      <c r="B907" s="2">
        <v>45880</v>
      </c>
      <c r="C907" t="s">
        <v>91</v>
      </c>
      <c r="D907" t="s">
        <v>92</v>
      </c>
      <c r="E907" t="s">
        <v>40</v>
      </c>
      <c r="F907" t="s">
        <v>15</v>
      </c>
      <c r="G907" t="s">
        <v>131</v>
      </c>
      <c r="H907" t="s">
        <v>132</v>
      </c>
      <c r="I907" t="s">
        <v>37</v>
      </c>
      <c r="J907">
        <v>1</v>
      </c>
      <c r="K907">
        <v>4500</v>
      </c>
      <c r="L907">
        <v>4500</v>
      </c>
    </row>
    <row r="908" spans="1:12" x14ac:dyDescent="0.3">
      <c r="A908">
        <v>10907</v>
      </c>
      <c r="B908" s="2">
        <v>45694</v>
      </c>
      <c r="C908" t="s">
        <v>107</v>
      </c>
      <c r="D908" t="s">
        <v>108</v>
      </c>
      <c r="E908" t="s">
        <v>74</v>
      </c>
      <c r="F908" t="s">
        <v>28</v>
      </c>
      <c r="G908" t="s">
        <v>22</v>
      </c>
      <c r="H908" t="s">
        <v>23</v>
      </c>
      <c r="I908" t="s">
        <v>24</v>
      </c>
      <c r="J908">
        <v>2</v>
      </c>
      <c r="K908">
        <v>2400</v>
      </c>
      <c r="L908">
        <v>4800</v>
      </c>
    </row>
    <row r="909" spans="1:12" x14ac:dyDescent="0.3">
      <c r="A909">
        <v>10908</v>
      </c>
      <c r="B909" s="2">
        <v>45877</v>
      </c>
      <c r="C909" t="s">
        <v>117</v>
      </c>
      <c r="D909" t="s">
        <v>118</v>
      </c>
      <c r="E909" t="s">
        <v>95</v>
      </c>
      <c r="F909" t="s">
        <v>15</v>
      </c>
      <c r="G909" t="s">
        <v>144</v>
      </c>
      <c r="H909" t="s">
        <v>145</v>
      </c>
      <c r="I909" t="s">
        <v>37</v>
      </c>
      <c r="J909">
        <v>1</v>
      </c>
      <c r="K909">
        <v>65000</v>
      </c>
      <c r="L909">
        <v>65000</v>
      </c>
    </row>
    <row r="910" spans="1:12" x14ac:dyDescent="0.3">
      <c r="A910">
        <v>10909</v>
      </c>
      <c r="B910" s="2">
        <v>45683</v>
      </c>
      <c r="C910" t="s">
        <v>228</v>
      </c>
      <c r="D910" t="s">
        <v>229</v>
      </c>
      <c r="E910" t="s">
        <v>84</v>
      </c>
      <c r="F910" t="s">
        <v>46</v>
      </c>
      <c r="G910" t="s">
        <v>96</v>
      </c>
      <c r="H910" t="s">
        <v>97</v>
      </c>
      <c r="I910" t="s">
        <v>37</v>
      </c>
      <c r="J910">
        <v>1</v>
      </c>
      <c r="K910">
        <v>18000</v>
      </c>
      <c r="L910">
        <v>18000</v>
      </c>
    </row>
    <row r="911" spans="1:12" x14ac:dyDescent="0.3">
      <c r="A911">
        <v>10910</v>
      </c>
      <c r="B911" s="2">
        <v>45704</v>
      </c>
      <c r="C911" t="s">
        <v>91</v>
      </c>
      <c r="D911" t="s">
        <v>92</v>
      </c>
      <c r="E911" t="s">
        <v>40</v>
      </c>
      <c r="F911" t="s">
        <v>15</v>
      </c>
      <c r="G911" t="s">
        <v>65</v>
      </c>
      <c r="H911" t="s">
        <v>66</v>
      </c>
      <c r="I911" t="s">
        <v>49</v>
      </c>
      <c r="J911">
        <v>1</v>
      </c>
      <c r="K911">
        <v>2400</v>
      </c>
      <c r="L911">
        <v>2400</v>
      </c>
    </row>
    <row r="912" spans="1:12" x14ac:dyDescent="0.3">
      <c r="A912">
        <v>10911</v>
      </c>
      <c r="B912" s="2">
        <v>45794</v>
      </c>
      <c r="C912" t="s">
        <v>226</v>
      </c>
      <c r="D912" t="s">
        <v>227</v>
      </c>
      <c r="E912" t="s">
        <v>79</v>
      </c>
      <c r="F912" t="s">
        <v>34</v>
      </c>
      <c r="G912" t="s">
        <v>144</v>
      </c>
      <c r="H912" t="s">
        <v>145</v>
      </c>
      <c r="I912" t="s">
        <v>37</v>
      </c>
      <c r="J912">
        <v>3</v>
      </c>
      <c r="K912">
        <v>65000</v>
      </c>
      <c r="L912">
        <v>195000</v>
      </c>
    </row>
    <row r="913" spans="1:12" x14ac:dyDescent="0.3">
      <c r="A913">
        <v>10912</v>
      </c>
      <c r="B913" s="2">
        <v>45684</v>
      </c>
      <c r="C913" t="s">
        <v>204</v>
      </c>
      <c r="D913" t="s">
        <v>205</v>
      </c>
      <c r="E913" t="s">
        <v>201</v>
      </c>
      <c r="F913" t="s">
        <v>28</v>
      </c>
      <c r="G913" t="s">
        <v>96</v>
      </c>
      <c r="H913" t="s">
        <v>97</v>
      </c>
      <c r="I913" t="s">
        <v>37</v>
      </c>
      <c r="J913">
        <v>4</v>
      </c>
      <c r="K913">
        <v>18000</v>
      </c>
      <c r="L913">
        <v>72000</v>
      </c>
    </row>
    <row r="914" spans="1:12" x14ac:dyDescent="0.3">
      <c r="A914">
        <v>10913</v>
      </c>
      <c r="B914" s="2">
        <v>45914</v>
      </c>
      <c r="C914" t="s">
        <v>115</v>
      </c>
      <c r="D914" t="s">
        <v>116</v>
      </c>
      <c r="E914" t="s">
        <v>33</v>
      </c>
      <c r="F914" t="s">
        <v>34</v>
      </c>
      <c r="G914" t="s">
        <v>125</v>
      </c>
      <c r="H914" t="s">
        <v>126</v>
      </c>
      <c r="I914" t="s">
        <v>37</v>
      </c>
      <c r="J914">
        <v>1</v>
      </c>
      <c r="K914">
        <v>22000</v>
      </c>
      <c r="L914">
        <v>22000</v>
      </c>
    </row>
    <row r="915" spans="1:12" x14ac:dyDescent="0.3">
      <c r="A915">
        <v>10914</v>
      </c>
      <c r="B915" s="2">
        <v>45712</v>
      </c>
      <c r="C915" t="s">
        <v>91</v>
      </c>
      <c r="D915" t="s">
        <v>92</v>
      </c>
      <c r="E915" t="s">
        <v>40</v>
      </c>
      <c r="F915" t="s">
        <v>15</v>
      </c>
      <c r="G915" t="s">
        <v>177</v>
      </c>
      <c r="H915" t="s">
        <v>178</v>
      </c>
      <c r="I915" t="s">
        <v>37</v>
      </c>
      <c r="J915">
        <v>2</v>
      </c>
      <c r="K915">
        <v>2500</v>
      </c>
      <c r="L915">
        <v>5000</v>
      </c>
    </row>
    <row r="916" spans="1:12" x14ac:dyDescent="0.3">
      <c r="A916">
        <v>10915</v>
      </c>
      <c r="B916" s="2">
        <v>45823</v>
      </c>
      <c r="C916" t="s">
        <v>148</v>
      </c>
      <c r="D916" t="s">
        <v>149</v>
      </c>
      <c r="E916" t="s">
        <v>14</v>
      </c>
      <c r="F916" t="s">
        <v>15</v>
      </c>
      <c r="G916" t="s">
        <v>121</v>
      </c>
      <c r="H916" t="s">
        <v>122</v>
      </c>
      <c r="I916" t="s">
        <v>49</v>
      </c>
      <c r="J916">
        <v>2</v>
      </c>
      <c r="K916">
        <v>4800</v>
      </c>
      <c r="L916">
        <v>9600</v>
      </c>
    </row>
    <row r="917" spans="1:12" x14ac:dyDescent="0.3">
      <c r="A917">
        <v>10916</v>
      </c>
      <c r="B917" s="2">
        <v>45830</v>
      </c>
      <c r="C917" t="s">
        <v>12</v>
      </c>
      <c r="D917" t="s">
        <v>13</v>
      </c>
      <c r="E917" t="s">
        <v>14</v>
      </c>
      <c r="F917" t="s">
        <v>15</v>
      </c>
      <c r="G917" t="s">
        <v>121</v>
      </c>
      <c r="H917" t="s">
        <v>122</v>
      </c>
      <c r="I917" t="s">
        <v>49</v>
      </c>
      <c r="J917">
        <v>1</v>
      </c>
      <c r="K917">
        <v>4800</v>
      </c>
      <c r="L917">
        <v>4800</v>
      </c>
    </row>
    <row r="918" spans="1:12" x14ac:dyDescent="0.3">
      <c r="A918">
        <v>10917</v>
      </c>
      <c r="B918" s="2">
        <v>45701</v>
      </c>
      <c r="C918" t="s">
        <v>80</v>
      </c>
      <c r="D918" t="s">
        <v>81</v>
      </c>
      <c r="E918" t="s">
        <v>79</v>
      </c>
      <c r="F918" t="s">
        <v>34</v>
      </c>
      <c r="G918" t="s">
        <v>144</v>
      </c>
      <c r="H918" t="s">
        <v>145</v>
      </c>
      <c r="I918" t="s">
        <v>37</v>
      </c>
      <c r="J918">
        <v>3</v>
      </c>
      <c r="K918">
        <v>65000</v>
      </c>
      <c r="L918">
        <v>195000</v>
      </c>
    </row>
    <row r="919" spans="1:12" x14ac:dyDescent="0.3">
      <c r="A919">
        <v>10918</v>
      </c>
      <c r="B919" s="2">
        <v>45791</v>
      </c>
      <c r="C919" t="s">
        <v>191</v>
      </c>
      <c r="D919" t="s">
        <v>192</v>
      </c>
      <c r="E919" t="s">
        <v>27</v>
      </c>
      <c r="F919" t="s">
        <v>28</v>
      </c>
      <c r="G919" t="s">
        <v>113</v>
      </c>
      <c r="H919" t="s">
        <v>114</v>
      </c>
      <c r="I919" t="s">
        <v>37</v>
      </c>
      <c r="J919">
        <v>1</v>
      </c>
      <c r="K919">
        <v>52000</v>
      </c>
      <c r="L919">
        <v>52000</v>
      </c>
    </row>
    <row r="920" spans="1:12" x14ac:dyDescent="0.3">
      <c r="A920">
        <v>10919</v>
      </c>
      <c r="B920" s="2">
        <v>45824</v>
      </c>
      <c r="C920" t="s">
        <v>119</v>
      </c>
      <c r="D920" t="s">
        <v>120</v>
      </c>
      <c r="E920" t="s">
        <v>27</v>
      </c>
      <c r="F920" t="s">
        <v>28</v>
      </c>
      <c r="G920" t="s">
        <v>131</v>
      </c>
      <c r="H920" t="s">
        <v>132</v>
      </c>
      <c r="I920" t="s">
        <v>37</v>
      </c>
      <c r="J920">
        <v>2</v>
      </c>
      <c r="K920">
        <v>4500</v>
      </c>
      <c r="L920">
        <v>9000</v>
      </c>
    </row>
    <row r="921" spans="1:12" x14ac:dyDescent="0.3">
      <c r="A921">
        <v>10920</v>
      </c>
      <c r="B921" s="2">
        <v>45708</v>
      </c>
      <c r="C921" t="s">
        <v>148</v>
      </c>
      <c r="D921" t="s">
        <v>149</v>
      </c>
      <c r="E921" t="s">
        <v>14</v>
      </c>
      <c r="F921" t="s">
        <v>15</v>
      </c>
      <c r="G921" t="s">
        <v>47</v>
      </c>
      <c r="H921" t="s">
        <v>48</v>
      </c>
      <c r="I921" t="s">
        <v>49</v>
      </c>
      <c r="J921">
        <v>2</v>
      </c>
      <c r="K921">
        <v>1600</v>
      </c>
      <c r="L921">
        <v>3200</v>
      </c>
    </row>
    <row r="922" spans="1:12" x14ac:dyDescent="0.3">
      <c r="A922">
        <v>10921</v>
      </c>
      <c r="B922" s="2">
        <v>45763</v>
      </c>
      <c r="C922" t="s">
        <v>212</v>
      </c>
      <c r="D922" t="s">
        <v>213</v>
      </c>
      <c r="E922" t="s">
        <v>69</v>
      </c>
      <c r="F922" t="s">
        <v>28</v>
      </c>
      <c r="G922" t="s">
        <v>109</v>
      </c>
      <c r="H922" t="s">
        <v>110</v>
      </c>
      <c r="I922" t="s">
        <v>18</v>
      </c>
      <c r="J922">
        <v>1</v>
      </c>
      <c r="K922">
        <v>5000</v>
      </c>
      <c r="L922">
        <v>5000</v>
      </c>
    </row>
    <row r="923" spans="1:12" x14ac:dyDescent="0.3">
      <c r="A923">
        <v>10922</v>
      </c>
      <c r="B923" s="2">
        <v>45787</v>
      </c>
      <c r="C923" t="s">
        <v>189</v>
      </c>
      <c r="D923" t="s">
        <v>190</v>
      </c>
      <c r="E923" t="s">
        <v>160</v>
      </c>
      <c r="F923" t="s">
        <v>34</v>
      </c>
      <c r="G923" t="s">
        <v>179</v>
      </c>
      <c r="H923" t="s">
        <v>180</v>
      </c>
      <c r="I923" t="s">
        <v>18</v>
      </c>
      <c r="J923">
        <v>1</v>
      </c>
      <c r="K923">
        <v>6500</v>
      </c>
      <c r="L923">
        <v>6500</v>
      </c>
    </row>
    <row r="924" spans="1:12" x14ac:dyDescent="0.3">
      <c r="A924">
        <v>10923</v>
      </c>
      <c r="B924" s="2">
        <v>45790</v>
      </c>
      <c r="C924" t="s">
        <v>31</v>
      </c>
      <c r="D924" t="s">
        <v>32</v>
      </c>
      <c r="E924" t="s">
        <v>33</v>
      </c>
      <c r="F924" t="s">
        <v>34</v>
      </c>
      <c r="G924" t="s">
        <v>56</v>
      </c>
      <c r="H924" t="s">
        <v>57</v>
      </c>
      <c r="I924" t="s">
        <v>18</v>
      </c>
      <c r="J924">
        <v>1</v>
      </c>
      <c r="K924">
        <v>9000</v>
      </c>
      <c r="L924">
        <v>9000</v>
      </c>
    </row>
    <row r="925" spans="1:12" x14ac:dyDescent="0.3">
      <c r="A925">
        <v>10924</v>
      </c>
      <c r="B925" s="2">
        <v>45906</v>
      </c>
      <c r="C925" t="s">
        <v>50</v>
      </c>
      <c r="D925" t="s">
        <v>51</v>
      </c>
      <c r="E925" t="s">
        <v>14</v>
      </c>
      <c r="F925" t="s">
        <v>15</v>
      </c>
      <c r="G925" t="s">
        <v>52</v>
      </c>
      <c r="H925" t="s">
        <v>53</v>
      </c>
      <c r="I925" t="s">
        <v>24</v>
      </c>
      <c r="J925">
        <v>1</v>
      </c>
      <c r="K925">
        <v>3500</v>
      </c>
      <c r="L925">
        <v>3500</v>
      </c>
    </row>
    <row r="926" spans="1:12" x14ac:dyDescent="0.3">
      <c r="A926">
        <v>10925</v>
      </c>
      <c r="B926" s="2">
        <v>45853</v>
      </c>
      <c r="C926" t="s">
        <v>173</v>
      </c>
      <c r="D926" t="s">
        <v>174</v>
      </c>
      <c r="E926" t="s">
        <v>137</v>
      </c>
      <c r="F926" t="s">
        <v>46</v>
      </c>
      <c r="G926" t="s">
        <v>75</v>
      </c>
      <c r="H926" t="s">
        <v>76</v>
      </c>
      <c r="I926" t="s">
        <v>49</v>
      </c>
      <c r="J926">
        <v>1</v>
      </c>
      <c r="K926">
        <v>3000</v>
      </c>
      <c r="L926">
        <v>3000</v>
      </c>
    </row>
    <row r="927" spans="1:12" x14ac:dyDescent="0.3">
      <c r="A927">
        <v>10926</v>
      </c>
      <c r="B927" s="2">
        <v>45763</v>
      </c>
      <c r="C927" t="s">
        <v>117</v>
      </c>
      <c r="D927" t="s">
        <v>118</v>
      </c>
      <c r="E927" t="s">
        <v>95</v>
      </c>
      <c r="F927" t="s">
        <v>15</v>
      </c>
      <c r="G927" t="s">
        <v>52</v>
      </c>
      <c r="H927" t="s">
        <v>53</v>
      </c>
      <c r="I927" t="s">
        <v>24</v>
      </c>
      <c r="J927">
        <v>2</v>
      </c>
      <c r="K927">
        <v>3500</v>
      </c>
      <c r="L927">
        <v>7000</v>
      </c>
    </row>
    <row r="928" spans="1:12" x14ac:dyDescent="0.3">
      <c r="A928">
        <v>10927</v>
      </c>
      <c r="B928" s="2">
        <v>45725</v>
      </c>
      <c r="C928" t="s">
        <v>183</v>
      </c>
      <c r="D928" t="s">
        <v>184</v>
      </c>
      <c r="E928" t="s">
        <v>27</v>
      </c>
      <c r="F928" t="s">
        <v>28</v>
      </c>
      <c r="G928" t="s">
        <v>131</v>
      </c>
      <c r="H928" t="s">
        <v>132</v>
      </c>
      <c r="I928" t="s">
        <v>37</v>
      </c>
      <c r="J928">
        <v>3</v>
      </c>
      <c r="K928">
        <v>4500</v>
      </c>
      <c r="L928">
        <v>13500</v>
      </c>
    </row>
    <row r="929" spans="1:12" x14ac:dyDescent="0.3">
      <c r="A929">
        <v>10928</v>
      </c>
      <c r="B929" s="2">
        <v>45687</v>
      </c>
      <c r="C929" t="s">
        <v>133</v>
      </c>
      <c r="D929" t="s">
        <v>134</v>
      </c>
      <c r="E929" t="s">
        <v>33</v>
      </c>
      <c r="F929" t="s">
        <v>34</v>
      </c>
      <c r="G929" t="s">
        <v>177</v>
      </c>
      <c r="H929" t="s">
        <v>178</v>
      </c>
      <c r="I929" t="s">
        <v>37</v>
      </c>
      <c r="J929">
        <v>1</v>
      </c>
      <c r="K929">
        <v>2500</v>
      </c>
      <c r="L929">
        <v>2500</v>
      </c>
    </row>
    <row r="930" spans="1:12" x14ac:dyDescent="0.3">
      <c r="A930">
        <v>10929</v>
      </c>
      <c r="B930" s="2">
        <v>45923</v>
      </c>
      <c r="C930" t="s">
        <v>111</v>
      </c>
      <c r="D930" t="s">
        <v>112</v>
      </c>
      <c r="E930" t="s">
        <v>40</v>
      </c>
      <c r="F930" t="s">
        <v>15</v>
      </c>
      <c r="G930" t="s">
        <v>52</v>
      </c>
      <c r="H930" t="s">
        <v>53</v>
      </c>
      <c r="I930" t="s">
        <v>24</v>
      </c>
      <c r="J930">
        <v>1</v>
      </c>
      <c r="K930">
        <v>3500</v>
      </c>
      <c r="L930">
        <v>3500</v>
      </c>
    </row>
    <row r="931" spans="1:12" x14ac:dyDescent="0.3">
      <c r="A931">
        <v>10930</v>
      </c>
      <c r="B931" s="2">
        <v>45987</v>
      </c>
      <c r="C931" t="s">
        <v>133</v>
      </c>
      <c r="D931" t="s">
        <v>134</v>
      </c>
      <c r="E931" t="s">
        <v>33</v>
      </c>
      <c r="F931" t="s">
        <v>34</v>
      </c>
      <c r="G931" t="s">
        <v>98</v>
      </c>
      <c r="H931" t="s">
        <v>99</v>
      </c>
      <c r="I931" t="s">
        <v>24</v>
      </c>
      <c r="J931">
        <v>2</v>
      </c>
      <c r="K931">
        <v>2000</v>
      </c>
      <c r="L931">
        <v>4000</v>
      </c>
    </row>
    <row r="932" spans="1:12" x14ac:dyDescent="0.3">
      <c r="A932">
        <v>10931</v>
      </c>
      <c r="B932" s="2">
        <v>45865</v>
      </c>
      <c r="C932" t="s">
        <v>19</v>
      </c>
      <c r="D932" t="s">
        <v>20</v>
      </c>
      <c r="E932" t="s">
        <v>21</v>
      </c>
      <c r="F932" t="s">
        <v>15</v>
      </c>
      <c r="G932" t="s">
        <v>52</v>
      </c>
      <c r="H932" t="s">
        <v>53</v>
      </c>
      <c r="I932" t="s">
        <v>24</v>
      </c>
      <c r="J932">
        <v>2</v>
      </c>
      <c r="K932">
        <v>3500</v>
      </c>
      <c r="L932">
        <v>7000</v>
      </c>
    </row>
    <row r="933" spans="1:12" x14ac:dyDescent="0.3">
      <c r="A933">
        <v>10932</v>
      </c>
      <c r="B933" s="2">
        <v>45817</v>
      </c>
      <c r="C933" t="s">
        <v>175</v>
      </c>
      <c r="D933" t="s">
        <v>176</v>
      </c>
      <c r="E933" t="s">
        <v>84</v>
      </c>
      <c r="F933" t="s">
        <v>46</v>
      </c>
      <c r="G933" t="s">
        <v>152</v>
      </c>
      <c r="H933" t="s">
        <v>153</v>
      </c>
      <c r="I933" t="s">
        <v>49</v>
      </c>
      <c r="J933">
        <v>3</v>
      </c>
      <c r="K933">
        <v>3200</v>
      </c>
      <c r="L933">
        <v>9600</v>
      </c>
    </row>
    <row r="934" spans="1:12" x14ac:dyDescent="0.3">
      <c r="A934">
        <v>10933</v>
      </c>
      <c r="B934" s="2">
        <v>45899</v>
      </c>
      <c r="C934" t="s">
        <v>220</v>
      </c>
      <c r="D934" t="s">
        <v>221</v>
      </c>
      <c r="E934" t="s">
        <v>102</v>
      </c>
      <c r="F934" t="s">
        <v>34</v>
      </c>
      <c r="G934" t="s">
        <v>167</v>
      </c>
      <c r="H934" t="s">
        <v>168</v>
      </c>
      <c r="I934" t="s">
        <v>49</v>
      </c>
      <c r="J934">
        <v>2</v>
      </c>
      <c r="K934">
        <v>3800</v>
      </c>
      <c r="L934">
        <v>7600</v>
      </c>
    </row>
    <row r="935" spans="1:12" x14ac:dyDescent="0.3">
      <c r="A935">
        <v>10934</v>
      </c>
      <c r="B935" s="2">
        <v>45784</v>
      </c>
      <c r="C935" t="s">
        <v>210</v>
      </c>
      <c r="D935" t="s">
        <v>211</v>
      </c>
      <c r="E935" t="s">
        <v>40</v>
      </c>
      <c r="F935" t="s">
        <v>15</v>
      </c>
      <c r="G935" t="s">
        <v>65</v>
      </c>
      <c r="H935" t="s">
        <v>66</v>
      </c>
      <c r="I935" t="s">
        <v>49</v>
      </c>
      <c r="J935">
        <v>3</v>
      </c>
      <c r="K935">
        <v>2400</v>
      </c>
      <c r="L935">
        <v>7200</v>
      </c>
    </row>
    <row r="936" spans="1:12" x14ac:dyDescent="0.3">
      <c r="A936">
        <v>10935</v>
      </c>
      <c r="B936" s="2">
        <v>45882</v>
      </c>
      <c r="C936" t="s">
        <v>133</v>
      </c>
      <c r="D936" t="s">
        <v>134</v>
      </c>
      <c r="E936" t="s">
        <v>33</v>
      </c>
      <c r="F936" t="s">
        <v>34</v>
      </c>
      <c r="G936" t="s">
        <v>16</v>
      </c>
      <c r="H936" t="s">
        <v>17</v>
      </c>
      <c r="I936" t="s">
        <v>18</v>
      </c>
      <c r="J936">
        <v>4</v>
      </c>
      <c r="K936">
        <v>11000</v>
      </c>
      <c r="L936">
        <v>44000</v>
      </c>
    </row>
    <row r="937" spans="1:12" x14ac:dyDescent="0.3">
      <c r="A937">
        <v>10936</v>
      </c>
      <c r="B937" s="2">
        <v>45792</v>
      </c>
      <c r="C937" t="s">
        <v>54</v>
      </c>
      <c r="D937" t="s">
        <v>55</v>
      </c>
      <c r="E937" t="s">
        <v>33</v>
      </c>
      <c r="F937" t="s">
        <v>34</v>
      </c>
      <c r="G937" t="s">
        <v>52</v>
      </c>
      <c r="H937" t="s">
        <v>53</v>
      </c>
      <c r="I937" t="s">
        <v>24</v>
      </c>
      <c r="J937">
        <v>1</v>
      </c>
      <c r="K937">
        <v>3500</v>
      </c>
      <c r="L937">
        <v>3500</v>
      </c>
    </row>
    <row r="938" spans="1:12" x14ac:dyDescent="0.3">
      <c r="A938">
        <v>10937</v>
      </c>
      <c r="B938" s="2">
        <v>45724</v>
      </c>
      <c r="C938" t="s">
        <v>206</v>
      </c>
      <c r="D938" t="s">
        <v>207</v>
      </c>
      <c r="E938" t="s">
        <v>160</v>
      </c>
      <c r="F938" t="s">
        <v>34</v>
      </c>
      <c r="G938" t="s">
        <v>177</v>
      </c>
      <c r="H938" t="s">
        <v>178</v>
      </c>
      <c r="I938" t="s">
        <v>37</v>
      </c>
      <c r="J938">
        <v>1</v>
      </c>
      <c r="K938">
        <v>2500</v>
      </c>
      <c r="L938">
        <v>2500</v>
      </c>
    </row>
    <row r="939" spans="1:12" x14ac:dyDescent="0.3">
      <c r="A939">
        <v>10938</v>
      </c>
      <c r="B939" s="2">
        <v>46005</v>
      </c>
      <c r="C939" t="s">
        <v>193</v>
      </c>
      <c r="D939" t="s">
        <v>194</v>
      </c>
      <c r="E939" t="s">
        <v>102</v>
      </c>
      <c r="F939" t="s">
        <v>34</v>
      </c>
      <c r="G939" t="s">
        <v>16</v>
      </c>
      <c r="H939" t="s">
        <v>17</v>
      </c>
      <c r="I939" t="s">
        <v>18</v>
      </c>
      <c r="J939">
        <v>1</v>
      </c>
      <c r="K939">
        <v>11000</v>
      </c>
      <c r="L939">
        <v>11000</v>
      </c>
    </row>
    <row r="940" spans="1:12" x14ac:dyDescent="0.3">
      <c r="A940">
        <v>10939</v>
      </c>
      <c r="B940" s="2">
        <v>45777</v>
      </c>
      <c r="C940" t="s">
        <v>91</v>
      </c>
      <c r="D940" t="s">
        <v>92</v>
      </c>
      <c r="E940" t="s">
        <v>40</v>
      </c>
      <c r="F940" t="s">
        <v>15</v>
      </c>
      <c r="G940" t="s">
        <v>70</v>
      </c>
      <c r="H940" t="s">
        <v>71</v>
      </c>
      <c r="I940" t="s">
        <v>37</v>
      </c>
      <c r="J940">
        <v>1</v>
      </c>
      <c r="K940">
        <v>2200</v>
      </c>
      <c r="L940">
        <v>2200</v>
      </c>
    </row>
    <row r="941" spans="1:12" x14ac:dyDescent="0.3">
      <c r="A941">
        <v>10940</v>
      </c>
      <c r="B941" s="2">
        <v>45720</v>
      </c>
      <c r="C941" t="s">
        <v>105</v>
      </c>
      <c r="D941" t="s">
        <v>106</v>
      </c>
      <c r="E941" t="s">
        <v>45</v>
      </c>
      <c r="F941" t="s">
        <v>46</v>
      </c>
      <c r="G941" t="s">
        <v>56</v>
      </c>
      <c r="H941" t="s">
        <v>57</v>
      </c>
      <c r="I941" t="s">
        <v>18</v>
      </c>
      <c r="J941">
        <v>1</v>
      </c>
      <c r="K941">
        <v>9000</v>
      </c>
      <c r="L941">
        <v>9000</v>
      </c>
    </row>
    <row r="942" spans="1:12" x14ac:dyDescent="0.3">
      <c r="A942">
        <v>10941</v>
      </c>
      <c r="B942" s="2">
        <v>45770</v>
      </c>
      <c r="C942" t="s">
        <v>148</v>
      </c>
      <c r="D942" t="s">
        <v>149</v>
      </c>
      <c r="E942" t="s">
        <v>14</v>
      </c>
      <c r="F942" t="s">
        <v>15</v>
      </c>
      <c r="G942" t="s">
        <v>29</v>
      </c>
      <c r="H942" t="s">
        <v>30</v>
      </c>
      <c r="I942" t="s">
        <v>18</v>
      </c>
      <c r="J942">
        <v>1</v>
      </c>
      <c r="K942">
        <v>15000</v>
      </c>
      <c r="L942">
        <v>15000</v>
      </c>
    </row>
    <row r="943" spans="1:12" x14ac:dyDescent="0.3">
      <c r="A943">
        <v>10942</v>
      </c>
      <c r="B943" s="2">
        <v>45934</v>
      </c>
      <c r="C943" t="s">
        <v>82</v>
      </c>
      <c r="D943" t="s">
        <v>83</v>
      </c>
      <c r="E943" t="s">
        <v>84</v>
      </c>
      <c r="F943" t="s">
        <v>46</v>
      </c>
      <c r="G943" t="s">
        <v>113</v>
      </c>
      <c r="H943" t="s">
        <v>114</v>
      </c>
      <c r="I943" t="s">
        <v>37</v>
      </c>
      <c r="J943">
        <v>2</v>
      </c>
      <c r="K943">
        <v>52000</v>
      </c>
      <c r="L943">
        <v>104000</v>
      </c>
    </row>
    <row r="944" spans="1:12" x14ac:dyDescent="0.3">
      <c r="A944">
        <v>10943</v>
      </c>
      <c r="B944" s="2">
        <v>45813</v>
      </c>
      <c r="C944" t="s">
        <v>25</v>
      </c>
      <c r="D944" t="s">
        <v>26</v>
      </c>
      <c r="E944" t="s">
        <v>27</v>
      </c>
      <c r="F944" t="s">
        <v>28</v>
      </c>
      <c r="G944" t="s">
        <v>75</v>
      </c>
      <c r="H944" t="s">
        <v>76</v>
      </c>
      <c r="I944" t="s">
        <v>49</v>
      </c>
      <c r="J944">
        <v>1</v>
      </c>
      <c r="K944">
        <v>3000</v>
      </c>
      <c r="L944">
        <v>3000</v>
      </c>
    </row>
    <row r="945" spans="1:12" x14ac:dyDescent="0.3">
      <c r="A945">
        <v>10944</v>
      </c>
      <c r="B945" s="2">
        <v>45758</v>
      </c>
      <c r="C945" t="s">
        <v>228</v>
      </c>
      <c r="D945" t="s">
        <v>229</v>
      </c>
      <c r="E945" t="s">
        <v>84</v>
      </c>
      <c r="F945" t="s">
        <v>46</v>
      </c>
      <c r="G945" t="s">
        <v>167</v>
      </c>
      <c r="H945" t="s">
        <v>168</v>
      </c>
      <c r="I945" t="s">
        <v>49</v>
      </c>
      <c r="J945">
        <v>1</v>
      </c>
      <c r="K945">
        <v>3800</v>
      </c>
      <c r="L945">
        <v>3800</v>
      </c>
    </row>
    <row r="946" spans="1:12" x14ac:dyDescent="0.3">
      <c r="A946">
        <v>10945</v>
      </c>
      <c r="B946" s="2">
        <v>45771</v>
      </c>
      <c r="C946" t="s">
        <v>158</v>
      </c>
      <c r="D946" t="s">
        <v>159</v>
      </c>
      <c r="E946" t="s">
        <v>160</v>
      </c>
      <c r="F946" t="s">
        <v>34</v>
      </c>
      <c r="G946" t="s">
        <v>131</v>
      </c>
      <c r="H946" t="s">
        <v>132</v>
      </c>
      <c r="I946" t="s">
        <v>37</v>
      </c>
      <c r="J946">
        <v>2</v>
      </c>
      <c r="K946">
        <v>4500</v>
      </c>
      <c r="L946">
        <v>9000</v>
      </c>
    </row>
    <row r="947" spans="1:12" x14ac:dyDescent="0.3">
      <c r="A947">
        <v>10946</v>
      </c>
      <c r="B947" s="2">
        <v>45814</v>
      </c>
      <c r="C947" t="s">
        <v>228</v>
      </c>
      <c r="D947" t="s">
        <v>229</v>
      </c>
      <c r="E947" t="s">
        <v>84</v>
      </c>
      <c r="F947" t="s">
        <v>46</v>
      </c>
      <c r="G947" t="s">
        <v>96</v>
      </c>
      <c r="H947" t="s">
        <v>97</v>
      </c>
      <c r="I947" t="s">
        <v>37</v>
      </c>
      <c r="J947">
        <v>3</v>
      </c>
      <c r="K947">
        <v>18000</v>
      </c>
      <c r="L947">
        <v>54000</v>
      </c>
    </row>
    <row r="948" spans="1:12" x14ac:dyDescent="0.3">
      <c r="A948">
        <v>10947</v>
      </c>
      <c r="B948" s="2">
        <v>45839</v>
      </c>
      <c r="C948" t="s">
        <v>183</v>
      </c>
      <c r="D948" t="s">
        <v>184</v>
      </c>
      <c r="E948" t="s">
        <v>27</v>
      </c>
      <c r="F948" t="s">
        <v>28</v>
      </c>
      <c r="G948" t="s">
        <v>16</v>
      </c>
      <c r="H948" t="s">
        <v>17</v>
      </c>
      <c r="I948" t="s">
        <v>18</v>
      </c>
      <c r="J948">
        <v>4</v>
      </c>
      <c r="K948">
        <v>11000</v>
      </c>
      <c r="L948">
        <v>44000</v>
      </c>
    </row>
    <row r="949" spans="1:12" x14ac:dyDescent="0.3">
      <c r="A949">
        <v>10948</v>
      </c>
      <c r="B949" s="2">
        <v>45665</v>
      </c>
      <c r="C949" t="s">
        <v>183</v>
      </c>
      <c r="D949" t="s">
        <v>184</v>
      </c>
      <c r="E949" t="s">
        <v>27</v>
      </c>
      <c r="F949" t="s">
        <v>28</v>
      </c>
      <c r="G949" t="s">
        <v>47</v>
      </c>
      <c r="H949" t="s">
        <v>48</v>
      </c>
      <c r="I949" t="s">
        <v>49</v>
      </c>
      <c r="J949">
        <v>4</v>
      </c>
      <c r="K949">
        <v>1600</v>
      </c>
      <c r="L949">
        <v>6400</v>
      </c>
    </row>
    <row r="950" spans="1:12" x14ac:dyDescent="0.3">
      <c r="A950">
        <v>10949</v>
      </c>
      <c r="B950" s="2">
        <v>45768</v>
      </c>
      <c r="C950" t="s">
        <v>138</v>
      </c>
      <c r="D950" t="s">
        <v>139</v>
      </c>
      <c r="E950" t="s">
        <v>79</v>
      </c>
      <c r="F950" t="s">
        <v>34</v>
      </c>
      <c r="G950" t="s">
        <v>113</v>
      </c>
      <c r="H950" t="s">
        <v>114</v>
      </c>
      <c r="I950" t="s">
        <v>37</v>
      </c>
      <c r="J950">
        <v>1</v>
      </c>
      <c r="K950">
        <v>52000</v>
      </c>
      <c r="L950">
        <v>52000</v>
      </c>
    </row>
    <row r="951" spans="1:12" x14ac:dyDescent="0.3">
      <c r="A951">
        <v>10950</v>
      </c>
      <c r="B951" s="2">
        <v>45760</v>
      </c>
      <c r="C951" t="s">
        <v>105</v>
      </c>
      <c r="D951" t="s">
        <v>106</v>
      </c>
      <c r="E951" t="s">
        <v>45</v>
      </c>
      <c r="F951" t="s">
        <v>46</v>
      </c>
      <c r="G951" t="s">
        <v>16</v>
      </c>
      <c r="H951" t="s">
        <v>17</v>
      </c>
      <c r="I951" t="s">
        <v>18</v>
      </c>
      <c r="J951">
        <v>2</v>
      </c>
      <c r="K951">
        <v>11000</v>
      </c>
      <c r="L951">
        <v>22000</v>
      </c>
    </row>
    <row r="952" spans="1:12" x14ac:dyDescent="0.3">
      <c r="A952">
        <v>10951</v>
      </c>
      <c r="B952" s="2">
        <v>45695</v>
      </c>
      <c r="C952" t="s">
        <v>43</v>
      </c>
      <c r="D952" t="s">
        <v>44</v>
      </c>
      <c r="E952" t="s">
        <v>45</v>
      </c>
      <c r="F952" t="s">
        <v>46</v>
      </c>
      <c r="G952" t="s">
        <v>131</v>
      </c>
      <c r="H952" t="s">
        <v>132</v>
      </c>
      <c r="I952" t="s">
        <v>37</v>
      </c>
      <c r="J952">
        <v>2</v>
      </c>
      <c r="K952">
        <v>4500</v>
      </c>
      <c r="L952">
        <v>9000</v>
      </c>
    </row>
    <row r="953" spans="1:12" x14ac:dyDescent="0.3">
      <c r="A953">
        <v>10952</v>
      </c>
      <c r="B953" s="2">
        <v>45871</v>
      </c>
      <c r="C953" t="s">
        <v>220</v>
      </c>
      <c r="D953" t="s">
        <v>221</v>
      </c>
      <c r="E953" t="s">
        <v>102</v>
      </c>
      <c r="F953" t="s">
        <v>34</v>
      </c>
      <c r="G953" t="s">
        <v>56</v>
      </c>
      <c r="H953" t="s">
        <v>57</v>
      </c>
      <c r="I953" t="s">
        <v>18</v>
      </c>
      <c r="J953">
        <v>2</v>
      </c>
      <c r="K953">
        <v>9000</v>
      </c>
      <c r="L953">
        <v>18000</v>
      </c>
    </row>
    <row r="954" spans="1:12" x14ac:dyDescent="0.3">
      <c r="A954">
        <v>10953</v>
      </c>
      <c r="B954" s="2">
        <v>45759</v>
      </c>
      <c r="C954" t="s">
        <v>156</v>
      </c>
      <c r="D954" t="s">
        <v>157</v>
      </c>
      <c r="E954" t="s">
        <v>95</v>
      </c>
      <c r="F954" t="s">
        <v>15</v>
      </c>
      <c r="G954" t="s">
        <v>177</v>
      </c>
      <c r="H954" t="s">
        <v>178</v>
      </c>
      <c r="I954" t="s">
        <v>37</v>
      </c>
      <c r="J954">
        <v>2</v>
      </c>
      <c r="K954">
        <v>2500</v>
      </c>
      <c r="L954">
        <v>5000</v>
      </c>
    </row>
    <row r="955" spans="1:12" x14ac:dyDescent="0.3">
      <c r="A955">
        <v>10954</v>
      </c>
      <c r="B955" s="2">
        <v>45760</v>
      </c>
      <c r="C955" t="s">
        <v>80</v>
      </c>
      <c r="D955" t="s">
        <v>81</v>
      </c>
      <c r="E955" t="s">
        <v>79</v>
      </c>
      <c r="F955" t="s">
        <v>34</v>
      </c>
      <c r="G955" t="s">
        <v>163</v>
      </c>
      <c r="H955" t="s">
        <v>164</v>
      </c>
      <c r="I955" t="s">
        <v>49</v>
      </c>
      <c r="J955">
        <v>1</v>
      </c>
      <c r="K955">
        <v>4200</v>
      </c>
      <c r="L955">
        <v>4200</v>
      </c>
    </row>
    <row r="956" spans="1:12" x14ac:dyDescent="0.3">
      <c r="A956">
        <v>10955</v>
      </c>
      <c r="B956" s="2">
        <v>45676</v>
      </c>
      <c r="C956" t="s">
        <v>31</v>
      </c>
      <c r="D956" t="s">
        <v>32</v>
      </c>
      <c r="E956" t="s">
        <v>33</v>
      </c>
      <c r="F956" t="s">
        <v>34</v>
      </c>
      <c r="G956" t="s">
        <v>109</v>
      </c>
      <c r="H956" t="s">
        <v>110</v>
      </c>
      <c r="I956" t="s">
        <v>18</v>
      </c>
      <c r="J956">
        <v>2</v>
      </c>
      <c r="K956">
        <v>5000</v>
      </c>
      <c r="L956">
        <v>10000</v>
      </c>
    </row>
    <row r="957" spans="1:12" x14ac:dyDescent="0.3">
      <c r="A957">
        <v>10956</v>
      </c>
      <c r="B957" s="2">
        <v>45712</v>
      </c>
      <c r="C957" t="s">
        <v>111</v>
      </c>
      <c r="D957" t="s">
        <v>112</v>
      </c>
      <c r="E957" t="s">
        <v>40</v>
      </c>
      <c r="F957" t="s">
        <v>15</v>
      </c>
      <c r="G957" t="s">
        <v>125</v>
      </c>
      <c r="H957" t="s">
        <v>126</v>
      </c>
      <c r="I957" t="s">
        <v>37</v>
      </c>
      <c r="J957">
        <v>2</v>
      </c>
      <c r="K957">
        <v>22000</v>
      </c>
      <c r="L957">
        <v>44000</v>
      </c>
    </row>
    <row r="958" spans="1:12" x14ac:dyDescent="0.3">
      <c r="A958">
        <v>10957</v>
      </c>
      <c r="B958" s="2">
        <v>45901</v>
      </c>
      <c r="C958" t="s">
        <v>181</v>
      </c>
      <c r="D958" t="s">
        <v>182</v>
      </c>
      <c r="E958" t="s">
        <v>21</v>
      </c>
      <c r="F958" t="s">
        <v>15</v>
      </c>
      <c r="G958" t="s">
        <v>131</v>
      </c>
      <c r="H958" t="s">
        <v>132</v>
      </c>
      <c r="I958" t="s">
        <v>37</v>
      </c>
      <c r="J958">
        <v>2</v>
      </c>
      <c r="K958">
        <v>4500</v>
      </c>
      <c r="L958">
        <v>9000</v>
      </c>
    </row>
    <row r="959" spans="1:12" x14ac:dyDescent="0.3">
      <c r="A959">
        <v>10958</v>
      </c>
      <c r="B959" s="2">
        <v>45911</v>
      </c>
      <c r="C959" t="s">
        <v>234</v>
      </c>
      <c r="D959" t="s">
        <v>235</v>
      </c>
      <c r="E959" t="s">
        <v>137</v>
      </c>
      <c r="F959" t="s">
        <v>46</v>
      </c>
      <c r="G959" t="s">
        <v>125</v>
      </c>
      <c r="H959" t="s">
        <v>126</v>
      </c>
      <c r="I959" t="s">
        <v>37</v>
      </c>
      <c r="J959">
        <v>2</v>
      </c>
      <c r="K959">
        <v>22000</v>
      </c>
      <c r="L959">
        <v>44000</v>
      </c>
    </row>
    <row r="960" spans="1:12" x14ac:dyDescent="0.3">
      <c r="A960">
        <v>10959</v>
      </c>
      <c r="B960" s="2">
        <v>45735</v>
      </c>
      <c r="C960" t="s">
        <v>93</v>
      </c>
      <c r="D960" t="s">
        <v>94</v>
      </c>
      <c r="E960" t="s">
        <v>95</v>
      </c>
      <c r="F960" t="s">
        <v>15</v>
      </c>
      <c r="G960" t="s">
        <v>98</v>
      </c>
      <c r="H960" t="s">
        <v>99</v>
      </c>
      <c r="I960" t="s">
        <v>24</v>
      </c>
      <c r="J960">
        <v>1</v>
      </c>
      <c r="K960">
        <v>2000</v>
      </c>
      <c r="L960">
        <v>2000</v>
      </c>
    </row>
    <row r="961" spans="1:12" x14ac:dyDescent="0.3">
      <c r="A961">
        <v>10960</v>
      </c>
      <c r="B961" s="2">
        <v>45723</v>
      </c>
      <c r="C961" t="s">
        <v>12</v>
      </c>
      <c r="D961" t="s">
        <v>13</v>
      </c>
      <c r="E961" t="s">
        <v>14</v>
      </c>
      <c r="F961" t="s">
        <v>15</v>
      </c>
      <c r="G961" t="s">
        <v>125</v>
      </c>
      <c r="H961" t="s">
        <v>126</v>
      </c>
      <c r="I961" t="s">
        <v>37</v>
      </c>
      <c r="J961">
        <v>2</v>
      </c>
      <c r="K961">
        <v>22000</v>
      </c>
      <c r="L961">
        <v>44000</v>
      </c>
    </row>
    <row r="962" spans="1:12" x14ac:dyDescent="0.3">
      <c r="A962">
        <v>10961</v>
      </c>
      <c r="B962" s="2">
        <v>45933</v>
      </c>
      <c r="C962" t="s">
        <v>220</v>
      </c>
      <c r="D962" t="s">
        <v>221</v>
      </c>
      <c r="E962" t="s">
        <v>102</v>
      </c>
      <c r="F962" t="s">
        <v>34</v>
      </c>
      <c r="G962" t="s">
        <v>167</v>
      </c>
      <c r="H962" t="s">
        <v>168</v>
      </c>
      <c r="I962" t="s">
        <v>49</v>
      </c>
      <c r="J962">
        <v>4</v>
      </c>
      <c r="K962">
        <v>3800</v>
      </c>
      <c r="L962">
        <v>15200</v>
      </c>
    </row>
    <row r="963" spans="1:12" x14ac:dyDescent="0.3">
      <c r="A963">
        <v>10962</v>
      </c>
      <c r="B963" s="2">
        <v>45702</v>
      </c>
      <c r="C963" t="s">
        <v>208</v>
      </c>
      <c r="D963" t="s">
        <v>209</v>
      </c>
      <c r="E963" t="s">
        <v>95</v>
      </c>
      <c r="F963" t="s">
        <v>15</v>
      </c>
      <c r="G963" t="s">
        <v>167</v>
      </c>
      <c r="H963" t="s">
        <v>168</v>
      </c>
      <c r="I963" t="s">
        <v>49</v>
      </c>
      <c r="J963">
        <v>1</v>
      </c>
      <c r="K963">
        <v>3800</v>
      </c>
      <c r="L963">
        <v>3800</v>
      </c>
    </row>
    <row r="964" spans="1:12" x14ac:dyDescent="0.3">
      <c r="A964">
        <v>10963</v>
      </c>
      <c r="B964" s="2">
        <v>45734</v>
      </c>
      <c r="C964" t="s">
        <v>216</v>
      </c>
      <c r="D964" t="s">
        <v>217</v>
      </c>
      <c r="E964" t="s">
        <v>21</v>
      </c>
      <c r="F964" t="s">
        <v>15</v>
      </c>
      <c r="G964" t="s">
        <v>60</v>
      </c>
      <c r="H964" t="s">
        <v>61</v>
      </c>
      <c r="I964" t="s">
        <v>18</v>
      </c>
      <c r="J964">
        <v>4</v>
      </c>
      <c r="K964">
        <v>2200</v>
      </c>
      <c r="L964">
        <v>8800</v>
      </c>
    </row>
    <row r="965" spans="1:12" x14ac:dyDescent="0.3">
      <c r="A965">
        <v>10964</v>
      </c>
      <c r="B965" s="2">
        <v>46005</v>
      </c>
      <c r="C965" t="s">
        <v>220</v>
      </c>
      <c r="D965" t="s">
        <v>221</v>
      </c>
      <c r="E965" t="s">
        <v>102</v>
      </c>
      <c r="F965" t="s">
        <v>34</v>
      </c>
      <c r="G965" t="s">
        <v>98</v>
      </c>
      <c r="H965" t="s">
        <v>99</v>
      </c>
      <c r="I965" t="s">
        <v>24</v>
      </c>
      <c r="J965">
        <v>2</v>
      </c>
      <c r="K965">
        <v>2000</v>
      </c>
      <c r="L965">
        <v>4000</v>
      </c>
    </row>
    <row r="966" spans="1:12" x14ac:dyDescent="0.3">
      <c r="A966">
        <v>10965</v>
      </c>
      <c r="B966" s="2">
        <v>45818</v>
      </c>
      <c r="C966" t="s">
        <v>238</v>
      </c>
      <c r="D966" t="s">
        <v>239</v>
      </c>
      <c r="E966" t="s">
        <v>137</v>
      </c>
      <c r="F966" t="s">
        <v>46</v>
      </c>
      <c r="G966" t="s">
        <v>129</v>
      </c>
      <c r="H966" t="s">
        <v>130</v>
      </c>
      <c r="I966" t="s">
        <v>24</v>
      </c>
      <c r="J966">
        <v>1</v>
      </c>
      <c r="K966">
        <v>1400</v>
      </c>
      <c r="L966">
        <v>1400</v>
      </c>
    </row>
    <row r="967" spans="1:12" x14ac:dyDescent="0.3">
      <c r="A967">
        <v>10966</v>
      </c>
      <c r="B967" s="2">
        <v>45849</v>
      </c>
      <c r="C967" t="s">
        <v>12</v>
      </c>
      <c r="D967" t="s">
        <v>13</v>
      </c>
      <c r="E967" t="s">
        <v>14</v>
      </c>
      <c r="F967" t="s">
        <v>15</v>
      </c>
      <c r="G967" t="s">
        <v>179</v>
      </c>
      <c r="H967" t="s">
        <v>180</v>
      </c>
      <c r="I967" t="s">
        <v>18</v>
      </c>
      <c r="J967">
        <v>1</v>
      </c>
      <c r="K967">
        <v>6500</v>
      </c>
      <c r="L967">
        <v>6500</v>
      </c>
    </row>
    <row r="968" spans="1:12" x14ac:dyDescent="0.3">
      <c r="A968">
        <v>10967</v>
      </c>
      <c r="B968" s="2">
        <v>45786</v>
      </c>
      <c r="C968" t="s">
        <v>19</v>
      </c>
      <c r="D968" t="s">
        <v>20</v>
      </c>
      <c r="E968" t="s">
        <v>21</v>
      </c>
      <c r="F968" t="s">
        <v>15</v>
      </c>
      <c r="G968" t="s">
        <v>103</v>
      </c>
      <c r="H968" t="s">
        <v>104</v>
      </c>
      <c r="I968" t="s">
        <v>37</v>
      </c>
      <c r="J968">
        <v>2</v>
      </c>
      <c r="K968">
        <v>28000</v>
      </c>
      <c r="L968">
        <v>56000</v>
      </c>
    </row>
    <row r="969" spans="1:12" x14ac:dyDescent="0.3">
      <c r="A969">
        <v>10968</v>
      </c>
      <c r="B969" s="2">
        <v>45942</v>
      </c>
      <c r="C969" t="s">
        <v>183</v>
      </c>
      <c r="D969" t="s">
        <v>184</v>
      </c>
      <c r="E969" t="s">
        <v>27</v>
      </c>
      <c r="F969" t="s">
        <v>28</v>
      </c>
      <c r="G969" t="s">
        <v>35</v>
      </c>
      <c r="H969" t="s">
        <v>36</v>
      </c>
      <c r="I969" t="s">
        <v>37</v>
      </c>
      <c r="J969">
        <v>2</v>
      </c>
      <c r="K969">
        <v>12000</v>
      </c>
      <c r="L969">
        <v>24000</v>
      </c>
    </row>
    <row r="970" spans="1:12" x14ac:dyDescent="0.3">
      <c r="A970">
        <v>10969</v>
      </c>
      <c r="B970" s="2">
        <v>45853</v>
      </c>
      <c r="C970" t="s">
        <v>181</v>
      </c>
      <c r="D970" t="s">
        <v>182</v>
      </c>
      <c r="E970" t="s">
        <v>21</v>
      </c>
      <c r="F970" t="s">
        <v>15</v>
      </c>
      <c r="G970" t="s">
        <v>65</v>
      </c>
      <c r="H970" t="s">
        <v>66</v>
      </c>
      <c r="I970" t="s">
        <v>49</v>
      </c>
      <c r="J970">
        <v>2</v>
      </c>
      <c r="K970">
        <v>2400</v>
      </c>
      <c r="L970">
        <v>4800</v>
      </c>
    </row>
    <row r="971" spans="1:12" x14ac:dyDescent="0.3">
      <c r="A971">
        <v>10970</v>
      </c>
      <c r="B971" s="2">
        <v>45801</v>
      </c>
      <c r="C971" t="s">
        <v>119</v>
      </c>
      <c r="D971" t="s">
        <v>120</v>
      </c>
      <c r="E971" t="s">
        <v>27</v>
      </c>
      <c r="F971" t="s">
        <v>28</v>
      </c>
      <c r="G971" t="s">
        <v>96</v>
      </c>
      <c r="H971" t="s">
        <v>97</v>
      </c>
      <c r="I971" t="s">
        <v>37</v>
      </c>
      <c r="J971">
        <v>2</v>
      </c>
      <c r="K971">
        <v>18000</v>
      </c>
      <c r="L971">
        <v>36000</v>
      </c>
    </row>
    <row r="972" spans="1:12" x14ac:dyDescent="0.3">
      <c r="A972">
        <v>10971</v>
      </c>
      <c r="B972" s="2">
        <v>45925</v>
      </c>
      <c r="C972" t="s">
        <v>50</v>
      </c>
      <c r="D972" t="s">
        <v>51</v>
      </c>
      <c r="E972" t="s">
        <v>14</v>
      </c>
      <c r="F972" t="s">
        <v>15</v>
      </c>
      <c r="G972" t="s">
        <v>56</v>
      </c>
      <c r="H972" t="s">
        <v>57</v>
      </c>
      <c r="I972" t="s">
        <v>18</v>
      </c>
      <c r="J972">
        <v>2</v>
      </c>
      <c r="K972">
        <v>9000</v>
      </c>
      <c r="L972">
        <v>18000</v>
      </c>
    </row>
    <row r="973" spans="1:12" x14ac:dyDescent="0.3">
      <c r="A973">
        <v>10972</v>
      </c>
      <c r="B973" s="2">
        <v>45974</v>
      </c>
      <c r="C973" t="s">
        <v>210</v>
      </c>
      <c r="D973" t="s">
        <v>211</v>
      </c>
      <c r="E973" t="s">
        <v>40</v>
      </c>
      <c r="F973" t="s">
        <v>15</v>
      </c>
      <c r="G973" t="s">
        <v>113</v>
      </c>
      <c r="H973" t="s">
        <v>114</v>
      </c>
      <c r="I973" t="s">
        <v>37</v>
      </c>
      <c r="J973">
        <v>4</v>
      </c>
      <c r="K973">
        <v>52000</v>
      </c>
      <c r="L973">
        <v>208000</v>
      </c>
    </row>
    <row r="974" spans="1:12" x14ac:dyDescent="0.3">
      <c r="A974">
        <v>10973</v>
      </c>
      <c r="B974" s="2">
        <v>46005</v>
      </c>
      <c r="C974" t="s">
        <v>185</v>
      </c>
      <c r="D974" t="s">
        <v>186</v>
      </c>
      <c r="E974" t="s">
        <v>14</v>
      </c>
      <c r="F974" t="s">
        <v>15</v>
      </c>
      <c r="G974" t="s">
        <v>179</v>
      </c>
      <c r="H974" t="s">
        <v>180</v>
      </c>
      <c r="I974" t="s">
        <v>18</v>
      </c>
      <c r="J974">
        <v>1</v>
      </c>
      <c r="K974">
        <v>6500</v>
      </c>
      <c r="L974">
        <v>6500</v>
      </c>
    </row>
    <row r="975" spans="1:12" x14ac:dyDescent="0.3">
      <c r="A975">
        <v>10974</v>
      </c>
      <c r="B975" s="2">
        <v>45895</v>
      </c>
      <c r="C975" t="s">
        <v>82</v>
      </c>
      <c r="D975" t="s">
        <v>83</v>
      </c>
      <c r="E975" t="s">
        <v>84</v>
      </c>
      <c r="F975" t="s">
        <v>46</v>
      </c>
      <c r="G975" t="s">
        <v>41</v>
      </c>
      <c r="H975" t="s">
        <v>42</v>
      </c>
      <c r="I975" t="s">
        <v>37</v>
      </c>
      <c r="J975">
        <v>1</v>
      </c>
      <c r="K975">
        <v>30000</v>
      </c>
      <c r="L975">
        <v>30000</v>
      </c>
    </row>
    <row r="976" spans="1:12" x14ac:dyDescent="0.3">
      <c r="A976">
        <v>10975</v>
      </c>
      <c r="B976" s="2">
        <v>45732</v>
      </c>
      <c r="C976" t="s">
        <v>43</v>
      </c>
      <c r="D976" t="s">
        <v>44</v>
      </c>
      <c r="E976" t="s">
        <v>45</v>
      </c>
      <c r="F976" t="s">
        <v>46</v>
      </c>
      <c r="G976" t="s">
        <v>75</v>
      </c>
      <c r="H976" t="s">
        <v>76</v>
      </c>
      <c r="I976" t="s">
        <v>49</v>
      </c>
      <c r="J976">
        <v>1</v>
      </c>
      <c r="K976">
        <v>3000</v>
      </c>
      <c r="L976">
        <v>3000</v>
      </c>
    </row>
    <row r="977" spans="1:12" x14ac:dyDescent="0.3">
      <c r="A977">
        <v>10976</v>
      </c>
      <c r="B977" s="2">
        <v>45773</v>
      </c>
      <c r="C977" t="s">
        <v>224</v>
      </c>
      <c r="D977" t="s">
        <v>225</v>
      </c>
      <c r="E977" t="s">
        <v>201</v>
      </c>
      <c r="F977" t="s">
        <v>28</v>
      </c>
      <c r="G977" t="s">
        <v>187</v>
      </c>
      <c r="H977" t="s">
        <v>188</v>
      </c>
      <c r="I977" t="s">
        <v>24</v>
      </c>
      <c r="J977">
        <v>1</v>
      </c>
      <c r="K977">
        <v>5500</v>
      </c>
      <c r="L977">
        <v>5500</v>
      </c>
    </row>
    <row r="978" spans="1:12" x14ac:dyDescent="0.3">
      <c r="A978">
        <v>10977</v>
      </c>
      <c r="B978" s="2">
        <v>45987</v>
      </c>
      <c r="C978" t="s">
        <v>193</v>
      </c>
      <c r="D978" t="s">
        <v>194</v>
      </c>
      <c r="E978" t="s">
        <v>102</v>
      </c>
      <c r="F978" t="s">
        <v>34</v>
      </c>
      <c r="G978" t="s">
        <v>177</v>
      </c>
      <c r="H978" t="s">
        <v>178</v>
      </c>
      <c r="I978" t="s">
        <v>37</v>
      </c>
      <c r="J978">
        <v>3</v>
      </c>
      <c r="K978">
        <v>2500</v>
      </c>
      <c r="L978">
        <v>7500</v>
      </c>
    </row>
    <row r="979" spans="1:12" x14ac:dyDescent="0.3">
      <c r="A979">
        <v>10978</v>
      </c>
      <c r="B979" s="2">
        <v>45894</v>
      </c>
      <c r="C979" t="s">
        <v>154</v>
      </c>
      <c r="D979" t="s">
        <v>155</v>
      </c>
      <c r="E979" t="s">
        <v>74</v>
      </c>
      <c r="F979" t="s">
        <v>28</v>
      </c>
      <c r="G979" t="s">
        <v>163</v>
      </c>
      <c r="H979" t="s">
        <v>164</v>
      </c>
      <c r="I979" t="s">
        <v>49</v>
      </c>
      <c r="J979">
        <v>4</v>
      </c>
      <c r="K979">
        <v>4200</v>
      </c>
      <c r="L979">
        <v>16800</v>
      </c>
    </row>
    <row r="980" spans="1:12" x14ac:dyDescent="0.3">
      <c r="A980">
        <v>10979</v>
      </c>
      <c r="B980" s="2">
        <v>45884</v>
      </c>
      <c r="C980" t="s">
        <v>67</v>
      </c>
      <c r="D980" t="s">
        <v>68</v>
      </c>
      <c r="E980" t="s">
        <v>69</v>
      </c>
      <c r="F980" t="s">
        <v>28</v>
      </c>
      <c r="G980" t="s">
        <v>52</v>
      </c>
      <c r="H980" t="s">
        <v>53</v>
      </c>
      <c r="I980" t="s">
        <v>24</v>
      </c>
      <c r="J980">
        <v>1</v>
      </c>
      <c r="K980">
        <v>3500</v>
      </c>
      <c r="L980">
        <v>3500</v>
      </c>
    </row>
    <row r="981" spans="1:12" x14ac:dyDescent="0.3">
      <c r="A981">
        <v>10980</v>
      </c>
      <c r="B981" s="2">
        <v>45875</v>
      </c>
      <c r="C981" t="s">
        <v>107</v>
      </c>
      <c r="D981" t="s">
        <v>108</v>
      </c>
      <c r="E981" t="s">
        <v>74</v>
      </c>
      <c r="F981" t="s">
        <v>28</v>
      </c>
      <c r="G981" t="s">
        <v>125</v>
      </c>
      <c r="H981" t="s">
        <v>126</v>
      </c>
      <c r="I981" t="s">
        <v>37</v>
      </c>
      <c r="J981">
        <v>1</v>
      </c>
      <c r="K981">
        <v>22000</v>
      </c>
      <c r="L981">
        <v>22000</v>
      </c>
    </row>
    <row r="982" spans="1:12" x14ac:dyDescent="0.3">
      <c r="A982">
        <v>10981</v>
      </c>
      <c r="B982" s="2">
        <v>45738</v>
      </c>
      <c r="C982" t="s">
        <v>204</v>
      </c>
      <c r="D982" t="s">
        <v>205</v>
      </c>
      <c r="E982" t="s">
        <v>201</v>
      </c>
      <c r="F982" t="s">
        <v>28</v>
      </c>
      <c r="G982" t="s">
        <v>35</v>
      </c>
      <c r="H982" t="s">
        <v>36</v>
      </c>
      <c r="I982" t="s">
        <v>37</v>
      </c>
      <c r="J982">
        <v>5</v>
      </c>
      <c r="K982">
        <v>12000</v>
      </c>
      <c r="L982">
        <v>60000</v>
      </c>
    </row>
    <row r="983" spans="1:12" x14ac:dyDescent="0.3">
      <c r="A983">
        <v>10982</v>
      </c>
      <c r="B983" s="2">
        <v>45828</v>
      </c>
      <c r="C983" t="s">
        <v>226</v>
      </c>
      <c r="D983" t="s">
        <v>227</v>
      </c>
      <c r="E983" t="s">
        <v>79</v>
      </c>
      <c r="F983" t="s">
        <v>34</v>
      </c>
      <c r="G983" t="s">
        <v>60</v>
      </c>
      <c r="H983" t="s">
        <v>61</v>
      </c>
      <c r="I983" t="s">
        <v>18</v>
      </c>
      <c r="J983">
        <v>1</v>
      </c>
      <c r="K983">
        <v>2200</v>
      </c>
      <c r="L983">
        <v>2200</v>
      </c>
    </row>
    <row r="984" spans="1:12" x14ac:dyDescent="0.3">
      <c r="A984">
        <v>10983</v>
      </c>
      <c r="B984" s="2">
        <v>45931</v>
      </c>
      <c r="C984" t="s">
        <v>67</v>
      </c>
      <c r="D984" t="s">
        <v>68</v>
      </c>
      <c r="E984" t="s">
        <v>69</v>
      </c>
      <c r="F984" t="s">
        <v>28</v>
      </c>
      <c r="G984" t="s">
        <v>35</v>
      </c>
      <c r="H984" t="s">
        <v>36</v>
      </c>
      <c r="I984" t="s">
        <v>37</v>
      </c>
      <c r="J984">
        <v>2</v>
      </c>
      <c r="K984">
        <v>12000</v>
      </c>
      <c r="L984">
        <v>24000</v>
      </c>
    </row>
    <row r="985" spans="1:12" x14ac:dyDescent="0.3">
      <c r="A985">
        <v>10984</v>
      </c>
      <c r="B985" s="2">
        <v>45852</v>
      </c>
      <c r="C985" t="s">
        <v>91</v>
      </c>
      <c r="D985" t="s">
        <v>92</v>
      </c>
      <c r="E985" t="s">
        <v>40</v>
      </c>
      <c r="F985" t="s">
        <v>15</v>
      </c>
      <c r="G985" t="s">
        <v>96</v>
      </c>
      <c r="H985" t="s">
        <v>97</v>
      </c>
      <c r="I985" t="s">
        <v>37</v>
      </c>
      <c r="J985">
        <v>1</v>
      </c>
      <c r="K985">
        <v>18000</v>
      </c>
      <c r="L985">
        <v>18000</v>
      </c>
    </row>
    <row r="986" spans="1:12" x14ac:dyDescent="0.3">
      <c r="A986">
        <v>10985</v>
      </c>
      <c r="B986" s="2">
        <v>45940</v>
      </c>
      <c r="C986" t="s">
        <v>117</v>
      </c>
      <c r="D986" t="s">
        <v>118</v>
      </c>
      <c r="E986" t="s">
        <v>95</v>
      </c>
      <c r="F986" t="s">
        <v>15</v>
      </c>
      <c r="G986" t="s">
        <v>187</v>
      </c>
      <c r="H986" t="s">
        <v>188</v>
      </c>
      <c r="I986" t="s">
        <v>24</v>
      </c>
      <c r="J986">
        <v>2</v>
      </c>
      <c r="K986">
        <v>5500</v>
      </c>
      <c r="L986">
        <v>11000</v>
      </c>
    </row>
    <row r="987" spans="1:12" x14ac:dyDescent="0.3">
      <c r="A987">
        <v>10986</v>
      </c>
      <c r="B987" s="2">
        <v>45932</v>
      </c>
      <c r="C987" t="s">
        <v>181</v>
      </c>
      <c r="D987" t="s">
        <v>182</v>
      </c>
      <c r="E987" t="s">
        <v>21</v>
      </c>
      <c r="F987" t="s">
        <v>15</v>
      </c>
      <c r="G987" t="s">
        <v>29</v>
      </c>
      <c r="H987" t="s">
        <v>30</v>
      </c>
      <c r="I987" t="s">
        <v>18</v>
      </c>
      <c r="J987">
        <v>3</v>
      </c>
      <c r="K987">
        <v>15000</v>
      </c>
      <c r="L987">
        <v>45000</v>
      </c>
    </row>
    <row r="988" spans="1:12" x14ac:dyDescent="0.3">
      <c r="A988">
        <v>10987</v>
      </c>
      <c r="B988" s="2">
        <v>45784</v>
      </c>
      <c r="C988" t="s">
        <v>43</v>
      </c>
      <c r="D988" t="s">
        <v>44</v>
      </c>
      <c r="E988" t="s">
        <v>45</v>
      </c>
      <c r="F988" t="s">
        <v>46</v>
      </c>
      <c r="G988" t="s">
        <v>16</v>
      </c>
      <c r="H988" t="s">
        <v>17</v>
      </c>
      <c r="I988" t="s">
        <v>18</v>
      </c>
      <c r="J988">
        <v>2</v>
      </c>
      <c r="K988">
        <v>11000</v>
      </c>
      <c r="L988">
        <v>22000</v>
      </c>
    </row>
    <row r="989" spans="1:12" x14ac:dyDescent="0.3">
      <c r="A989">
        <v>10988</v>
      </c>
      <c r="B989" s="2">
        <v>45992</v>
      </c>
      <c r="C989" t="s">
        <v>212</v>
      </c>
      <c r="D989" t="s">
        <v>213</v>
      </c>
      <c r="E989" t="s">
        <v>69</v>
      </c>
      <c r="F989" t="s">
        <v>28</v>
      </c>
      <c r="G989" t="s">
        <v>125</v>
      </c>
      <c r="H989" t="s">
        <v>126</v>
      </c>
      <c r="I989" t="s">
        <v>37</v>
      </c>
      <c r="J989">
        <v>4</v>
      </c>
      <c r="K989">
        <v>22000</v>
      </c>
      <c r="L989">
        <v>88000</v>
      </c>
    </row>
    <row r="990" spans="1:12" x14ac:dyDescent="0.3">
      <c r="A990">
        <v>10989</v>
      </c>
      <c r="B990" s="2">
        <v>45971</v>
      </c>
      <c r="C990" t="s">
        <v>173</v>
      </c>
      <c r="D990" t="s">
        <v>174</v>
      </c>
      <c r="E990" t="s">
        <v>137</v>
      </c>
      <c r="F990" t="s">
        <v>46</v>
      </c>
      <c r="G990" t="s">
        <v>125</v>
      </c>
      <c r="H990" t="s">
        <v>126</v>
      </c>
      <c r="I990" t="s">
        <v>37</v>
      </c>
      <c r="J990">
        <v>1</v>
      </c>
      <c r="K990">
        <v>22000</v>
      </c>
      <c r="L990">
        <v>22000</v>
      </c>
    </row>
    <row r="991" spans="1:12" x14ac:dyDescent="0.3">
      <c r="A991">
        <v>10990</v>
      </c>
      <c r="B991" s="2">
        <v>45736</v>
      </c>
      <c r="C991" t="s">
        <v>197</v>
      </c>
      <c r="D991" t="s">
        <v>198</v>
      </c>
      <c r="E991" t="s">
        <v>95</v>
      </c>
      <c r="F991" t="s">
        <v>15</v>
      </c>
      <c r="G991" t="s">
        <v>144</v>
      </c>
      <c r="H991" t="s">
        <v>145</v>
      </c>
      <c r="I991" t="s">
        <v>37</v>
      </c>
      <c r="J991">
        <v>2</v>
      </c>
      <c r="K991">
        <v>65000</v>
      </c>
      <c r="L991">
        <v>130000</v>
      </c>
    </row>
    <row r="992" spans="1:12" x14ac:dyDescent="0.3">
      <c r="A992">
        <v>10991</v>
      </c>
      <c r="B992" s="2">
        <v>45822</v>
      </c>
      <c r="C992" t="s">
        <v>85</v>
      </c>
      <c r="D992" t="s">
        <v>86</v>
      </c>
      <c r="E992" t="s">
        <v>45</v>
      </c>
      <c r="F992" t="s">
        <v>46</v>
      </c>
      <c r="G992" t="s">
        <v>129</v>
      </c>
      <c r="H992" t="s">
        <v>130</v>
      </c>
      <c r="I992" t="s">
        <v>24</v>
      </c>
      <c r="J992">
        <v>1</v>
      </c>
      <c r="K992">
        <v>1400</v>
      </c>
      <c r="L992">
        <v>1400</v>
      </c>
    </row>
    <row r="993" spans="1:12" x14ac:dyDescent="0.3">
      <c r="A993">
        <v>10992</v>
      </c>
      <c r="B993" s="2">
        <v>45808</v>
      </c>
      <c r="C993" t="s">
        <v>208</v>
      </c>
      <c r="D993" t="s">
        <v>209</v>
      </c>
      <c r="E993" t="s">
        <v>95</v>
      </c>
      <c r="F993" t="s">
        <v>15</v>
      </c>
      <c r="G993" t="s">
        <v>113</v>
      </c>
      <c r="H993" t="s">
        <v>114</v>
      </c>
      <c r="I993" t="s">
        <v>37</v>
      </c>
      <c r="J993">
        <v>1</v>
      </c>
      <c r="K993">
        <v>52000</v>
      </c>
      <c r="L993">
        <v>52000</v>
      </c>
    </row>
    <row r="994" spans="1:12" x14ac:dyDescent="0.3">
      <c r="A994">
        <v>10993</v>
      </c>
      <c r="B994" s="2">
        <v>45755</v>
      </c>
      <c r="C994" t="s">
        <v>183</v>
      </c>
      <c r="D994" t="s">
        <v>184</v>
      </c>
      <c r="E994" t="s">
        <v>27</v>
      </c>
      <c r="F994" t="s">
        <v>28</v>
      </c>
      <c r="G994" t="s">
        <v>75</v>
      </c>
      <c r="H994" t="s">
        <v>76</v>
      </c>
      <c r="I994" t="s">
        <v>49</v>
      </c>
      <c r="J994">
        <v>1</v>
      </c>
      <c r="K994">
        <v>3000</v>
      </c>
      <c r="L994">
        <v>3000</v>
      </c>
    </row>
    <row r="995" spans="1:12" x14ac:dyDescent="0.3">
      <c r="A995">
        <v>10994</v>
      </c>
      <c r="B995" s="2">
        <v>45900</v>
      </c>
      <c r="C995" t="s">
        <v>91</v>
      </c>
      <c r="D995" t="s">
        <v>92</v>
      </c>
      <c r="E995" t="s">
        <v>40</v>
      </c>
      <c r="F995" t="s">
        <v>15</v>
      </c>
      <c r="G995" t="s">
        <v>29</v>
      </c>
      <c r="H995" t="s">
        <v>30</v>
      </c>
      <c r="I995" t="s">
        <v>18</v>
      </c>
      <c r="J995">
        <v>1</v>
      </c>
      <c r="K995">
        <v>15000</v>
      </c>
      <c r="L995">
        <v>15000</v>
      </c>
    </row>
    <row r="996" spans="1:12" x14ac:dyDescent="0.3">
      <c r="A996">
        <v>10995</v>
      </c>
      <c r="B996" s="2">
        <v>45895</v>
      </c>
      <c r="C996" t="s">
        <v>43</v>
      </c>
      <c r="D996" t="s">
        <v>44</v>
      </c>
      <c r="E996" t="s">
        <v>45</v>
      </c>
      <c r="F996" t="s">
        <v>46</v>
      </c>
      <c r="G996" t="s">
        <v>121</v>
      </c>
      <c r="H996" t="s">
        <v>122</v>
      </c>
      <c r="I996" t="s">
        <v>49</v>
      </c>
      <c r="J996">
        <v>1</v>
      </c>
      <c r="K996">
        <v>4800</v>
      </c>
      <c r="L996">
        <v>4800</v>
      </c>
    </row>
    <row r="997" spans="1:12" x14ac:dyDescent="0.3">
      <c r="A997">
        <v>10996</v>
      </c>
      <c r="B997" s="2">
        <v>45679</v>
      </c>
      <c r="C997" t="s">
        <v>150</v>
      </c>
      <c r="D997" t="s">
        <v>151</v>
      </c>
      <c r="E997" t="s">
        <v>84</v>
      </c>
      <c r="F997" t="s">
        <v>46</v>
      </c>
      <c r="G997" t="s">
        <v>129</v>
      </c>
      <c r="H997" t="s">
        <v>130</v>
      </c>
      <c r="I997" t="s">
        <v>24</v>
      </c>
      <c r="J997">
        <v>2</v>
      </c>
      <c r="K997">
        <v>1400</v>
      </c>
      <c r="L997">
        <v>2800</v>
      </c>
    </row>
    <row r="998" spans="1:12" x14ac:dyDescent="0.3">
      <c r="A998">
        <v>10997</v>
      </c>
      <c r="B998" s="2">
        <v>45829</v>
      </c>
      <c r="C998" t="s">
        <v>135</v>
      </c>
      <c r="D998" t="s">
        <v>136</v>
      </c>
      <c r="E998" t="s">
        <v>137</v>
      </c>
      <c r="F998" t="s">
        <v>46</v>
      </c>
      <c r="G998" t="s">
        <v>41</v>
      </c>
      <c r="H998" t="s">
        <v>42</v>
      </c>
      <c r="I998" t="s">
        <v>37</v>
      </c>
      <c r="J998">
        <v>3</v>
      </c>
      <c r="K998">
        <v>30000</v>
      </c>
      <c r="L998">
        <v>90000</v>
      </c>
    </row>
    <row r="999" spans="1:12" x14ac:dyDescent="0.3">
      <c r="A999">
        <v>10998</v>
      </c>
      <c r="B999" s="2">
        <v>45867</v>
      </c>
      <c r="C999" t="s">
        <v>93</v>
      </c>
      <c r="D999" t="s">
        <v>94</v>
      </c>
      <c r="E999" t="s">
        <v>95</v>
      </c>
      <c r="F999" t="s">
        <v>15</v>
      </c>
      <c r="G999" t="s">
        <v>167</v>
      </c>
      <c r="H999" t="s">
        <v>168</v>
      </c>
      <c r="I999" t="s">
        <v>49</v>
      </c>
      <c r="J999">
        <v>1</v>
      </c>
      <c r="K999">
        <v>3800</v>
      </c>
      <c r="L999">
        <v>3800</v>
      </c>
    </row>
    <row r="1000" spans="1:12" x14ac:dyDescent="0.3">
      <c r="A1000">
        <v>10999</v>
      </c>
      <c r="B1000" s="2">
        <v>45681</v>
      </c>
      <c r="C1000" t="s">
        <v>236</v>
      </c>
      <c r="D1000" t="s">
        <v>237</v>
      </c>
      <c r="E1000" t="s">
        <v>201</v>
      </c>
      <c r="F1000" t="s">
        <v>28</v>
      </c>
      <c r="G1000" t="s">
        <v>70</v>
      </c>
      <c r="H1000" t="s">
        <v>71</v>
      </c>
      <c r="I1000" t="s">
        <v>37</v>
      </c>
      <c r="J1000">
        <v>1</v>
      </c>
      <c r="K1000">
        <v>2200</v>
      </c>
      <c r="L1000">
        <v>2200</v>
      </c>
    </row>
    <row r="1001" spans="1:12" x14ac:dyDescent="0.3">
      <c r="A1001">
        <v>11000</v>
      </c>
      <c r="B1001" s="2">
        <v>45929</v>
      </c>
      <c r="C1001" t="s">
        <v>82</v>
      </c>
      <c r="D1001" t="s">
        <v>83</v>
      </c>
      <c r="E1001" t="s">
        <v>84</v>
      </c>
      <c r="F1001" t="s">
        <v>46</v>
      </c>
      <c r="G1001" t="s">
        <v>113</v>
      </c>
      <c r="H1001" t="s">
        <v>114</v>
      </c>
      <c r="I1001" t="s">
        <v>37</v>
      </c>
      <c r="J1001">
        <v>1</v>
      </c>
      <c r="K1001">
        <v>52000</v>
      </c>
      <c r="L1001">
        <v>52000</v>
      </c>
    </row>
    <row r="1002" spans="1:12" x14ac:dyDescent="0.3">
      <c r="A1002">
        <v>11001</v>
      </c>
      <c r="B1002" s="2">
        <v>45872</v>
      </c>
      <c r="C1002" t="s">
        <v>50</v>
      </c>
      <c r="D1002" t="s">
        <v>51</v>
      </c>
      <c r="E1002" t="s">
        <v>14</v>
      </c>
      <c r="F1002" t="s">
        <v>15</v>
      </c>
      <c r="G1002" t="s">
        <v>96</v>
      </c>
      <c r="H1002" t="s">
        <v>97</v>
      </c>
      <c r="I1002" t="s">
        <v>37</v>
      </c>
      <c r="J1002">
        <v>2</v>
      </c>
      <c r="K1002">
        <v>18000</v>
      </c>
      <c r="L1002">
        <v>36000</v>
      </c>
    </row>
    <row r="1003" spans="1:12" x14ac:dyDescent="0.3">
      <c r="A1003">
        <v>11002</v>
      </c>
      <c r="B1003" s="2">
        <v>45776</v>
      </c>
      <c r="C1003" t="s">
        <v>25</v>
      </c>
      <c r="D1003" t="s">
        <v>26</v>
      </c>
      <c r="E1003" t="s">
        <v>27</v>
      </c>
      <c r="F1003" t="s">
        <v>28</v>
      </c>
      <c r="G1003" t="s">
        <v>65</v>
      </c>
      <c r="H1003" t="s">
        <v>66</v>
      </c>
      <c r="I1003" t="s">
        <v>49</v>
      </c>
      <c r="J1003">
        <v>1</v>
      </c>
      <c r="K1003">
        <v>2400</v>
      </c>
      <c r="L1003">
        <v>2400</v>
      </c>
    </row>
    <row r="1004" spans="1:12" x14ac:dyDescent="0.3">
      <c r="A1004">
        <v>11003</v>
      </c>
      <c r="B1004" s="2">
        <v>45767</v>
      </c>
      <c r="C1004" t="s">
        <v>210</v>
      </c>
      <c r="D1004" t="s">
        <v>211</v>
      </c>
      <c r="E1004" t="s">
        <v>40</v>
      </c>
      <c r="F1004" t="s">
        <v>15</v>
      </c>
      <c r="G1004" t="s">
        <v>96</v>
      </c>
      <c r="H1004" t="s">
        <v>97</v>
      </c>
      <c r="I1004" t="s">
        <v>37</v>
      </c>
      <c r="J1004">
        <v>2</v>
      </c>
      <c r="K1004">
        <v>18000</v>
      </c>
      <c r="L1004">
        <v>36000</v>
      </c>
    </row>
    <row r="1005" spans="1:12" x14ac:dyDescent="0.3">
      <c r="A1005">
        <v>11004</v>
      </c>
      <c r="B1005" s="2">
        <v>45699</v>
      </c>
      <c r="C1005" t="s">
        <v>173</v>
      </c>
      <c r="D1005" t="s">
        <v>174</v>
      </c>
      <c r="E1005" t="s">
        <v>137</v>
      </c>
      <c r="F1005" t="s">
        <v>46</v>
      </c>
      <c r="G1005" t="s">
        <v>29</v>
      </c>
      <c r="H1005" t="s">
        <v>30</v>
      </c>
      <c r="I1005" t="s">
        <v>18</v>
      </c>
      <c r="J1005">
        <v>1</v>
      </c>
      <c r="K1005">
        <v>15000</v>
      </c>
      <c r="L1005">
        <v>15000</v>
      </c>
    </row>
    <row r="1006" spans="1:12" x14ac:dyDescent="0.3">
      <c r="A1006">
        <v>11005</v>
      </c>
      <c r="B1006" s="2">
        <v>45691</v>
      </c>
      <c r="C1006" t="s">
        <v>156</v>
      </c>
      <c r="D1006" t="s">
        <v>157</v>
      </c>
      <c r="E1006" t="s">
        <v>95</v>
      </c>
      <c r="F1006" t="s">
        <v>15</v>
      </c>
      <c r="G1006" t="s">
        <v>113</v>
      </c>
      <c r="H1006" t="s">
        <v>114</v>
      </c>
      <c r="I1006" t="s">
        <v>37</v>
      </c>
      <c r="J1006">
        <v>1</v>
      </c>
      <c r="K1006">
        <v>52000</v>
      </c>
      <c r="L1006">
        <v>52000</v>
      </c>
    </row>
    <row r="1007" spans="1:12" x14ac:dyDescent="0.3">
      <c r="A1007">
        <v>11006</v>
      </c>
      <c r="B1007" s="2">
        <v>45968</v>
      </c>
      <c r="C1007" t="s">
        <v>67</v>
      </c>
      <c r="D1007" t="s">
        <v>68</v>
      </c>
      <c r="E1007" t="s">
        <v>69</v>
      </c>
      <c r="F1007" t="s">
        <v>28</v>
      </c>
      <c r="G1007" t="s">
        <v>125</v>
      </c>
      <c r="H1007" t="s">
        <v>126</v>
      </c>
      <c r="I1007" t="s">
        <v>37</v>
      </c>
      <c r="J1007">
        <v>3</v>
      </c>
      <c r="K1007">
        <v>22000</v>
      </c>
      <c r="L1007">
        <v>66000</v>
      </c>
    </row>
    <row r="1008" spans="1:12" x14ac:dyDescent="0.3">
      <c r="A1008">
        <v>11007</v>
      </c>
      <c r="B1008" s="2">
        <v>45856</v>
      </c>
      <c r="C1008" t="s">
        <v>165</v>
      </c>
      <c r="D1008" t="s">
        <v>166</v>
      </c>
      <c r="E1008" t="s">
        <v>69</v>
      </c>
      <c r="F1008" t="s">
        <v>28</v>
      </c>
      <c r="G1008" t="s">
        <v>16</v>
      </c>
      <c r="H1008" t="s">
        <v>17</v>
      </c>
      <c r="I1008" t="s">
        <v>18</v>
      </c>
      <c r="J1008">
        <v>2</v>
      </c>
      <c r="K1008">
        <v>11000</v>
      </c>
      <c r="L1008">
        <v>22000</v>
      </c>
    </row>
    <row r="1009" spans="1:12" x14ac:dyDescent="0.3">
      <c r="A1009">
        <v>11008</v>
      </c>
      <c r="B1009" s="2">
        <v>45838</v>
      </c>
      <c r="C1009" t="s">
        <v>154</v>
      </c>
      <c r="D1009" t="s">
        <v>155</v>
      </c>
      <c r="E1009" t="s">
        <v>74</v>
      </c>
      <c r="F1009" t="s">
        <v>28</v>
      </c>
      <c r="G1009" t="s">
        <v>60</v>
      </c>
      <c r="H1009" t="s">
        <v>61</v>
      </c>
      <c r="I1009" t="s">
        <v>18</v>
      </c>
      <c r="J1009">
        <v>1</v>
      </c>
      <c r="K1009">
        <v>2200</v>
      </c>
      <c r="L1009">
        <v>2200</v>
      </c>
    </row>
    <row r="1010" spans="1:12" x14ac:dyDescent="0.3">
      <c r="A1010">
        <v>11009</v>
      </c>
      <c r="B1010" s="2">
        <v>45771</v>
      </c>
      <c r="C1010" t="s">
        <v>107</v>
      </c>
      <c r="D1010" t="s">
        <v>108</v>
      </c>
      <c r="E1010" t="s">
        <v>74</v>
      </c>
      <c r="F1010" t="s">
        <v>28</v>
      </c>
      <c r="G1010" t="s">
        <v>163</v>
      </c>
      <c r="H1010" t="s">
        <v>164</v>
      </c>
      <c r="I1010" t="s">
        <v>49</v>
      </c>
      <c r="J1010">
        <v>1</v>
      </c>
      <c r="K1010">
        <v>4200</v>
      </c>
      <c r="L1010">
        <v>4200</v>
      </c>
    </row>
    <row r="1011" spans="1:12" x14ac:dyDescent="0.3">
      <c r="A1011">
        <v>11010</v>
      </c>
      <c r="B1011" s="2">
        <v>45913</v>
      </c>
      <c r="C1011" t="s">
        <v>87</v>
      </c>
      <c r="D1011" t="s">
        <v>88</v>
      </c>
      <c r="E1011" t="s">
        <v>64</v>
      </c>
      <c r="F1011" t="s">
        <v>46</v>
      </c>
      <c r="G1011" t="s">
        <v>52</v>
      </c>
      <c r="H1011" t="s">
        <v>53</v>
      </c>
      <c r="I1011" t="s">
        <v>24</v>
      </c>
      <c r="J1011">
        <v>2</v>
      </c>
      <c r="K1011">
        <v>3500</v>
      </c>
      <c r="L1011">
        <v>7000</v>
      </c>
    </row>
    <row r="1012" spans="1:12" x14ac:dyDescent="0.3">
      <c r="A1012">
        <v>11011</v>
      </c>
      <c r="B1012" s="2">
        <v>45936</v>
      </c>
      <c r="C1012" t="s">
        <v>31</v>
      </c>
      <c r="D1012" t="s">
        <v>32</v>
      </c>
      <c r="E1012" t="s">
        <v>33</v>
      </c>
      <c r="F1012" t="s">
        <v>34</v>
      </c>
      <c r="G1012" t="s">
        <v>144</v>
      </c>
      <c r="H1012" t="s">
        <v>145</v>
      </c>
      <c r="I1012" t="s">
        <v>37</v>
      </c>
      <c r="J1012">
        <v>1</v>
      </c>
      <c r="K1012">
        <v>65000</v>
      </c>
      <c r="L1012">
        <v>65000</v>
      </c>
    </row>
    <row r="1013" spans="1:12" x14ac:dyDescent="0.3">
      <c r="A1013">
        <v>11012</v>
      </c>
      <c r="B1013" s="2">
        <v>45702</v>
      </c>
      <c r="C1013" t="s">
        <v>123</v>
      </c>
      <c r="D1013" t="s">
        <v>124</v>
      </c>
      <c r="E1013" t="s">
        <v>69</v>
      </c>
      <c r="F1013" t="s">
        <v>28</v>
      </c>
      <c r="G1013" t="s">
        <v>96</v>
      </c>
      <c r="H1013" t="s">
        <v>97</v>
      </c>
      <c r="I1013" t="s">
        <v>37</v>
      </c>
      <c r="J1013">
        <v>1</v>
      </c>
      <c r="K1013">
        <v>18000</v>
      </c>
      <c r="L1013">
        <v>18000</v>
      </c>
    </row>
    <row r="1014" spans="1:12" x14ac:dyDescent="0.3">
      <c r="A1014">
        <v>11013</v>
      </c>
      <c r="B1014" s="2">
        <v>45768</v>
      </c>
      <c r="C1014" t="s">
        <v>148</v>
      </c>
      <c r="D1014" t="s">
        <v>149</v>
      </c>
      <c r="E1014" t="s">
        <v>14</v>
      </c>
      <c r="F1014" t="s">
        <v>15</v>
      </c>
      <c r="G1014" t="s">
        <v>96</v>
      </c>
      <c r="H1014" t="s">
        <v>97</v>
      </c>
      <c r="I1014" t="s">
        <v>37</v>
      </c>
      <c r="J1014">
        <v>3</v>
      </c>
      <c r="K1014">
        <v>18000</v>
      </c>
      <c r="L1014">
        <v>54000</v>
      </c>
    </row>
    <row r="1015" spans="1:12" x14ac:dyDescent="0.3">
      <c r="A1015">
        <v>11014</v>
      </c>
      <c r="B1015" s="2">
        <v>45684</v>
      </c>
      <c r="C1015" t="s">
        <v>224</v>
      </c>
      <c r="D1015" t="s">
        <v>225</v>
      </c>
      <c r="E1015" t="s">
        <v>201</v>
      </c>
      <c r="F1015" t="s">
        <v>28</v>
      </c>
      <c r="G1015" t="s">
        <v>131</v>
      </c>
      <c r="H1015" t="s">
        <v>132</v>
      </c>
      <c r="I1015" t="s">
        <v>37</v>
      </c>
      <c r="J1015">
        <v>2</v>
      </c>
      <c r="K1015">
        <v>4500</v>
      </c>
      <c r="L1015">
        <v>9000</v>
      </c>
    </row>
    <row r="1016" spans="1:12" x14ac:dyDescent="0.3">
      <c r="A1016">
        <v>11015</v>
      </c>
      <c r="B1016" s="2">
        <v>45725</v>
      </c>
      <c r="C1016" t="s">
        <v>91</v>
      </c>
      <c r="D1016" t="s">
        <v>92</v>
      </c>
      <c r="E1016" t="s">
        <v>40</v>
      </c>
      <c r="F1016" t="s">
        <v>15</v>
      </c>
      <c r="G1016" t="s">
        <v>103</v>
      </c>
      <c r="H1016" t="s">
        <v>104</v>
      </c>
      <c r="I1016" t="s">
        <v>37</v>
      </c>
      <c r="J1016">
        <v>1</v>
      </c>
      <c r="K1016">
        <v>28000</v>
      </c>
      <c r="L1016">
        <v>28000</v>
      </c>
    </row>
    <row r="1017" spans="1:12" x14ac:dyDescent="0.3">
      <c r="A1017">
        <v>11016</v>
      </c>
      <c r="B1017" s="2">
        <v>45920</v>
      </c>
      <c r="C1017" t="s">
        <v>50</v>
      </c>
      <c r="D1017" t="s">
        <v>51</v>
      </c>
      <c r="E1017" t="s">
        <v>14</v>
      </c>
      <c r="F1017" t="s">
        <v>15</v>
      </c>
      <c r="G1017" t="s">
        <v>96</v>
      </c>
      <c r="H1017" t="s">
        <v>97</v>
      </c>
      <c r="I1017" t="s">
        <v>37</v>
      </c>
      <c r="J1017">
        <v>3</v>
      </c>
      <c r="K1017">
        <v>18000</v>
      </c>
      <c r="L1017">
        <v>54000</v>
      </c>
    </row>
    <row r="1018" spans="1:12" x14ac:dyDescent="0.3">
      <c r="A1018">
        <v>11017</v>
      </c>
      <c r="B1018" s="2">
        <v>45846</v>
      </c>
      <c r="C1018" t="s">
        <v>214</v>
      </c>
      <c r="D1018" t="s">
        <v>215</v>
      </c>
      <c r="E1018" t="s">
        <v>137</v>
      </c>
      <c r="F1018" t="s">
        <v>46</v>
      </c>
      <c r="G1018" t="s">
        <v>47</v>
      </c>
      <c r="H1018" t="s">
        <v>48</v>
      </c>
      <c r="I1018" t="s">
        <v>49</v>
      </c>
      <c r="J1018">
        <v>1</v>
      </c>
      <c r="K1018">
        <v>1600</v>
      </c>
      <c r="L1018">
        <v>1600</v>
      </c>
    </row>
    <row r="1019" spans="1:12" x14ac:dyDescent="0.3">
      <c r="A1019">
        <v>11018</v>
      </c>
      <c r="B1019" s="2">
        <v>45763</v>
      </c>
      <c r="C1019" t="s">
        <v>146</v>
      </c>
      <c r="D1019" t="s">
        <v>147</v>
      </c>
      <c r="E1019" t="s">
        <v>64</v>
      </c>
      <c r="F1019" t="s">
        <v>46</v>
      </c>
      <c r="G1019" t="s">
        <v>35</v>
      </c>
      <c r="H1019" t="s">
        <v>36</v>
      </c>
      <c r="I1019" t="s">
        <v>37</v>
      </c>
      <c r="J1019">
        <v>1</v>
      </c>
      <c r="K1019">
        <v>12000</v>
      </c>
      <c r="L1019">
        <v>12000</v>
      </c>
    </row>
    <row r="1020" spans="1:12" x14ac:dyDescent="0.3">
      <c r="A1020">
        <v>11019</v>
      </c>
      <c r="B1020" s="2">
        <v>45668</v>
      </c>
      <c r="C1020" t="s">
        <v>193</v>
      </c>
      <c r="D1020" t="s">
        <v>194</v>
      </c>
      <c r="E1020" t="s">
        <v>102</v>
      </c>
      <c r="F1020" t="s">
        <v>34</v>
      </c>
      <c r="G1020" t="s">
        <v>163</v>
      </c>
      <c r="H1020" t="s">
        <v>164</v>
      </c>
      <c r="I1020" t="s">
        <v>49</v>
      </c>
      <c r="J1020">
        <v>2</v>
      </c>
      <c r="K1020">
        <v>4200</v>
      </c>
      <c r="L1020">
        <v>8400</v>
      </c>
    </row>
    <row r="1021" spans="1:12" x14ac:dyDescent="0.3">
      <c r="A1021">
        <v>11020</v>
      </c>
      <c r="B1021" s="2">
        <v>45965</v>
      </c>
      <c r="C1021" t="s">
        <v>133</v>
      </c>
      <c r="D1021" t="s">
        <v>134</v>
      </c>
      <c r="E1021" t="s">
        <v>33</v>
      </c>
      <c r="F1021" t="s">
        <v>34</v>
      </c>
      <c r="G1021" t="s">
        <v>144</v>
      </c>
      <c r="H1021" t="s">
        <v>145</v>
      </c>
      <c r="I1021" t="s">
        <v>37</v>
      </c>
      <c r="J1021">
        <v>3</v>
      </c>
      <c r="K1021">
        <v>65000</v>
      </c>
      <c r="L1021">
        <v>195000</v>
      </c>
    </row>
    <row r="1022" spans="1:12" x14ac:dyDescent="0.3">
      <c r="A1022">
        <v>11021</v>
      </c>
      <c r="B1022" s="2">
        <v>45805</v>
      </c>
      <c r="C1022" t="s">
        <v>80</v>
      </c>
      <c r="D1022" t="s">
        <v>81</v>
      </c>
      <c r="E1022" t="s">
        <v>79</v>
      </c>
      <c r="F1022" t="s">
        <v>34</v>
      </c>
      <c r="G1022" t="s">
        <v>131</v>
      </c>
      <c r="H1022" t="s">
        <v>132</v>
      </c>
      <c r="I1022" t="s">
        <v>37</v>
      </c>
      <c r="J1022">
        <v>3</v>
      </c>
      <c r="K1022">
        <v>4500</v>
      </c>
      <c r="L1022">
        <v>13500</v>
      </c>
    </row>
    <row r="1023" spans="1:12" x14ac:dyDescent="0.3">
      <c r="A1023">
        <v>11022</v>
      </c>
      <c r="B1023" s="2">
        <v>45801</v>
      </c>
      <c r="C1023" t="s">
        <v>43</v>
      </c>
      <c r="D1023" t="s">
        <v>44</v>
      </c>
      <c r="E1023" t="s">
        <v>45</v>
      </c>
      <c r="F1023" t="s">
        <v>46</v>
      </c>
      <c r="G1023" t="s">
        <v>152</v>
      </c>
      <c r="H1023" t="s">
        <v>153</v>
      </c>
      <c r="I1023" t="s">
        <v>49</v>
      </c>
      <c r="J1023">
        <v>1</v>
      </c>
      <c r="K1023">
        <v>3200</v>
      </c>
      <c r="L1023">
        <v>3200</v>
      </c>
    </row>
    <row r="1024" spans="1:12" x14ac:dyDescent="0.3">
      <c r="A1024">
        <v>11023</v>
      </c>
      <c r="B1024" s="2">
        <v>45804</v>
      </c>
      <c r="C1024" t="s">
        <v>236</v>
      </c>
      <c r="D1024" t="s">
        <v>237</v>
      </c>
      <c r="E1024" t="s">
        <v>201</v>
      </c>
      <c r="F1024" t="s">
        <v>28</v>
      </c>
      <c r="G1024" t="s">
        <v>16</v>
      </c>
      <c r="H1024" t="s">
        <v>17</v>
      </c>
      <c r="I1024" t="s">
        <v>18</v>
      </c>
      <c r="J1024">
        <v>1</v>
      </c>
      <c r="K1024">
        <v>11000</v>
      </c>
      <c r="L1024">
        <v>11000</v>
      </c>
    </row>
    <row r="1025" spans="1:12" x14ac:dyDescent="0.3">
      <c r="A1025">
        <v>11024</v>
      </c>
      <c r="B1025" s="2">
        <v>45819</v>
      </c>
      <c r="C1025" t="s">
        <v>220</v>
      </c>
      <c r="D1025" t="s">
        <v>221</v>
      </c>
      <c r="E1025" t="s">
        <v>102</v>
      </c>
      <c r="F1025" t="s">
        <v>34</v>
      </c>
      <c r="G1025" t="s">
        <v>98</v>
      </c>
      <c r="H1025" t="s">
        <v>99</v>
      </c>
      <c r="I1025" t="s">
        <v>24</v>
      </c>
      <c r="J1025">
        <v>3</v>
      </c>
      <c r="K1025">
        <v>2000</v>
      </c>
      <c r="L1025">
        <v>6000</v>
      </c>
    </row>
    <row r="1026" spans="1:12" x14ac:dyDescent="0.3">
      <c r="A1026">
        <v>11025</v>
      </c>
      <c r="B1026" s="2">
        <v>45817</v>
      </c>
      <c r="C1026" t="s">
        <v>138</v>
      </c>
      <c r="D1026" t="s">
        <v>139</v>
      </c>
      <c r="E1026" t="s">
        <v>79</v>
      </c>
      <c r="F1026" t="s">
        <v>34</v>
      </c>
      <c r="G1026" t="s">
        <v>152</v>
      </c>
      <c r="H1026" t="s">
        <v>153</v>
      </c>
      <c r="I1026" t="s">
        <v>49</v>
      </c>
      <c r="J1026">
        <v>1</v>
      </c>
      <c r="K1026">
        <v>3200</v>
      </c>
      <c r="L1026">
        <v>3200</v>
      </c>
    </row>
    <row r="1027" spans="1:12" x14ac:dyDescent="0.3">
      <c r="A1027">
        <v>11026</v>
      </c>
      <c r="B1027" s="2">
        <v>46018</v>
      </c>
      <c r="C1027" t="s">
        <v>175</v>
      </c>
      <c r="D1027" t="s">
        <v>176</v>
      </c>
      <c r="E1027" t="s">
        <v>84</v>
      </c>
      <c r="F1027" t="s">
        <v>46</v>
      </c>
      <c r="G1027" t="s">
        <v>177</v>
      </c>
      <c r="H1027" t="s">
        <v>178</v>
      </c>
      <c r="I1027" t="s">
        <v>37</v>
      </c>
      <c r="J1027">
        <v>2</v>
      </c>
      <c r="K1027">
        <v>2500</v>
      </c>
      <c r="L1027">
        <v>5000</v>
      </c>
    </row>
    <row r="1028" spans="1:12" x14ac:dyDescent="0.3">
      <c r="A1028">
        <v>11027</v>
      </c>
      <c r="B1028" s="2">
        <v>45705</v>
      </c>
      <c r="C1028" t="s">
        <v>161</v>
      </c>
      <c r="D1028" t="s">
        <v>162</v>
      </c>
      <c r="E1028" t="s">
        <v>33</v>
      </c>
      <c r="F1028" t="s">
        <v>34</v>
      </c>
      <c r="G1028" t="s">
        <v>144</v>
      </c>
      <c r="H1028" t="s">
        <v>145</v>
      </c>
      <c r="I1028" t="s">
        <v>37</v>
      </c>
      <c r="J1028">
        <v>1</v>
      </c>
      <c r="K1028">
        <v>65000</v>
      </c>
      <c r="L1028">
        <v>65000</v>
      </c>
    </row>
    <row r="1029" spans="1:12" x14ac:dyDescent="0.3">
      <c r="A1029">
        <v>11028</v>
      </c>
      <c r="B1029" s="2">
        <v>45840</v>
      </c>
      <c r="C1029" t="s">
        <v>127</v>
      </c>
      <c r="D1029" t="s">
        <v>128</v>
      </c>
      <c r="E1029" t="s">
        <v>102</v>
      </c>
      <c r="F1029" t="s">
        <v>34</v>
      </c>
      <c r="G1029" t="s">
        <v>125</v>
      </c>
      <c r="H1029" t="s">
        <v>126</v>
      </c>
      <c r="I1029" t="s">
        <v>37</v>
      </c>
      <c r="J1029">
        <v>1</v>
      </c>
      <c r="K1029">
        <v>22000</v>
      </c>
      <c r="L1029">
        <v>22000</v>
      </c>
    </row>
    <row r="1030" spans="1:12" x14ac:dyDescent="0.3">
      <c r="A1030">
        <v>11029</v>
      </c>
      <c r="B1030" s="2">
        <v>45972</v>
      </c>
      <c r="C1030" t="s">
        <v>105</v>
      </c>
      <c r="D1030" t="s">
        <v>106</v>
      </c>
      <c r="E1030" t="s">
        <v>45</v>
      </c>
      <c r="F1030" t="s">
        <v>46</v>
      </c>
      <c r="G1030" t="s">
        <v>163</v>
      </c>
      <c r="H1030" t="s">
        <v>164</v>
      </c>
      <c r="I1030" t="s">
        <v>49</v>
      </c>
      <c r="J1030">
        <v>2</v>
      </c>
      <c r="K1030">
        <v>4200</v>
      </c>
      <c r="L1030">
        <v>8400</v>
      </c>
    </row>
    <row r="1031" spans="1:12" x14ac:dyDescent="0.3">
      <c r="A1031">
        <v>11030</v>
      </c>
      <c r="B1031" s="2">
        <v>45768</v>
      </c>
      <c r="C1031" t="s">
        <v>12</v>
      </c>
      <c r="D1031" t="s">
        <v>13</v>
      </c>
      <c r="E1031" t="s">
        <v>14</v>
      </c>
      <c r="F1031" t="s">
        <v>15</v>
      </c>
      <c r="G1031" t="s">
        <v>60</v>
      </c>
      <c r="H1031" t="s">
        <v>61</v>
      </c>
      <c r="I1031" t="s">
        <v>18</v>
      </c>
      <c r="J1031">
        <v>2</v>
      </c>
      <c r="K1031">
        <v>2200</v>
      </c>
      <c r="L1031">
        <v>4400</v>
      </c>
    </row>
    <row r="1032" spans="1:12" x14ac:dyDescent="0.3">
      <c r="A1032">
        <v>11031</v>
      </c>
      <c r="B1032" s="2">
        <v>45782</v>
      </c>
      <c r="C1032" t="s">
        <v>146</v>
      </c>
      <c r="D1032" t="s">
        <v>147</v>
      </c>
      <c r="E1032" t="s">
        <v>64</v>
      </c>
      <c r="F1032" t="s">
        <v>46</v>
      </c>
      <c r="G1032" t="s">
        <v>121</v>
      </c>
      <c r="H1032" t="s">
        <v>122</v>
      </c>
      <c r="I1032" t="s">
        <v>49</v>
      </c>
      <c r="J1032">
        <v>2</v>
      </c>
      <c r="K1032">
        <v>4800</v>
      </c>
      <c r="L1032">
        <v>9600</v>
      </c>
    </row>
    <row r="1033" spans="1:12" x14ac:dyDescent="0.3">
      <c r="A1033">
        <v>11032</v>
      </c>
      <c r="B1033" s="2">
        <v>45941</v>
      </c>
      <c r="C1033" t="s">
        <v>193</v>
      </c>
      <c r="D1033" t="s">
        <v>194</v>
      </c>
      <c r="E1033" t="s">
        <v>102</v>
      </c>
      <c r="F1033" t="s">
        <v>34</v>
      </c>
      <c r="G1033" t="s">
        <v>109</v>
      </c>
      <c r="H1033" t="s">
        <v>110</v>
      </c>
      <c r="I1033" t="s">
        <v>18</v>
      </c>
      <c r="J1033">
        <v>2</v>
      </c>
      <c r="K1033">
        <v>5000</v>
      </c>
      <c r="L1033">
        <v>10000</v>
      </c>
    </row>
    <row r="1034" spans="1:12" x14ac:dyDescent="0.3">
      <c r="A1034">
        <v>11033</v>
      </c>
      <c r="B1034" s="2">
        <v>45731</v>
      </c>
      <c r="C1034" t="s">
        <v>148</v>
      </c>
      <c r="D1034" t="s">
        <v>149</v>
      </c>
      <c r="E1034" t="s">
        <v>14</v>
      </c>
      <c r="F1034" t="s">
        <v>15</v>
      </c>
      <c r="G1034" t="s">
        <v>129</v>
      </c>
      <c r="H1034" t="s">
        <v>130</v>
      </c>
      <c r="I1034" t="s">
        <v>24</v>
      </c>
      <c r="J1034">
        <v>2</v>
      </c>
      <c r="K1034">
        <v>1400</v>
      </c>
      <c r="L1034">
        <v>2800</v>
      </c>
    </row>
    <row r="1035" spans="1:12" x14ac:dyDescent="0.3">
      <c r="A1035">
        <v>11034</v>
      </c>
      <c r="B1035" s="2">
        <v>45883</v>
      </c>
      <c r="C1035" t="s">
        <v>62</v>
      </c>
      <c r="D1035" t="s">
        <v>63</v>
      </c>
      <c r="E1035" t="s">
        <v>64</v>
      </c>
      <c r="F1035" t="s">
        <v>46</v>
      </c>
      <c r="G1035" t="s">
        <v>129</v>
      </c>
      <c r="H1035" t="s">
        <v>130</v>
      </c>
      <c r="I1035" t="s">
        <v>24</v>
      </c>
      <c r="J1035">
        <v>4</v>
      </c>
      <c r="K1035">
        <v>1400</v>
      </c>
      <c r="L1035">
        <v>5600</v>
      </c>
    </row>
    <row r="1036" spans="1:12" x14ac:dyDescent="0.3">
      <c r="A1036">
        <v>11035</v>
      </c>
      <c r="B1036" s="2">
        <v>45929</v>
      </c>
      <c r="C1036" t="s">
        <v>119</v>
      </c>
      <c r="D1036" t="s">
        <v>120</v>
      </c>
      <c r="E1036" t="s">
        <v>27</v>
      </c>
      <c r="F1036" t="s">
        <v>28</v>
      </c>
      <c r="G1036" t="s">
        <v>29</v>
      </c>
      <c r="H1036" t="s">
        <v>30</v>
      </c>
      <c r="I1036" t="s">
        <v>18</v>
      </c>
      <c r="J1036">
        <v>1</v>
      </c>
      <c r="K1036">
        <v>15000</v>
      </c>
      <c r="L1036">
        <v>15000</v>
      </c>
    </row>
    <row r="1037" spans="1:12" x14ac:dyDescent="0.3">
      <c r="A1037">
        <v>11036</v>
      </c>
      <c r="B1037" s="2">
        <v>45686</v>
      </c>
      <c r="C1037" t="s">
        <v>105</v>
      </c>
      <c r="D1037" t="s">
        <v>106</v>
      </c>
      <c r="E1037" t="s">
        <v>45</v>
      </c>
      <c r="F1037" t="s">
        <v>46</v>
      </c>
      <c r="G1037" t="s">
        <v>16</v>
      </c>
      <c r="H1037" t="s">
        <v>17</v>
      </c>
      <c r="I1037" t="s">
        <v>18</v>
      </c>
      <c r="J1037">
        <v>2</v>
      </c>
      <c r="K1037">
        <v>11000</v>
      </c>
      <c r="L1037">
        <v>22000</v>
      </c>
    </row>
    <row r="1038" spans="1:12" x14ac:dyDescent="0.3">
      <c r="A1038">
        <v>11037</v>
      </c>
      <c r="B1038" s="2">
        <v>45813</v>
      </c>
      <c r="C1038" t="s">
        <v>117</v>
      </c>
      <c r="D1038" t="s">
        <v>118</v>
      </c>
      <c r="E1038" t="s">
        <v>95</v>
      </c>
      <c r="F1038" t="s">
        <v>15</v>
      </c>
      <c r="G1038" t="s">
        <v>109</v>
      </c>
      <c r="H1038" t="s">
        <v>110</v>
      </c>
      <c r="I1038" t="s">
        <v>18</v>
      </c>
      <c r="J1038">
        <v>1</v>
      </c>
      <c r="K1038">
        <v>5000</v>
      </c>
      <c r="L1038">
        <v>5000</v>
      </c>
    </row>
    <row r="1039" spans="1:12" x14ac:dyDescent="0.3">
      <c r="A1039">
        <v>11038</v>
      </c>
      <c r="B1039" s="2">
        <v>45709</v>
      </c>
      <c r="C1039" t="s">
        <v>195</v>
      </c>
      <c r="D1039" t="s">
        <v>196</v>
      </c>
      <c r="E1039" t="s">
        <v>102</v>
      </c>
      <c r="F1039" t="s">
        <v>34</v>
      </c>
      <c r="G1039" t="s">
        <v>177</v>
      </c>
      <c r="H1039" t="s">
        <v>178</v>
      </c>
      <c r="I1039" t="s">
        <v>37</v>
      </c>
      <c r="J1039">
        <v>1</v>
      </c>
      <c r="K1039">
        <v>2500</v>
      </c>
      <c r="L1039">
        <v>2500</v>
      </c>
    </row>
    <row r="1040" spans="1:12" x14ac:dyDescent="0.3">
      <c r="A1040">
        <v>11039</v>
      </c>
      <c r="B1040" s="2">
        <v>45801</v>
      </c>
      <c r="C1040" t="s">
        <v>91</v>
      </c>
      <c r="D1040" t="s">
        <v>92</v>
      </c>
      <c r="E1040" t="s">
        <v>40</v>
      </c>
      <c r="F1040" t="s">
        <v>15</v>
      </c>
      <c r="G1040" t="s">
        <v>70</v>
      </c>
      <c r="H1040" t="s">
        <v>71</v>
      </c>
      <c r="I1040" t="s">
        <v>37</v>
      </c>
      <c r="J1040">
        <v>3</v>
      </c>
      <c r="K1040">
        <v>2200</v>
      </c>
      <c r="L1040">
        <v>6600</v>
      </c>
    </row>
    <row r="1041" spans="1:12" x14ac:dyDescent="0.3">
      <c r="A1041">
        <v>11040</v>
      </c>
      <c r="B1041" s="2">
        <v>45749</v>
      </c>
      <c r="C1041" t="s">
        <v>218</v>
      </c>
      <c r="D1041" t="s">
        <v>219</v>
      </c>
      <c r="E1041" t="s">
        <v>160</v>
      </c>
      <c r="F1041" t="s">
        <v>34</v>
      </c>
      <c r="G1041" t="s">
        <v>96</v>
      </c>
      <c r="H1041" t="s">
        <v>97</v>
      </c>
      <c r="I1041" t="s">
        <v>37</v>
      </c>
      <c r="J1041">
        <v>2</v>
      </c>
      <c r="K1041">
        <v>18000</v>
      </c>
      <c r="L1041">
        <v>36000</v>
      </c>
    </row>
    <row r="1042" spans="1:12" x14ac:dyDescent="0.3">
      <c r="A1042">
        <v>11041</v>
      </c>
      <c r="B1042" s="2">
        <v>46018</v>
      </c>
      <c r="C1042" t="s">
        <v>117</v>
      </c>
      <c r="D1042" t="s">
        <v>118</v>
      </c>
      <c r="E1042" t="s">
        <v>95</v>
      </c>
      <c r="F1042" t="s">
        <v>15</v>
      </c>
      <c r="G1042" t="s">
        <v>52</v>
      </c>
      <c r="H1042" t="s">
        <v>53</v>
      </c>
      <c r="I1042" t="s">
        <v>24</v>
      </c>
      <c r="J1042">
        <v>1</v>
      </c>
      <c r="K1042">
        <v>3500</v>
      </c>
      <c r="L1042">
        <v>3500</v>
      </c>
    </row>
    <row r="1043" spans="1:12" x14ac:dyDescent="0.3">
      <c r="A1043">
        <v>11042</v>
      </c>
      <c r="B1043" s="2">
        <v>46007</v>
      </c>
      <c r="C1043" t="s">
        <v>232</v>
      </c>
      <c r="D1043" t="s">
        <v>233</v>
      </c>
      <c r="E1043" t="s">
        <v>79</v>
      </c>
      <c r="F1043" t="s">
        <v>34</v>
      </c>
      <c r="G1043" t="s">
        <v>29</v>
      </c>
      <c r="H1043" t="s">
        <v>30</v>
      </c>
      <c r="I1043" t="s">
        <v>18</v>
      </c>
      <c r="J1043">
        <v>1</v>
      </c>
      <c r="K1043">
        <v>15000</v>
      </c>
      <c r="L1043">
        <v>15000</v>
      </c>
    </row>
    <row r="1044" spans="1:12" x14ac:dyDescent="0.3">
      <c r="A1044">
        <v>11043</v>
      </c>
      <c r="B1044" s="2">
        <v>45899</v>
      </c>
      <c r="C1044" t="s">
        <v>244</v>
      </c>
      <c r="D1044" t="s">
        <v>245</v>
      </c>
      <c r="E1044" t="s">
        <v>45</v>
      </c>
      <c r="F1044" t="s">
        <v>46</v>
      </c>
      <c r="G1044" t="s">
        <v>52</v>
      </c>
      <c r="H1044" t="s">
        <v>53</v>
      </c>
      <c r="I1044" t="s">
        <v>24</v>
      </c>
      <c r="J1044">
        <v>1</v>
      </c>
      <c r="K1044">
        <v>3500</v>
      </c>
      <c r="L1044">
        <v>3500</v>
      </c>
    </row>
    <row r="1045" spans="1:12" x14ac:dyDescent="0.3">
      <c r="A1045">
        <v>11044</v>
      </c>
      <c r="B1045" s="2">
        <v>45949</v>
      </c>
      <c r="C1045" t="s">
        <v>50</v>
      </c>
      <c r="D1045" t="s">
        <v>51</v>
      </c>
      <c r="E1045" t="s">
        <v>14</v>
      </c>
      <c r="F1045" t="s">
        <v>15</v>
      </c>
      <c r="G1045" t="s">
        <v>75</v>
      </c>
      <c r="H1045" t="s">
        <v>76</v>
      </c>
      <c r="I1045" t="s">
        <v>49</v>
      </c>
      <c r="J1045">
        <v>4</v>
      </c>
      <c r="K1045">
        <v>3000</v>
      </c>
      <c r="L1045">
        <v>12000</v>
      </c>
    </row>
    <row r="1046" spans="1:12" x14ac:dyDescent="0.3">
      <c r="A1046">
        <v>11045</v>
      </c>
      <c r="B1046" s="2">
        <v>45872</v>
      </c>
      <c r="C1046" t="s">
        <v>191</v>
      </c>
      <c r="D1046" t="s">
        <v>192</v>
      </c>
      <c r="E1046" t="s">
        <v>27</v>
      </c>
      <c r="F1046" t="s">
        <v>28</v>
      </c>
      <c r="G1046" t="s">
        <v>125</v>
      </c>
      <c r="H1046" t="s">
        <v>126</v>
      </c>
      <c r="I1046" t="s">
        <v>37</v>
      </c>
      <c r="J1046">
        <v>2</v>
      </c>
      <c r="K1046">
        <v>22000</v>
      </c>
      <c r="L1046">
        <v>44000</v>
      </c>
    </row>
    <row r="1047" spans="1:12" x14ac:dyDescent="0.3">
      <c r="A1047">
        <v>11046</v>
      </c>
      <c r="B1047" s="2">
        <v>45934</v>
      </c>
      <c r="C1047" t="s">
        <v>232</v>
      </c>
      <c r="D1047" t="s">
        <v>233</v>
      </c>
      <c r="E1047" t="s">
        <v>79</v>
      </c>
      <c r="F1047" t="s">
        <v>34</v>
      </c>
      <c r="G1047" t="s">
        <v>47</v>
      </c>
      <c r="H1047" t="s">
        <v>48</v>
      </c>
      <c r="I1047" t="s">
        <v>49</v>
      </c>
      <c r="J1047">
        <v>2</v>
      </c>
      <c r="K1047">
        <v>1600</v>
      </c>
      <c r="L1047">
        <v>3200</v>
      </c>
    </row>
    <row r="1048" spans="1:12" x14ac:dyDescent="0.3">
      <c r="A1048">
        <v>11047</v>
      </c>
      <c r="B1048" s="2">
        <v>45899</v>
      </c>
      <c r="C1048" t="s">
        <v>50</v>
      </c>
      <c r="D1048" t="s">
        <v>51</v>
      </c>
      <c r="E1048" t="s">
        <v>14</v>
      </c>
      <c r="F1048" t="s">
        <v>15</v>
      </c>
      <c r="G1048" t="s">
        <v>56</v>
      </c>
      <c r="H1048" t="s">
        <v>57</v>
      </c>
      <c r="I1048" t="s">
        <v>18</v>
      </c>
      <c r="J1048">
        <v>2</v>
      </c>
      <c r="K1048">
        <v>9000</v>
      </c>
      <c r="L1048">
        <v>18000</v>
      </c>
    </row>
    <row r="1049" spans="1:12" x14ac:dyDescent="0.3">
      <c r="A1049">
        <v>11048</v>
      </c>
      <c r="B1049" s="2">
        <v>45892</v>
      </c>
      <c r="C1049" t="s">
        <v>133</v>
      </c>
      <c r="D1049" t="s">
        <v>134</v>
      </c>
      <c r="E1049" t="s">
        <v>33</v>
      </c>
      <c r="F1049" t="s">
        <v>34</v>
      </c>
      <c r="G1049" t="s">
        <v>35</v>
      </c>
      <c r="H1049" t="s">
        <v>36</v>
      </c>
      <c r="I1049" t="s">
        <v>37</v>
      </c>
      <c r="J1049">
        <v>1</v>
      </c>
      <c r="K1049">
        <v>12000</v>
      </c>
      <c r="L1049">
        <v>12000</v>
      </c>
    </row>
    <row r="1050" spans="1:12" x14ac:dyDescent="0.3">
      <c r="A1050">
        <v>11049</v>
      </c>
      <c r="B1050" s="2">
        <v>46019</v>
      </c>
      <c r="C1050" t="s">
        <v>43</v>
      </c>
      <c r="D1050" t="s">
        <v>44</v>
      </c>
      <c r="E1050" t="s">
        <v>45</v>
      </c>
      <c r="F1050" t="s">
        <v>46</v>
      </c>
      <c r="G1050" t="s">
        <v>103</v>
      </c>
      <c r="H1050" t="s">
        <v>104</v>
      </c>
      <c r="I1050" t="s">
        <v>37</v>
      </c>
      <c r="J1050">
        <v>3</v>
      </c>
      <c r="K1050">
        <v>28000</v>
      </c>
      <c r="L1050">
        <v>84000</v>
      </c>
    </row>
    <row r="1051" spans="1:12" x14ac:dyDescent="0.3">
      <c r="A1051">
        <v>11050</v>
      </c>
      <c r="B1051" s="2">
        <v>45769</v>
      </c>
      <c r="C1051" t="s">
        <v>232</v>
      </c>
      <c r="D1051" t="s">
        <v>233</v>
      </c>
      <c r="E1051" t="s">
        <v>79</v>
      </c>
      <c r="F1051" t="s">
        <v>34</v>
      </c>
      <c r="G1051" t="s">
        <v>35</v>
      </c>
      <c r="H1051" t="s">
        <v>36</v>
      </c>
      <c r="I1051" t="s">
        <v>37</v>
      </c>
      <c r="J1051">
        <v>1</v>
      </c>
      <c r="K1051">
        <v>12000</v>
      </c>
      <c r="L1051">
        <v>12000</v>
      </c>
    </row>
    <row r="1052" spans="1:12" x14ac:dyDescent="0.3">
      <c r="A1052">
        <v>11051</v>
      </c>
      <c r="B1052" s="2">
        <v>46008</v>
      </c>
      <c r="C1052" t="s">
        <v>43</v>
      </c>
      <c r="D1052" t="s">
        <v>44</v>
      </c>
      <c r="E1052" t="s">
        <v>45</v>
      </c>
      <c r="F1052" t="s">
        <v>46</v>
      </c>
      <c r="G1052" t="s">
        <v>70</v>
      </c>
      <c r="H1052" t="s">
        <v>71</v>
      </c>
      <c r="I1052" t="s">
        <v>37</v>
      </c>
      <c r="J1052">
        <v>3</v>
      </c>
      <c r="K1052">
        <v>2200</v>
      </c>
      <c r="L1052">
        <v>6600</v>
      </c>
    </row>
    <row r="1053" spans="1:12" x14ac:dyDescent="0.3">
      <c r="A1053">
        <v>11052</v>
      </c>
      <c r="B1053" s="2">
        <v>45725</v>
      </c>
      <c r="C1053" t="s">
        <v>105</v>
      </c>
      <c r="D1053" t="s">
        <v>106</v>
      </c>
      <c r="E1053" t="s">
        <v>45</v>
      </c>
      <c r="F1053" t="s">
        <v>46</v>
      </c>
      <c r="G1053" t="s">
        <v>103</v>
      </c>
      <c r="H1053" t="s">
        <v>104</v>
      </c>
      <c r="I1053" t="s">
        <v>37</v>
      </c>
      <c r="J1053">
        <v>1</v>
      </c>
      <c r="K1053">
        <v>28000</v>
      </c>
      <c r="L1053">
        <v>28000</v>
      </c>
    </row>
    <row r="1054" spans="1:12" x14ac:dyDescent="0.3">
      <c r="A1054">
        <v>11053</v>
      </c>
      <c r="B1054" s="2">
        <v>45885</v>
      </c>
      <c r="C1054" t="s">
        <v>193</v>
      </c>
      <c r="D1054" t="s">
        <v>194</v>
      </c>
      <c r="E1054" t="s">
        <v>102</v>
      </c>
      <c r="F1054" t="s">
        <v>34</v>
      </c>
      <c r="G1054" t="s">
        <v>16</v>
      </c>
      <c r="H1054" t="s">
        <v>17</v>
      </c>
      <c r="I1054" t="s">
        <v>18</v>
      </c>
      <c r="J1054">
        <v>2</v>
      </c>
      <c r="K1054">
        <v>11000</v>
      </c>
      <c r="L1054">
        <v>22000</v>
      </c>
    </row>
    <row r="1055" spans="1:12" x14ac:dyDescent="0.3">
      <c r="A1055">
        <v>11054</v>
      </c>
      <c r="B1055" s="2">
        <v>45847</v>
      </c>
      <c r="C1055" t="s">
        <v>206</v>
      </c>
      <c r="D1055" t="s">
        <v>207</v>
      </c>
      <c r="E1055" t="s">
        <v>160</v>
      </c>
      <c r="F1055" t="s">
        <v>34</v>
      </c>
      <c r="G1055" t="s">
        <v>179</v>
      </c>
      <c r="H1055" t="s">
        <v>180</v>
      </c>
      <c r="I1055" t="s">
        <v>18</v>
      </c>
      <c r="J1055">
        <v>2</v>
      </c>
      <c r="K1055">
        <v>6500</v>
      </c>
      <c r="L1055">
        <v>13000</v>
      </c>
    </row>
    <row r="1056" spans="1:12" x14ac:dyDescent="0.3">
      <c r="A1056">
        <v>11055</v>
      </c>
      <c r="B1056" s="2">
        <v>45741</v>
      </c>
      <c r="C1056" t="s">
        <v>93</v>
      </c>
      <c r="D1056" t="s">
        <v>94</v>
      </c>
      <c r="E1056" t="s">
        <v>95</v>
      </c>
      <c r="F1056" t="s">
        <v>15</v>
      </c>
      <c r="G1056" t="s">
        <v>65</v>
      </c>
      <c r="H1056" t="s">
        <v>66</v>
      </c>
      <c r="I1056" t="s">
        <v>49</v>
      </c>
      <c r="J1056">
        <v>2</v>
      </c>
      <c r="K1056">
        <v>2400</v>
      </c>
      <c r="L1056">
        <v>4800</v>
      </c>
    </row>
    <row r="1057" spans="1:12" x14ac:dyDescent="0.3">
      <c r="A1057">
        <v>11056</v>
      </c>
      <c r="B1057" s="2">
        <v>45726</v>
      </c>
      <c r="C1057" t="s">
        <v>232</v>
      </c>
      <c r="D1057" t="s">
        <v>233</v>
      </c>
      <c r="E1057" t="s">
        <v>79</v>
      </c>
      <c r="F1057" t="s">
        <v>34</v>
      </c>
      <c r="G1057" t="s">
        <v>65</v>
      </c>
      <c r="H1057" t="s">
        <v>66</v>
      </c>
      <c r="I1057" t="s">
        <v>49</v>
      </c>
      <c r="J1057">
        <v>1</v>
      </c>
      <c r="K1057">
        <v>2400</v>
      </c>
      <c r="L1057">
        <v>2400</v>
      </c>
    </row>
    <row r="1058" spans="1:12" x14ac:dyDescent="0.3">
      <c r="A1058">
        <v>11057</v>
      </c>
      <c r="B1058" s="2">
        <v>45913</v>
      </c>
      <c r="C1058" t="s">
        <v>214</v>
      </c>
      <c r="D1058" t="s">
        <v>215</v>
      </c>
      <c r="E1058" t="s">
        <v>137</v>
      </c>
      <c r="F1058" t="s">
        <v>46</v>
      </c>
      <c r="G1058" t="s">
        <v>152</v>
      </c>
      <c r="H1058" t="s">
        <v>153</v>
      </c>
      <c r="I1058" t="s">
        <v>49</v>
      </c>
      <c r="J1058">
        <v>3</v>
      </c>
      <c r="K1058">
        <v>3200</v>
      </c>
      <c r="L1058">
        <v>9600</v>
      </c>
    </row>
    <row r="1059" spans="1:12" x14ac:dyDescent="0.3">
      <c r="A1059">
        <v>11058</v>
      </c>
      <c r="B1059" s="2">
        <v>45848</v>
      </c>
      <c r="C1059" t="s">
        <v>171</v>
      </c>
      <c r="D1059" t="s">
        <v>172</v>
      </c>
      <c r="E1059" t="s">
        <v>45</v>
      </c>
      <c r="F1059" t="s">
        <v>46</v>
      </c>
      <c r="G1059" t="s">
        <v>41</v>
      </c>
      <c r="H1059" t="s">
        <v>42</v>
      </c>
      <c r="I1059" t="s">
        <v>37</v>
      </c>
      <c r="J1059">
        <v>2</v>
      </c>
      <c r="K1059">
        <v>30000</v>
      </c>
      <c r="L1059">
        <v>60000</v>
      </c>
    </row>
    <row r="1060" spans="1:12" x14ac:dyDescent="0.3">
      <c r="A1060">
        <v>11059</v>
      </c>
      <c r="B1060" s="2">
        <v>45959</v>
      </c>
      <c r="C1060" t="s">
        <v>117</v>
      </c>
      <c r="D1060" t="s">
        <v>118</v>
      </c>
      <c r="E1060" t="s">
        <v>95</v>
      </c>
      <c r="F1060" t="s">
        <v>15</v>
      </c>
      <c r="G1060" t="s">
        <v>167</v>
      </c>
      <c r="H1060" t="s">
        <v>168</v>
      </c>
      <c r="I1060" t="s">
        <v>49</v>
      </c>
      <c r="J1060">
        <v>1</v>
      </c>
      <c r="K1060">
        <v>3800</v>
      </c>
      <c r="L1060">
        <v>3800</v>
      </c>
    </row>
    <row r="1061" spans="1:12" x14ac:dyDescent="0.3">
      <c r="A1061">
        <v>11060</v>
      </c>
      <c r="B1061" s="2">
        <v>45821</v>
      </c>
      <c r="C1061" t="s">
        <v>222</v>
      </c>
      <c r="D1061" t="s">
        <v>223</v>
      </c>
      <c r="E1061" t="s">
        <v>21</v>
      </c>
      <c r="F1061" t="s">
        <v>15</v>
      </c>
      <c r="G1061" t="s">
        <v>103</v>
      </c>
      <c r="H1061" t="s">
        <v>104</v>
      </c>
      <c r="I1061" t="s">
        <v>37</v>
      </c>
      <c r="J1061">
        <v>1</v>
      </c>
      <c r="K1061">
        <v>28000</v>
      </c>
      <c r="L1061">
        <v>28000</v>
      </c>
    </row>
    <row r="1062" spans="1:12" x14ac:dyDescent="0.3">
      <c r="A1062">
        <v>11061</v>
      </c>
      <c r="B1062" s="2">
        <v>45803</v>
      </c>
      <c r="C1062" t="s">
        <v>85</v>
      </c>
      <c r="D1062" t="s">
        <v>86</v>
      </c>
      <c r="E1062" t="s">
        <v>45</v>
      </c>
      <c r="F1062" t="s">
        <v>46</v>
      </c>
      <c r="G1062" t="s">
        <v>60</v>
      </c>
      <c r="H1062" t="s">
        <v>61</v>
      </c>
      <c r="I1062" t="s">
        <v>18</v>
      </c>
      <c r="J1062">
        <v>1</v>
      </c>
      <c r="K1062">
        <v>2200</v>
      </c>
      <c r="L1062">
        <v>2200</v>
      </c>
    </row>
    <row r="1063" spans="1:12" x14ac:dyDescent="0.3">
      <c r="A1063">
        <v>11062</v>
      </c>
      <c r="B1063" s="2">
        <v>45983</v>
      </c>
      <c r="C1063" t="s">
        <v>183</v>
      </c>
      <c r="D1063" t="s">
        <v>184</v>
      </c>
      <c r="E1063" t="s">
        <v>27</v>
      </c>
      <c r="F1063" t="s">
        <v>28</v>
      </c>
      <c r="G1063" t="s">
        <v>177</v>
      </c>
      <c r="H1063" t="s">
        <v>178</v>
      </c>
      <c r="I1063" t="s">
        <v>37</v>
      </c>
      <c r="J1063">
        <v>2</v>
      </c>
      <c r="K1063">
        <v>2500</v>
      </c>
      <c r="L1063">
        <v>5000</v>
      </c>
    </row>
    <row r="1064" spans="1:12" x14ac:dyDescent="0.3">
      <c r="A1064">
        <v>11063</v>
      </c>
      <c r="B1064" s="2">
        <v>45757</v>
      </c>
      <c r="C1064" t="s">
        <v>146</v>
      </c>
      <c r="D1064" t="s">
        <v>147</v>
      </c>
      <c r="E1064" t="s">
        <v>64</v>
      </c>
      <c r="F1064" t="s">
        <v>46</v>
      </c>
      <c r="G1064" t="s">
        <v>56</v>
      </c>
      <c r="H1064" t="s">
        <v>57</v>
      </c>
      <c r="I1064" t="s">
        <v>18</v>
      </c>
      <c r="J1064">
        <v>2</v>
      </c>
      <c r="K1064">
        <v>9000</v>
      </c>
      <c r="L1064">
        <v>18000</v>
      </c>
    </row>
    <row r="1065" spans="1:12" x14ac:dyDescent="0.3">
      <c r="A1065">
        <v>11064</v>
      </c>
      <c r="B1065" s="2">
        <v>45943</v>
      </c>
      <c r="C1065" t="s">
        <v>115</v>
      </c>
      <c r="D1065" t="s">
        <v>116</v>
      </c>
      <c r="E1065" t="s">
        <v>33</v>
      </c>
      <c r="F1065" t="s">
        <v>34</v>
      </c>
      <c r="G1065" t="s">
        <v>121</v>
      </c>
      <c r="H1065" t="s">
        <v>122</v>
      </c>
      <c r="I1065" t="s">
        <v>49</v>
      </c>
      <c r="J1065">
        <v>1</v>
      </c>
      <c r="K1065">
        <v>4800</v>
      </c>
      <c r="L1065">
        <v>4800</v>
      </c>
    </row>
    <row r="1066" spans="1:12" x14ac:dyDescent="0.3">
      <c r="A1066">
        <v>11065</v>
      </c>
      <c r="B1066" s="2">
        <v>45981</v>
      </c>
      <c r="C1066" t="s">
        <v>197</v>
      </c>
      <c r="D1066" t="s">
        <v>198</v>
      </c>
      <c r="E1066" t="s">
        <v>95</v>
      </c>
      <c r="F1066" t="s">
        <v>15</v>
      </c>
      <c r="G1066" t="s">
        <v>29</v>
      </c>
      <c r="H1066" t="s">
        <v>30</v>
      </c>
      <c r="I1066" t="s">
        <v>18</v>
      </c>
      <c r="J1066">
        <v>5</v>
      </c>
      <c r="K1066">
        <v>15000</v>
      </c>
      <c r="L1066">
        <v>75000</v>
      </c>
    </row>
    <row r="1067" spans="1:12" x14ac:dyDescent="0.3">
      <c r="A1067">
        <v>11066</v>
      </c>
      <c r="B1067" s="2">
        <v>45959</v>
      </c>
      <c r="C1067" t="s">
        <v>43</v>
      </c>
      <c r="D1067" t="s">
        <v>44</v>
      </c>
      <c r="E1067" t="s">
        <v>45</v>
      </c>
      <c r="F1067" t="s">
        <v>46</v>
      </c>
      <c r="G1067" t="s">
        <v>89</v>
      </c>
      <c r="H1067" t="s">
        <v>90</v>
      </c>
      <c r="I1067" t="s">
        <v>18</v>
      </c>
      <c r="J1067">
        <v>1</v>
      </c>
      <c r="K1067">
        <v>4200</v>
      </c>
      <c r="L1067">
        <v>4200</v>
      </c>
    </row>
    <row r="1068" spans="1:12" x14ac:dyDescent="0.3">
      <c r="A1068">
        <v>11067</v>
      </c>
      <c r="B1068" s="2">
        <v>45721</v>
      </c>
      <c r="C1068" t="s">
        <v>119</v>
      </c>
      <c r="D1068" t="s">
        <v>120</v>
      </c>
      <c r="E1068" t="s">
        <v>27</v>
      </c>
      <c r="F1068" t="s">
        <v>28</v>
      </c>
      <c r="G1068" t="s">
        <v>35</v>
      </c>
      <c r="H1068" t="s">
        <v>36</v>
      </c>
      <c r="I1068" t="s">
        <v>37</v>
      </c>
      <c r="J1068">
        <v>1</v>
      </c>
      <c r="K1068">
        <v>12000</v>
      </c>
      <c r="L1068">
        <v>12000</v>
      </c>
    </row>
    <row r="1069" spans="1:12" x14ac:dyDescent="0.3">
      <c r="A1069">
        <v>11068</v>
      </c>
      <c r="B1069" s="2">
        <v>45899</v>
      </c>
      <c r="C1069" t="s">
        <v>115</v>
      </c>
      <c r="D1069" t="s">
        <v>116</v>
      </c>
      <c r="E1069" t="s">
        <v>33</v>
      </c>
      <c r="F1069" t="s">
        <v>34</v>
      </c>
      <c r="G1069" t="s">
        <v>89</v>
      </c>
      <c r="H1069" t="s">
        <v>90</v>
      </c>
      <c r="I1069" t="s">
        <v>18</v>
      </c>
      <c r="J1069">
        <v>2</v>
      </c>
      <c r="K1069">
        <v>4200</v>
      </c>
      <c r="L1069">
        <v>8400</v>
      </c>
    </row>
    <row r="1070" spans="1:12" x14ac:dyDescent="0.3">
      <c r="A1070">
        <v>11069</v>
      </c>
      <c r="B1070" s="2">
        <v>45861</v>
      </c>
      <c r="C1070" t="s">
        <v>115</v>
      </c>
      <c r="D1070" t="s">
        <v>116</v>
      </c>
      <c r="E1070" t="s">
        <v>33</v>
      </c>
      <c r="F1070" t="s">
        <v>34</v>
      </c>
      <c r="G1070" t="s">
        <v>121</v>
      </c>
      <c r="H1070" t="s">
        <v>122</v>
      </c>
      <c r="I1070" t="s">
        <v>49</v>
      </c>
      <c r="J1070">
        <v>1</v>
      </c>
      <c r="K1070">
        <v>4800</v>
      </c>
      <c r="L1070">
        <v>4800</v>
      </c>
    </row>
    <row r="1071" spans="1:12" x14ac:dyDescent="0.3">
      <c r="A1071">
        <v>11070</v>
      </c>
      <c r="B1071" s="2">
        <v>45752</v>
      </c>
      <c r="C1071" t="s">
        <v>146</v>
      </c>
      <c r="D1071" t="s">
        <v>147</v>
      </c>
      <c r="E1071" t="s">
        <v>64</v>
      </c>
      <c r="F1071" t="s">
        <v>46</v>
      </c>
      <c r="G1071" t="s">
        <v>70</v>
      </c>
      <c r="H1071" t="s">
        <v>71</v>
      </c>
      <c r="I1071" t="s">
        <v>37</v>
      </c>
      <c r="J1071">
        <v>3</v>
      </c>
      <c r="K1071">
        <v>2200</v>
      </c>
      <c r="L1071">
        <v>6600</v>
      </c>
    </row>
    <row r="1072" spans="1:12" x14ac:dyDescent="0.3">
      <c r="A1072">
        <v>11071</v>
      </c>
      <c r="B1072" s="2">
        <v>45818</v>
      </c>
      <c r="C1072" t="s">
        <v>236</v>
      </c>
      <c r="D1072" t="s">
        <v>237</v>
      </c>
      <c r="E1072" t="s">
        <v>201</v>
      </c>
      <c r="F1072" t="s">
        <v>28</v>
      </c>
      <c r="G1072" t="s">
        <v>167</v>
      </c>
      <c r="H1072" t="s">
        <v>168</v>
      </c>
      <c r="I1072" t="s">
        <v>49</v>
      </c>
      <c r="J1072">
        <v>1</v>
      </c>
      <c r="K1072">
        <v>3800</v>
      </c>
      <c r="L1072">
        <v>3800</v>
      </c>
    </row>
    <row r="1073" spans="1:12" x14ac:dyDescent="0.3">
      <c r="A1073">
        <v>11072</v>
      </c>
      <c r="B1073" s="2">
        <v>45738</v>
      </c>
      <c r="C1073" t="s">
        <v>224</v>
      </c>
      <c r="D1073" t="s">
        <v>225</v>
      </c>
      <c r="E1073" t="s">
        <v>201</v>
      </c>
      <c r="F1073" t="s">
        <v>28</v>
      </c>
      <c r="G1073" t="s">
        <v>47</v>
      </c>
      <c r="H1073" t="s">
        <v>48</v>
      </c>
      <c r="I1073" t="s">
        <v>49</v>
      </c>
      <c r="J1073">
        <v>1</v>
      </c>
      <c r="K1073">
        <v>1600</v>
      </c>
      <c r="L1073">
        <v>1600</v>
      </c>
    </row>
    <row r="1074" spans="1:12" x14ac:dyDescent="0.3">
      <c r="A1074">
        <v>11073</v>
      </c>
      <c r="B1074" s="2">
        <v>45727</v>
      </c>
      <c r="C1074" t="s">
        <v>150</v>
      </c>
      <c r="D1074" t="s">
        <v>151</v>
      </c>
      <c r="E1074" t="s">
        <v>84</v>
      </c>
      <c r="F1074" t="s">
        <v>46</v>
      </c>
      <c r="G1074" t="s">
        <v>125</v>
      </c>
      <c r="H1074" t="s">
        <v>126</v>
      </c>
      <c r="I1074" t="s">
        <v>37</v>
      </c>
      <c r="J1074">
        <v>1</v>
      </c>
      <c r="K1074">
        <v>22000</v>
      </c>
      <c r="L1074">
        <v>22000</v>
      </c>
    </row>
    <row r="1075" spans="1:12" x14ac:dyDescent="0.3">
      <c r="A1075">
        <v>11074</v>
      </c>
      <c r="B1075" s="2">
        <v>45888</v>
      </c>
      <c r="C1075" t="s">
        <v>85</v>
      </c>
      <c r="D1075" t="s">
        <v>86</v>
      </c>
      <c r="E1075" t="s">
        <v>45</v>
      </c>
      <c r="F1075" t="s">
        <v>46</v>
      </c>
      <c r="G1075" t="s">
        <v>56</v>
      </c>
      <c r="H1075" t="s">
        <v>57</v>
      </c>
      <c r="I1075" t="s">
        <v>18</v>
      </c>
      <c r="J1075">
        <v>3</v>
      </c>
      <c r="K1075">
        <v>9000</v>
      </c>
      <c r="L1075">
        <v>27000</v>
      </c>
    </row>
    <row r="1076" spans="1:12" x14ac:dyDescent="0.3">
      <c r="A1076">
        <v>11075</v>
      </c>
      <c r="B1076" s="2">
        <v>45885</v>
      </c>
      <c r="C1076" t="s">
        <v>173</v>
      </c>
      <c r="D1076" t="s">
        <v>174</v>
      </c>
      <c r="E1076" t="s">
        <v>137</v>
      </c>
      <c r="F1076" t="s">
        <v>46</v>
      </c>
      <c r="G1076" t="s">
        <v>96</v>
      </c>
      <c r="H1076" t="s">
        <v>97</v>
      </c>
      <c r="I1076" t="s">
        <v>37</v>
      </c>
      <c r="J1076">
        <v>2</v>
      </c>
      <c r="K1076">
        <v>18000</v>
      </c>
      <c r="L1076">
        <v>36000</v>
      </c>
    </row>
    <row r="1077" spans="1:12" x14ac:dyDescent="0.3">
      <c r="A1077">
        <v>11076</v>
      </c>
      <c r="B1077" s="2">
        <v>45722</v>
      </c>
      <c r="C1077" t="s">
        <v>185</v>
      </c>
      <c r="D1077" t="s">
        <v>186</v>
      </c>
      <c r="E1077" t="s">
        <v>14</v>
      </c>
      <c r="F1077" t="s">
        <v>15</v>
      </c>
      <c r="G1077" t="s">
        <v>103</v>
      </c>
      <c r="H1077" t="s">
        <v>104</v>
      </c>
      <c r="I1077" t="s">
        <v>37</v>
      </c>
      <c r="J1077">
        <v>3</v>
      </c>
      <c r="K1077">
        <v>28000</v>
      </c>
      <c r="L1077">
        <v>84000</v>
      </c>
    </row>
    <row r="1078" spans="1:12" x14ac:dyDescent="0.3">
      <c r="A1078">
        <v>11077</v>
      </c>
      <c r="B1078" s="2">
        <v>45731</v>
      </c>
      <c r="C1078" t="s">
        <v>107</v>
      </c>
      <c r="D1078" t="s">
        <v>108</v>
      </c>
      <c r="E1078" t="s">
        <v>74</v>
      </c>
      <c r="F1078" t="s">
        <v>28</v>
      </c>
      <c r="G1078" t="s">
        <v>167</v>
      </c>
      <c r="H1078" t="s">
        <v>168</v>
      </c>
      <c r="I1078" t="s">
        <v>49</v>
      </c>
      <c r="J1078">
        <v>1</v>
      </c>
      <c r="K1078">
        <v>3800</v>
      </c>
      <c r="L1078">
        <v>3800</v>
      </c>
    </row>
    <row r="1079" spans="1:12" x14ac:dyDescent="0.3">
      <c r="A1079">
        <v>11078</v>
      </c>
      <c r="B1079" s="2">
        <v>45734</v>
      </c>
      <c r="C1079" t="s">
        <v>91</v>
      </c>
      <c r="D1079" t="s">
        <v>92</v>
      </c>
      <c r="E1079" t="s">
        <v>40</v>
      </c>
      <c r="F1079" t="s">
        <v>15</v>
      </c>
      <c r="G1079" t="s">
        <v>35</v>
      </c>
      <c r="H1079" t="s">
        <v>36</v>
      </c>
      <c r="I1079" t="s">
        <v>37</v>
      </c>
      <c r="J1079">
        <v>1</v>
      </c>
      <c r="K1079">
        <v>12000</v>
      </c>
      <c r="L1079">
        <v>12000</v>
      </c>
    </row>
    <row r="1080" spans="1:12" x14ac:dyDescent="0.3">
      <c r="A1080">
        <v>11079</v>
      </c>
      <c r="B1080" s="2">
        <v>45757</v>
      </c>
      <c r="C1080" t="s">
        <v>72</v>
      </c>
      <c r="D1080" t="s">
        <v>73</v>
      </c>
      <c r="E1080" t="s">
        <v>74</v>
      </c>
      <c r="F1080" t="s">
        <v>28</v>
      </c>
      <c r="G1080" t="s">
        <v>144</v>
      </c>
      <c r="H1080" t="s">
        <v>145</v>
      </c>
      <c r="I1080" t="s">
        <v>37</v>
      </c>
      <c r="J1080">
        <v>1</v>
      </c>
      <c r="K1080">
        <v>65000</v>
      </c>
      <c r="L1080">
        <v>65000</v>
      </c>
    </row>
    <row r="1081" spans="1:12" x14ac:dyDescent="0.3">
      <c r="A1081">
        <v>11080</v>
      </c>
      <c r="B1081" s="2">
        <v>45908</v>
      </c>
      <c r="C1081" t="s">
        <v>38</v>
      </c>
      <c r="D1081" t="s">
        <v>39</v>
      </c>
      <c r="E1081" t="s">
        <v>40</v>
      </c>
      <c r="F1081" t="s">
        <v>15</v>
      </c>
      <c r="G1081" t="s">
        <v>98</v>
      </c>
      <c r="H1081" t="s">
        <v>99</v>
      </c>
      <c r="I1081" t="s">
        <v>24</v>
      </c>
      <c r="J1081">
        <v>1</v>
      </c>
      <c r="K1081">
        <v>2000</v>
      </c>
      <c r="L1081">
        <v>2000</v>
      </c>
    </row>
    <row r="1082" spans="1:12" x14ac:dyDescent="0.3">
      <c r="A1082">
        <v>11081</v>
      </c>
      <c r="B1082" s="2">
        <v>45844</v>
      </c>
      <c r="C1082" t="s">
        <v>212</v>
      </c>
      <c r="D1082" t="s">
        <v>213</v>
      </c>
      <c r="E1082" t="s">
        <v>69</v>
      </c>
      <c r="F1082" t="s">
        <v>28</v>
      </c>
      <c r="G1082" t="s">
        <v>56</v>
      </c>
      <c r="H1082" t="s">
        <v>57</v>
      </c>
      <c r="I1082" t="s">
        <v>18</v>
      </c>
      <c r="J1082">
        <v>1</v>
      </c>
      <c r="K1082">
        <v>9000</v>
      </c>
      <c r="L1082">
        <v>9000</v>
      </c>
    </row>
    <row r="1083" spans="1:12" x14ac:dyDescent="0.3">
      <c r="A1083">
        <v>11082</v>
      </c>
      <c r="B1083" s="2">
        <v>45905</v>
      </c>
      <c r="C1083" t="s">
        <v>91</v>
      </c>
      <c r="D1083" t="s">
        <v>92</v>
      </c>
      <c r="E1083" t="s">
        <v>40</v>
      </c>
      <c r="F1083" t="s">
        <v>15</v>
      </c>
      <c r="G1083" t="s">
        <v>152</v>
      </c>
      <c r="H1083" t="s">
        <v>153</v>
      </c>
      <c r="I1083" t="s">
        <v>49</v>
      </c>
      <c r="J1083">
        <v>1</v>
      </c>
      <c r="K1083">
        <v>3200</v>
      </c>
      <c r="L1083">
        <v>3200</v>
      </c>
    </row>
    <row r="1084" spans="1:12" x14ac:dyDescent="0.3">
      <c r="A1084">
        <v>11083</v>
      </c>
      <c r="B1084" s="2">
        <v>45786</v>
      </c>
      <c r="C1084" t="s">
        <v>146</v>
      </c>
      <c r="D1084" t="s">
        <v>147</v>
      </c>
      <c r="E1084" t="s">
        <v>64</v>
      </c>
      <c r="F1084" t="s">
        <v>46</v>
      </c>
      <c r="G1084" t="s">
        <v>89</v>
      </c>
      <c r="H1084" t="s">
        <v>90</v>
      </c>
      <c r="I1084" t="s">
        <v>18</v>
      </c>
      <c r="J1084">
        <v>1</v>
      </c>
      <c r="K1084">
        <v>4200</v>
      </c>
      <c r="L1084">
        <v>4200</v>
      </c>
    </row>
    <row r="1085" spans="1:12" x14ac:dyDescent="0.3">
      <c r="A1085">
        <v>11084</v>
      </c>
      <c r="B1085" s="2">
        <v>45816</v>
      </c>
      <c r="C1085" t="s">
        <v>146</v>
      </c>
      <c r="D1085" t="s">
        <v>147</v>
      </c>
      <c r="E1085" t="s">
        <v>64</v>
      </c>
      <c r="F1085" t="s">
        <v>46</v>
      </c>
      <c r="G1085" t="s">
        <v>113</v>
      </c>
      <c r="H1085" t="s">
        <v>114</v>
      </c>
      <c r="I1085" t="s">
        <v>37</v>
      </c>
      <c r="J1085">
        <v>2</v>
      </c>
      <c r="K1085">
        <v>52000</v>
      </c>
      <c r="L1085">
        <v>104000</v>
      </c>
    </row>
    <row r="1086" spans="1:12" x14ac:dyDescent="0.3">
      <c r="A1086">
        <v>11085</v>
      </c>
      <c r="B1086" s="2">
        <v>46002</v>
      </c>
      <c r="C1086" t="s">
        <v>127</v>
      </c>
      <c r="D1086" t="s">
        <v>128</v>
      </c>
      <c r="E1086" t="s">
        <v>102</v>
      </c>
      <c r="F1086" t="s">
        <v>34</v>
      </c>
      <c r="G1086" t="s">
        <v>187</v>
      </c>
      <c r="H1086" t="s">
        <v>188</v>
      </c>
      <c r="I1086" t="s">
        <v>24</v>
      </c>
      <c r="J1086">
        <v>1</v>
      </c>
      <c r="K1086">
        <v>5500</v>
      </c>
      <c r="L1086">
        <v>5500</v>
      </c>
    </row>
    <row r="1087" spans="1:12" x14ac:dyDescent="0.3">
      <c r="A1087">
        <v>11086</v>
      </c>
      <c r="B1087" s="2">
        <v>45717</v>
      </c>
      <c r="C1087" t="s">
        <v>100</v>
      </c>
      <c r="D1087" t="s">
        <v>101</v>
      </c>
      <c r="E1087" t="s">
        <v>102</v>
      </c>
      <c r="F1087" t="s">
        <v>34</v>
      </c>
      <c r="G1087" t="s">
        <v>152</v>
      </c>
      <c r="H1087" t="s">
        <v>153</v>
      </c>
      <c r="I1087" t="s">
        <v>49</v>
      </c>
      <c r="J1087">
        <v>3</v>
      </c>
      <c r="K1087">
        <v>3200</v>
      </c>
      <c r="L1087">
        <v>9600</v>
      </c>
    </row>
    <row r="1088" spans="1:12" x14ac:dyDescent="0.3">
      <c r="A1088">
        <v>11087</v>
      </c>
      <c r="B1088" s="2">
        <v>45671</v>
      </c>
      <c r="C1088" t="s">
        <v>58</v>
      </c>
      <c r="D1088" t="s">
        <v>59</v>
      </c>
      <c r="E1088" t="s">
        <v>21</v>
      </c>
      <c r="F1088" t="s">
        <v>15</v>
      </c>
      <c r="G1088" t="s">
        <v>129</v>
      </c>
      <c r="H1088" t="s">
        <v>130</v>
      </c>
      <c r="I1088" t="s">
        <v>24</v>
      </c>
      <c r="J1088">
        <v>2</v>
      </c>
      <c r="K1088">
        <v>1400</v>
      </c>
      <c r="L1088">
        <v>2800</v>
      </c>
    </row>
    <row r="1089" spans="1:12" x14ac:dyDescent="0.3">
      <c r="A1089">
        <v>11088</v>
      </c>
      <c r="B1089" s="2">
        <v>45720</v>
      </c>
      <c r="C1089" t="s">
        <v>193</v>
      </c>
      <c r="D1089" t="s">
        <v>194</v>
      </c>
      <c r="E1089" t="s">
        <v>102</v>
      </c>
      <c r="F1089" t="s">
        <v>34</v>
      </c>
      <c r="G1089" t="s">
        <v>109</v>
      </c>
      <c r="H1089" t="s">
        <v>110</v>
      </c>
      <c r="I1089" t="s">
        <v>18</v>
      </c>
      <c r="J1089">
        <v>1</v>
      </c>
      <c r="K1089">
        <v>5000</v>
      </c>
      <c r="L1089">
        <v>5000</v>
      </c>
    </row>
    <row r="1090" spans="1:12" x14ac:dyDescent="0.3">
      <c r="A1090">
        <v>11089</v>
      </c>
      <c r="B1090" s="2">
        <v>45869</v>
      </c>
      <c r="C1090" t="s">
        <v>133</v>
      </c>
      <c r="D1090" t="s">
        <v>134</v>
      </c>
      <c r="E1090" t="s">
        <v>33</v>
      </c>
      <c r="F1090" t="s">
        <v>34</v>
      </c>
      <c r="G1090" t="s">
        <v>131</v>
      </c>
      <c r="H1090" t="s">
        <v>132</v>
      </c>
      <c r="I1090" t="s">
        <v>37</v>
      </c>
      <c r="J1090">
        <v>4</v>
      </c>
      <c r="K1090">
        <v>4500</v>
      </c>
      <c r="L1090">
        <v>18000</v>
      </c>
    </row>
    <row r="1091" spans="1:12" x14ac:dyDescent="0.3">
      <c r="A1091">
        <v>11090</v>
      </c>
      <c r="B1091" s="2">
        <v>45762</v>
      </c>
      <c r="C1091" t="s">
        <v>72</v>
      </c>
      <c r="D1091" t="s">
        <v>73</v>
      </c>
      <c r="E1091" t="s">
        <v>74</v>
      </c>
      <c r="F1091" t="s">
        <v>28</v>
      </c>
      <c r="G1091" t="s">
        <v>96</v>
      </c>
      <c r="H1091" t="s">
        <v>97</v>
      </c>
      <c r="I1091" t="s">
        <v>37</v>
      </c>
      <c r="J1091">
        <v>1</v>
      </c>
      <c r="K1091">
        <v>18000</v>
      </c>
      <c r="L1091">
        <v>18000</v>
      </c>
    </row>
    <row r="1092" spans="1:12" x14ac:dyDescent="0.3">
      <c r="A1092">
        <v>11091</v>
      </c>
      <c r="B1092" s="2">
        <v>45746</v>
      </c>
      <c r="C1092" t="s">
        <v>82</v>
      </c>
      <c r="D1092" t="s">
        <v>83</v>
      </c>
      <c r="E1092" t="s">
        <v>84</v>
      </c>
      <c r="F1092" t="s">
        <v>46</v>
      </c>
      <c r="G1092" t="s">
        <v>109</v>
      </c>
      <c r="H1092" t="s">
        <v>110</v>
      </c>
      <c r="I1092" t="s">
        <v>18</v>
      </c>
      <c r="J1092">
        <v>2</v>
      </c>
      <c r="K1092">
        <v>5000</v>
      </c>
      <c r="L1092">
        <v>10000</v>
      </c>
    </row>
    <row r="1093" spans="1:12" x14ac:dyDescent="0.3">
      <c r="A1093">
        <v>11092</v>
      </c>
      <c r="B1093" s="2">
        <v>45922</v>
      </c>
      <c r="C1093" t="s">
        <v>146</v>
      </c>
      <c r="D1093" t="s">
        <v>147</v>
      </c>
      <c r="E1093" t="s">
        <v>64</v>
      </c>
      <c r="F1093" t="s">
        <v>46</v>
      </c>
      <c r="G1093" t="s">
        <v>16</v>
      </c>
      <c r="H1093" t="s">
        <v>17</v>
      </c>
      <c r="I1093" t="s">
        <v>18</v>
      </c>
      <c r="J1093">
        <v>1</v>
      </c>
      <c r="K1093">
        <v>11000</v>
      </c>
      <c r="L1093">
        <v>11000</v>
      </c>
    </row>
    <row r="1094" spans="1:12" x14ac:dyDescent="0.3">
      <c r="A1094">
        <v>11093</v>
      </c>
      <c r="B1094" s="2">
        <v>45767</v>
      </c>
      <c r="C1094" t="s">
        <v>91</v>
      </c>
      <c r="D1094" t="s">
        <v>92</v>
      </c>
      <c r="E1094" t="s">
        <v>40</v>
      </c>
      <c r="F1094" t="s">
        <v>15</v>
      </c>
      <c r="G1094" t="s">
        <v>65</v>
      </c>
      <c r="H1094" t="s">
        <v>66</v>
      </c>
      <c r="I1094" t="s">
        <v>49</v>
      </c>
      <c r="J1094">
        <v>2</v>
      </c>
      <c r="K1094">
        <v>2400</v>
      </c>
      <c r="L1094">
        <v>4800</v>
      </c>
    </row>
    <row r="1095" spans="1:12" x14ac:dyDescent="0.3">
      <c r="A1095">
        <v>11094</v>
      </c>
      <c r="B1095" s="2">
        <v>45909</v>
      </c>
      <c r="C1095" t="s">
        <v>80</v>
      </c>
      <c r="D1095" t="s">
        <v>81</v>
      </c>
      <c r="E1095" t="s">
        <v>79</v>
      </c>
      <c r="F1095" t="s">
        <v>34</v>
      </c>
      <c r="G1095" t="s">
        <v>47</v>
      </c>
      <c r="H1095" t="s">
        <v>48</v>
      </c>
      <c r="I1095" t="s">
        <v>49</v>
      </c>
      <c r="J1095">
        <v>1</v>
      </c>
      <c r="K1095">
        <v>1600</v>
      </c>
      <c r="L1095">
        <v>1600</v>
      </c>
    </row>
    <row r="1096" spans="1:12" x14ac:dyDescent="0.3">
      <c r="A1096">
        <v>11095</v>
      </c>
      <c r="B1096" s="2">
        <v>45891</v>
      </c>
      <c r="C1096" t="s">
        <v>123</v>
      </c>
      <c r="D1096" t="s">
        <v>124</v>
      </c>
      <c r="E1096" t="s">
        <v>69</v>
      </c>
      <c r="F1096" t="s">
        <v>28</v>
      </c>
      <c r="G1096" t="s">
        <v>70</v>
      </c>
      <c r="H1096" t="s">
        <v>71</v>
      </c>
      <c r="I1096" t="s">
        <v>37</v>
      </c>
      <c r="J1096">
        <v>3</v>
      </c>
      <c r="K1096">
        <v>2200</v>
      </c>
      <c r="L1096">
        <v>6600</v>
      </c>
    </row>
    <row r="1097" spans="1:12" x14ac:dyDescent="0.3">
      <c r="A1097">
        <v>11096</v>
      </c>
      <c r="B1097" s="2">
        <v>46019</v>
      </c>
      <c r="C1097" t="s">
        <v>19</v>
      </c>
      <c r="D1097" t="s">
        <v>20</v>
      </c>
      <c r="E1097" t="s">
        <v>21</v>
      </c>
      <c r="F1097" t="s">
        <v>15</v>
      </c>
      <c r="G1097" t="s">
        <v>35</v>
      </c>
      <c r="H1097" t="s">
        <v>36</v>
      </c>
      <c r="I1097" t="s">
        <v>37</v>
      </c>
      <c r="J1097">
        <v>4</v>
      </c>
      <c r="K1097">
        <v>12000</v>
      </c>
      <c r="L1097">
        <v>48000</v>
      </c>
    </row>
    <row r="1098" spans="1:12" x14ac:dyDescent="0.3">
      <c r="A1098">
        <v>11097</v>
      </c>
      <c r="B1098" s="2">
        <v>45768</v>
      </c>
      <c r="C1098" t="s">
        <v>123</v>
      </c>
      <c r="D1098" t="s">
        <v>124</v>
      </c>
      <c r="E1098" t="s">
        <v>69</v>
      </c>
      <c r="F1098" t="s">
        <v>28</v>
      </c>
      <c r="G1098" t="s">
        <v>22</v>
      </c>
      <c r="H1098" t="s">
        <v>23</v>
      </c>
      <c r="I1098" t="s">
        <v>24</v>
      </c>
      <c r="J1098">
        <v>1</v>
      </c>
      <c r="K1098">
        <v>2400</v>
      </c>
      <c r="L1098">
        <v>2400</v>
      </c>
    </row>
    <row r="1099" spans="1:12" x14ac:dyDescent="0.3">
      <c r="A1099">
        <v>11098</v>
      </c>
      <c r="B1099" s="2">
        <v>45730</v>
      </c>
      <c r="C1099" t="s">
        <v>19</v>
      </c>
      <c r="D1099" t="s">
        <v>20</v>
      </c>
      <c r="E1099" t="s">
        <v>21</v>
      </c>
      <c r="F1099" t="s">
        <v>15</v>
      </c>
      <c r="G1099" t="s">
        <v>16</v>
      </c>
      <c r="H1099" t="s">
        <v>17</v>
      </c>
      <c r="I1099" t="s">
        <v>18</v>
      </c>
      <c r="J1099">
        <v>1</v>
      </c>
      <c r="K1099">
        <v>11000</v>
      </c>
      <c r="L1099">
        <v>11000</v>
      </c>
    </row>
    <row r="1100" spans="1:12" x14ac:dyDescent="0.3">
      <c r="A1100">
        <v>11099</v>
      </c>
      <c r="B1100" s="2">
        <v>45727</v>
      </c>
      <c r="C1100" t="s">
        <v>123</v>
      </c>
      <c r="D1100" t="s">
        <v>124</v>
      </c>
      <c r="E1100" t="s">
        <v>69</v>
      </c>
      <c r="F1100" t="s">
        <v>28</v>
      </c>
      <c r="G1100" t="s">
        <v>52</v>
      </c>
      <c r="H1100" t="s">
        <v>53</v>
      </c>
      <c r="I1100" t="s">
        <v>24</v>
      </c>
      <c r="J1100">
        <v>3</v>
      </c>
      <c r="K1100">
        <v>3500</v>
      </c>
      <c r="L1100">
        <v>10500</v>
      </c>
    </row>
    <row r="1101" spans="1:12" x14ac:dyDescent="0.3">
      <c r="A1101">
        <v>11100</v>
      </c>
      <c r="B1101" s="2">
        <v>45662</v>
      </c>
      <c r="C1101" t="s">
        <v>197</v>
      </c>
      <c r="D1101" t="s">
        <v>198</v>
      </c>
      <c r="E1101" t="s">
        <v>95</v>
      </c>
      <c r="F1101" t="s">
        <v>15</v>
      </c>
      <c r="G1101" t="s">
        <v>41</v>
      </c>
      <c r="H1101" t="s">
        <v>42</v>
      </c>
      <c r="I1101" t="s">
        <v>37</v>
      </c>
      <c r="J1101">
        <v>1</v>
      </c>
      <c r="K1101">
        <v>30000</v>
      </c>
      <c r="L1101">
        <v>30000</v>
      </c>
    </row>
    <row r="1102" spans="1:12" x14ac:dyDescent="0.3">
      <c r="A1102">
        <v>11101</v>
      </c>
      <c r="B1102" s="2">
        <v>45684</v>
      </c>
      <c r="C1102" t="s">
        <v>50</v>
      </c>
      <c r="D1102" t="s">
        <v>51</v>
      </c>
      <c r="E1102" t="s">
        <v>14</v>
      </c>
      <c r="F1102" t="s">
        <v>15</v>
      </c>
      <c r="G1102" t="s">
        <v>16</v>
      </c>
      <c r="H1102" t="s">
        <v>17</v>
      </c>
      <c r="I1102" t="s">
        <v>18</v>
      </c>
      <c r="J1102">
        <v>1</v>
      </c>
      <c r="K1102">
        <v>11000</v>
      </c>
      <c r="L1102">
        <v>11000</v>
      </c>
    </row>
    <row r="1103" spans="1:12" x14ac:dyDescent="0.3">
      <c r="A1103">
        <v>11102</v>
      </c>
      <c r="B1103" s="2">
        <v>45778</v>
      </c>
      <c r="C1103" t="s">
        <v>232</v>
      </c>
      <c r="D1103" t="s">
        <v>233</v>
      </c>
      <c r="E1103" t="s">
        <v>79</v>
      </c>
      <c r="F1103" t="s">
        <v>34</v>
      </c>
      <c r="G1103" t="s">
        <v>70</v>
      </c>
      <c r="H1103" t="s">
        <v>71</v>
      </c>
      <c r="I1103" t="s">
        <v>37</v>
      </c>
      <c r="J1103">
        <v>1</v>
      </c>
      <c r="K1103">
        <v>2200</v>
      </c>
      <c r="L1103">
        <v>2200</v>
      </c>
    </row>
    <row r="1104" spans="1:12" x14ac:dyDescent="0.3">
      <c r="A1104">
        <v>11103</v>
      </c>
      <c r="B1104" s="2">
        <v>45664</v>
      </c>
      <c r="C1104" t="s">
        <v>105</v>
      </c>
      <c r="D1104" t="s">
        <v>106</v>
      </c>
      <c r="E1104" t="s">
        <v>45</v>
      </c>
      <c r="F1104" t="s">
        <v>46</v>
      </c>
      <c r="G1104" t="s">
        <v>144</v>
      </c>
      <c r="H1104" t="s">
        <v>145</v>
      </c>
      <c r="I1104" t="s">
        <v>37</v>
      </c>
      <c r="J1104">
        <v>1</v>
      </c>
      <c r="K1104">
        <v>65000</v>
      </c>
      <c r="L1104">
        <v>65000</v>
      </c>
    </row>
    <row r="1105" spans="1:12" x14ac:dyDescent="0.3">
      <c r="A1105">
        <v>11104</v>
      </c>
      <c r="B1105" s="2">
        <v>45996</v>
      </c>
      <c r="C1105" t="s">
        <v>224</v>
      </c>
      <c r="D1105" t="s">
        <v>225</v>
      </c>
      <c r="E1105" t="s">
        <v>201</v>
      </c>
      <c r="F1105" t="s">
        <v>28</v>
      </c>
      <c r="G1105" t="s">
        <v>65</v>
      </c>
      <c r="H1105" t="s">
        <v>66</v>
      </c>
      <c r="I1105" t="s">
        <v>49</v>
      </c>
      <c r="J1105">
        <v>1</v>
      </c>
      <c r="K1105">
        <v>2400</v>
      </c>
      <c r="L1105">
        <v>2400</v>
      </c>
    </row>
    <row r="1106" spans="1:12" x14ac:dyDescent="0.3">
      <c r="A1106">
        <v>11105</v>
      </c>
      <c r="B1106" s="2">
        <v>45661</v>
      </c>
      <c r="C1106" t="s">
        <v>19</v>
      </c>
      <c r="D1106" t="s">
        <v>20</v>
      </c>
      <c r="E1106" t="s">
        <v>21</v>
      </c>
      <c r="F1106" t="s">
        <v>15</v>
      </c>
      <c r="G1106" t="s">
        <v>144</v>
      </c>
      <c r="H1106" t="s">
        <v>145</v>
      </c>
      <c r="I1106" t="s">
        <v>37</v>
      </c>
      <c r="J1106">
        <v>1</v>
      </c>
      <c r="K1106">
        <v>65000</v>
      </c>
      <c r="L1106">
        <v>65000</v>
      </c>
    </row>
    <row r="1107" spans="1:12" x14ac:dyDescent="0.3">
      <c r="A1107">
        <v>11106</v>
      </c>
      <c r="B1107" s="2">
        <v>45945</v>
      </c>
      <c r="C1107" t="s">
        <v>100</v>
      </c>
      <c r="D1107" t="s">
        <v>101</v>
      </c>
      <c r="E1107" t="s">
        <v>102</v>
      </c>
      <c r="F1107" t="s">
        <v>34</v>
      </c>
      <c r="G1107" t="s">
        <v>47</v>
      </c>
      <c r="H1107" t="s">
        <v>48</v>
      </c>
      <c r="I1107" t="s">
        <v>49</v>
      </c>
      <c r="J1107">
        <v>1</v>
      </c>
      <c r="K1107">
        <v>1600</v>
      </c>
      <c r="L1107">
        <v>1600</v>
      </c>
    </row>
    <row r="1108" spans="1:12" x14ac:dyDescent="0.3">
      <c r="A1108">
        <v>11107</v>
      </c>
      <c r="B1108" s="2">
        <v>45809</v>
      </c>
      <c r="C1108" t="s">
        <v>173</v>
      </c>
      <c r="D1108" t="s">
        <v>174</v>
      </c>
      <c r="E1108" t="s">
        <v>137</v>
      </c>
      <c r="F1108" t="s">
        <v>46</v>
      </c>
      <c r="G1108" t="s">
        <v>16</v>
      </c>
      <c r="H1108" t="s">
        <v>17</v>
      </c>
      <c r="I1108" t="s">
        <v>18</v>
      </c>
      <c r="J1108">
        <v>1</v>
      </c>
      <c r="K1108">
        <v>11000</v>
      </c>
      <c r="L1108">
        <v>11000</v>
      </c>
    </row>
    <row r="1109" spans="1:12" x14ac:dyDescent="0.3">
      <c r="A1109">
        <v>11108</v>
      </c>
      <c r="B1109" s="2">
        <v>45862</v>
      </c>
      <c r="C1109" t="s">
        <v>58</v>
      </c>
      <c r="D1109" t="s">
        <v>59</v>
      </c>
      <c r="E1109" t="s">
        <v>21</v>
      </c>
      <c r="F1109" t="s">
        <v>15</v>
      </c>
      <c r="G1109" t="s">
        <v>70</v>
      </c>
      <c r="H1109" t="s">
        <v>71</v>
      </c>
      <c r="I1109" t="s">
        <v>37</v>
      </c>
      <c r="J1109">
        <v>4</v>
      </c>
      <c r="K1109">
        <v>2200</v>
      </c>
      <c r="L1109">
        <v>8800</v>
      </c>
    </row>
    <row r="1110" spans="1:12" x14ac:dyDescent="0.3">
      <c r="A1110">
        <v>11109</v>
      </c>
      <c r="B1110" s="2">
        <v>45818</v>
      </c>
      <c r="C1110" t="s">
        <v>107</v>
      </c>
      <c r="D1110" t="s">
        <v>108</v>
      </c>
      <c r="E1110" t="s">
        <v>74</v>
      </c>
      <c r="F1110" t="s">
        <v>28</v>
      </c>
      <c r="G1110" t="s">
        <v>65</v>
      </c>
      <c r="H1110" t="s">
        <v>66</v>
      </c>
      <c r="I1110" t="s">
        <v>49</v>
      </c>
      <c r="J1110">
        <v>3</v>
      </c>
      <c r="K1110">
        <v>2400</v>
      </c>
      <c r="L1110">
        <v>7200</v>
      </c>
    </row>
    <row r="1111" spans="1:12" x14ac:dyDescent="0.3">
      <c r="A1111">
        <v>11110</v>
      </c>
      <c r="B1111" s="2">
        <v>45941</v>
      </c>
      <c r="C1111" t="s">
        <v>197</v>
      </c>
      <c r="D1111" t="s">
        <v>198</v>
      </c>
      <c r="E1111" t="s">
        <v>95</v>
      </c>
      <c r="F1111" t="s">
        <v>15</v>
      </c>
      <c r="G1111" t="s">
        <v>35</v>
      </c>
      <c r="H1111" t="s">
        <v>36</v>
      </c>
      <c r="I1111" t="s">
        <v>37</v>
      </c>
      <c r="J1111">
        <v>1</v>
      </c>
      <c r="K1111">
        <v>12000</v>
      </c>
      <c r="L1111">
        <v>12000</v>
      </c>
    </row>
    <row r="1112" spans="1:12" x14ac:dyDescent="0.3">
      <c r="A1112">
        <v>11111</v>
      </c>
      <c r="B1112" s="2">
        <v>45687</v>
      </c>
      <c r="C1112" t="s">
        <v>31</v>
      </c>
      <c r="D1112" t="s">
        <v>32</v>
      </c>
      <c r="E1112" t="s">
        <v>33</v>
      </c>
      <c r="F1112" t="s">
        <v>34</v>
      </c>
      <c r="G1112" t="s">
        <v>60</v>
      </c>
      <c r="H1112" t="s">
        <v>61</v>
      </c>
      <c r="I1112" t="s">
        <v>18</v>
      </c>
      <c r="J1112">
        <v>1</v>
      </c>
      <c r="K1112">
        <v>2200</v>
      </c>
      <c r="L1112">
        <v>2200</v>
      </c>
    </row>
    <row r="1113" spans="1:12" x14ac:dyDescent="0.3">
      <c r="A1113">
        <v>11112</v>
      </c>
      <c r="B1113" s="2">
        <v>45861</v>
      </c>
      <c r="C1113" t="s">
        <v>91</v>
      </c>
      <c r="D1113" t="s">
        <v>92</v>
      </c>
      <c r="E1113" t="s">
        <v>40</v>
      </c>
      <c r="F1113" t="s">
        <v>15</v>
      </c>
      <c r="G1113" t="s">
        <v>125</v>
      </c>
      <c r="H1113" t="s">
        <v>126</v>
      </c>
      <c r="I1113" t="s">
        <v>37</v>
      </c>
      <c r="J1113">
        <v>1</v>
      </c>
      <c r="K1113">
        <v>22000</v>
      </c>
      <c r="L1113">
        <v>22000</v>
      </c>
    </row>
    <row r="1114" spans="1:12" x14ac:dyDescent="0.3">
      <c r="A1114">
        <v>11113</v>
      </c>
      <c r="B1114" s="2">
        <v>45848</v>
      </c>
      <c r="C1114" t="s">
        <v>25</v>
      </c>
      <c r="D1114" t="s">
        <v>26</v>
      </c>
      <c r="E1114" t="s">
        <v>27</v>
      </c>
      <c r="F1114" t="s">
        <v>28</v>
      </c>
      <c r="G1114" t="s">
        <v>89</v>
      </c>
      <c r="H1114" t="s">
        <v>90</v>
      </c>
      <c r="I1114" t="s">
        <v>18</v>
      </c>
      <c r="J1114">
        <v>1</v>
      </c>
      <c r="K1114">
        <v>4200</v>
      </c>
      <c r="L1114">
        <v>4200</v>
      </c>
    </row>
    <row r="1115" spans="1:12" x14ac:dyDescent="0.3">
      <c r="A1115">
        <v>11114</v>
      </c>
      <c r="B1115" s="2">
        <v>45676</v>
      </c>
      <c r="C1115" t="s">
        <v>148</v>
      </c>
      <c r="D1115" t="s">
        <v>149</v>
      </c>
      <c r="E1115" t="s">
        <v>14</v>
      </c>
      <c r="F1115" t="s">
        <v>15</v>
      </c>
      <c r="G1115" t="s">
        <v>70</v>
      </c>
      <c r="H1115" t="s">
        <v>71</v>
      </c>
      <c r="I1115" t="s">
        <v>37</v>
      </c>
      <c r="J1115">
        <v>1</v>
      </c>
      <c r="K1115">
        <v>2200</v>
      </c>
      <c r="L1115">
        <v>2200</v>
      </c>
    </row>
    <row r="1116" spans="1:12" x14ac:dyDescent="0.3">
      <c r="A1116">
        <v>11115</v>
      </c>
      <c r="B1116" s="2">
        <v>45694</v>
      </c>
      <c r="C1116" t="s">
        <v>91</v>
      </c>
      <c r="D1116" t="s">
        <v>92</v>
      </c>
      <c r="E1116" t="s">
        <v>40</v>
      </c>
      <c r="F1116" t="s">
        <v>15</v>
      </c>
      <c r="G1116" t="s">
        <v>179</v>
      </c>
      <c r="H1116" t="s">
        <v>180</v>
      </c>
      <c r="I1116" t="s">
        <v>18</v>
      </c>
      <c r="J1116">
        <v>1</v>
      </c>
      <c r="K1116">
        <v>6500</v>
      </c>
      <c r="L1116">
        <v>6500</v>
      </c>
    </row>
    <row r="1117" spans="1:12" x14ac:dyDescent="0.3">
      <c r="A1117">
        <v>11116</v>
      </c>
      <c r="B1117" s="2">
        <v>45850</v>
      </c>
      <c r="C1117" t="s">
        <v>50</v>
      </c>
      <c r="D1117" t="s">
        <v>51</v>
      </c>
      <c r="E1117" t="s">
        <v>14</v>
      </c>
      <c r="F1117" t="s">
        <v>15</v>
      </c>
      <c r="G1117" t="s">
        <v>16</v>
      </c>
      <c r="H1117" t="s">
        <v>17</v>
      </c>
      <c r="I1117" t="s">
        <v>18</v>
      </c>
      <c r="J1117">
        <v>3</v>
      </c>
      <c r="K1117">
        <v>11000</v>
      </c>
      <c r="L1117">
        <v>33000</v>
      </c>
    </row>
    <row r="1118" spans="1:12" x14ac:dyDescent="0.3">
      <c r="A1118">
        <v>11117</v>
      </c>
      <c r="B1118" s="2">
        <v>45715</v>
      </c>
      <c r="C1118" t="s">
        <v>43</v>
      </c>
      <c r="D1118" t="s">
        <v>44</v>
      </c>
      <c r="E1118" t="s">
        <v>45</v>
      </c>
      <c r="F1118" t="s">
        <v>46</v>
      </c>
      <c r="G1118" t="s">
        <v>41</v>
      </c>
      <c r="H1118" t="s">
        <v>42</v>
      </c>
      <c r="I1118" t="s">
        <v>37</v>
      </c>
      <c r="J1118">
        <v>2</v>
      </c>
      <c r="K1118">
        <v>30000</v>
      </c>
      <c r="L1118">
        <v>60000</v>
      </c>
    </row>
    <row r="1119" spans="1:12" x14ac:dyDescent="0.3">
      <c r="A1119">
        <v>11118</v>
      </c>
      <c r="B1119" s="2">
        <v>45851</v>
      </c>
      <c r="C1119" t="s">
        <v>232</v>
      </c>
      <c r="D1119" t="s">
        <v>233</v>
      </c>
      <c r="E1119" t="s">
        <v>79</v>
      </c>
      <c r="F1119" t="s">
        <v>34</v>
      </c>
      <c r="G1119" t="s">
        <v>41</v>
      </c>
      <c r="H1119" t="s">
        <v>42</v>
      </c>
      <c r="I1119" t="s">
        <v>37</v>
      </c>
      <c r="J1119">
        <v>1</v>
      </c>
      <c r="K1119">
        <v>30000</v>
      </c>
      <c r="L1119">
        <v>30000</v>
      </c>
    </row>
    <row r="1120" spans="1:12" x14ac:dyDescent="0.3">
      <c r="A1120">
        <v>11119</v>
      </c>
      <c r="B1120" s="2">
        <v>45826</v>
      </c>
      <c r="C1120" t="s">
        <v>210</v>
      </c>
      <c r="D1120" t="s">
        <v>211</v>
      </c>
      <c r="E1120" t="s">
        <v>40</v>
      </c>
      <c r="F1120" t="s">
        <v>15</v>
      </c>
      <c r="G1120" t="s">
        <v>96</v>
      </c>
      <c r="H1120" t="s">
        <v>97</v>
      </c>
      <c r="I1120" t="s">
        <v>37</v>
      </c>
      <c r="J1120">
        <v>2</v>
      </c>
      <c r="K1120">
        <v>18000</v>
      </c>
      <c r="L1120">
        <v>36000</v>
      </c>
    </row>
    <row r="1121" spans="1:12" x14ac:dyDescent="0.3">
      <c r="A1121">
        <v>11120</v>
      </c>
      <c r="B1121" s="2">
        <v>45967</v>
      </c>
      <c r="C1121" t="s">
        <v>191</v>
      </c>
      <c r="D1121" t="s">
        <v>192</v>
      </c>
      <c r="E1121" t="s">
        <v>27</v>
      </c>
      <c r="F1121" t="s">
        <v>28</v>
      </c>
      <c r="G1121" t="s">
        <v>152</v>
      </c>
      <c r="H1121" t="s">
        <v>153</v>
      </c>
      <c r="I1121" t="s">
        <v>49</v>
      </c>
      <c r="J1121">
        <v>3</v>
      </c>
      <c r="K1121">
        <v>3200</v>
      </c>
      <c r="L1121">
        <v>9600</v>
      </c>
    </row>
    <row r="1122" spans="1:12" x14ac:dyDescent="0.3">
      <c r="A1122">
        <v>11121</v>
      </c>
      <c r="B1122" s="2">
        <v>45664</v>
      </c>
      <c r="C1122" t="s">
        <v>195</v>
      </c>
      <c r="D1122" t="s">
        <v>196</v>
      </c>
      <c r="E1122" t="s">
        <v>102</v>
      </c>
      <c r="F1122" t="s">
        <v>34</v>
      </c>
      <c r="G1122" t="s">
        <v>29</v>
      </c>
      <c r="H1122" t="s">
        <v>30</v>
      </c>
      <c r="I1122" t="s">
        <v>18</v>
      </c>
      <c r="J1122">
        <v>3</v>
      </c>
      <c r="K1122">
        <v>15000</v>
      </c>
      <c r="L1122">
        <v>45000</v>
      </c>
    </row>
    <row r="1123" spans="1:12" x14ac:dyDescent="0.3">
      <c r="A1123">
        <v>11122</v>
      </c>
      <c r="B1123" s="2">
        <v>45899</v>
      </c>
      <c r="C1123" t="s">
        <v>87</v>
      </c>
      <c r="D1123" t="s">
        <v>88</v>
      </c>
      <c r="E1123" t="s">
        <v>64</v>
      </c>
      <c r="F1123" t="s">
        <v>46</v>
      </c>
      <c r="G1123" t="s">
        <v>16</v>
      </c>
      <c r="H1123" t="s">
        <v>17</v>
      </c>
      <c r="I1123" t="s">
        <v>18</v>
      </c>
      <c r="J1123">
        <v>3</v>
      </c>
      <c r="K1123">
        <v>11000</v>
      </c>
      <c r="L1123">
        <v>33000</v>
      </c>
    </row>
    <row r="1124" spans="1:12" x14ac:dyDescent="0.3">
      <c r="A1124">
        <v>11123</v>
      </c>
      <c r="B1124" s="2">
        <v>45687</v>
      </c>
      <c r="C1124" t="s">
        <v>226</v>
      </c>
      <c r="D1124" t="s">
        <v>227</v>
      </c>
      <c r="E1124" t="s">
        <v>79</v>
      </c>
      <c r="F1124" t="s">
        <v>34</v>
      </c>
      <c r="G1124" t="s">
        <v>96</v>
      </c>
      <c r="H1124" t="s">
        <v>97</v>
      </c>
      <c r="I1124" t="s">
        <v>37</v>
      </c>
      <c r="J1124">
        <v>1</v>
      </c>
      <c r="K1124">
        <v>18000</v>
      </c>
      <c r="L1124">
        <v>18000</v>
      </c>
    </row>
    <row r="1125" spans="1:12" x14ac:dyDescent="0.3">
      <c r="A1125">
        <v>11124</v>
      </c>
      <c r="B1125" s="2">
        <v>45830</v>
      </c>
      <c r="C1125" t="s">
        <v>146</v>
      </c>
      <c r="D1125" t="s">
        <v>147</v>
      </c>
      <c r="E1125" t="s">
        <v>64</v>
      </c>
      <c r="F1125" t="s">
        <v>46</v>
      </c>
      <c r="G1125" t="s">
        <v>96</v>
      </c>
      <c r="H1125" t="s">
        <v>97</v>
      </c>
      <c r="I1125" t="s">
        <v>37</v>
      </c>
      <c r="J1125">
        <v>3</v>
      </c>
      <c r="K1125">
        <v>18000</v>
      </c>
      <c r="L1125">
        <v>54000</v>
      </c>
    </row>
    <row r="1126" spans="1:12" x14ac:dyDescent="0.3">
      <c r="A1126">
        <v>11125</v>
      </c>
      <c r="B1126" s="2">
        <v>45720</v>
      </c>
      <c r="C1126" t="s">
        <v>175</v>
      </c>
      <c r="D1126" t="s">
        <v>176</v>
      </c>
      <c r="E1126" t="s">
        <v>84</v>
      </c>
      <c r="F1126" t="s">
        <v>46</v>
      </c>
      <c r="G1126" t="s">
        <v>47</v>
      </c>
      <c r="H1126" t="s">
        <v>48</v>
      </c>
      <c r="I1126" t="s">
        <v>49</v>
      </c>
      <c r="J1126">
        <v>2</v>
      </c>
      <c r="K1126">
        <v>1600</v>
      </c>
      <c r="L1126">
        <v>3200</v>
      </c>
    </row>
    <row r="1127" spans="1:12" x14ac:dyDescent="0.3">
      <c r="A1127">
        <v>11126</v>
      </c>
      <c r="B1127" s="2">
        <v>45780</v>
      </c>
      <c r="C1127" t="s">
        <v>133</v>
      </c>
      <c r="D1127" t="s">
        <v>134</v>
      </c>
      <c r="E1127" t="s">
        <v>33</v>
      </c>
      <c r="F1127" t="s">
        <v>34</v>
      </c>
      <c r="G1127" t="s">
        <v>121</v>
      </c>
      <c r="H1127" t="s">
        <v>122</v>
      </c>
      <c r="I1127" t="s">
        <v>49</v>
      </c>
      <c r="J1127">
        <v>3</v>
      </c>
      <c r="K1127">
        <v>4800</v>
      </c>
      <c r="L1127">
        <v>14400</v>
      </c>
    </row>
    <row r="1128" spans="1:12" x14ac:dyDescent="0.3">
      <c r="A1128">
        <v>11127</v>
      </c>
      <c r="B1128" s="2">
        <v>45836</v>
      </c>
      <c r="C1128" t="s">
        <v>173</v>
      </c>
      <c r="D1128" t="s">
        <v>174</v>
      </c>
      <c r="E1128" t="s">
        <v>137</v>
      </c>
      <c r="F1128" t="s">
        <v>46</v>
      </c>
      <c r="G1128" t="s">
        <v>65</v>
      </c>
      <c r="H1128" t="s">
        <v>66</v>
      </c>
      <c r="I1128" t="s">
        <v>49</v>
      </c>
      <c r="J1128">
        <v>5</v>
      </c>
      <c r="K1128">
        <v>2400</v>
      </c>
      <c r="L1128">
        <v>12000</v>
      </c>
    </row>
    <row r="1129" spans="1:12" x14ac:dyDescent="0.3">
      <c r="A1129">
        <v>11128</v>
      </c>
      <c r="B1129" s="2">
        <v>45662</v>
      </c>
      <c r="C1129" t="s">
        <v>183</v>
      </c>
      <c r="D1129" t="s">
        <v>184</v>
      </c>
      <c r="E1129" t="s">
        <v>27</v>
      </c>
      <c r="F1129" t="s">
        <v>28</v>
      </c>
      <c r="G1129" t="s">
        <v>41</v>
      </c>
      <c r="H1129" t="s">
        <v>42</v>
      </c>
      <c r="I1129" t="s">
        <v>37</v>
      </c>
      <c r="J1129">
        <v>2</v>
      </c>
      <c r="K1129">
        <v>30000</v>
      </c>
      <c r="L1129">
        <v>60000</v>
      </c>
    </row>
    <row r="1130" spans="1:12" x14ac:dyDescent="0.3">
      <c r="A1130">
        <v>11129</v>
      </c>
      <c r="B1130" s="2">
        <v>45764</v>
      </c>
      <c r="C1130" t="s">
        <v>43</v>
      </c>
      <c r="D1130" t="s">
        <v>44</v>
      </c>
      <c r="E1130" t="s">
        <v>45</v>
      </c>
      <c r="F1130" t="s">
        <v>46</v>
      </c>
      <c r="G1130" t="s">
        <v>60</v>
      </c>
      <c r="H1130" t="s">
        <v>61</v>
      </c>
      <c r="I1130" t="s">
        <v>18</v>
      </c>
      <c r="J1130">
        <v>2</v>
      </c>
      <c r="K1130">
        <v>2200</v>
      </c>
      <c r="L1130">
        <v>4400</v>
      </c>
    </row>
    <row r="1131" spans="1:12" x14ac:dyDescent="0.3">
      <c r="A1131">
        <v>11130</v>
      </c>
      <c r="B1131" s="2">
        <v>45977</v>
      </c>
      <c r="C1131" t="s">
        <v>19</v>
      </c>
      <c r="D1131" t="s">
        <v>20</v>
      </c>
      <c r="E1131" t="s">
        <v>21</v>
      </c>
      <c r="F1131" t="s">
        <v>15</v>
      </c>
      <c r="G1131" t="s">
        <v>35</v>
      </c>
      <c r="H1131" t="s">
        <v>36</v>
      </c>
      <c r="I1131" t="s">
        <v>37</v>
      </c>
      <c r="J1131">
        <v>2</v>
      </c>
      <c r="K1131">
        <v>12000</v>
      </c>
      <c r="L1131">
        <v>24000</v>
      </c>
    </row>
    <row r="1132" spans="1:12" x14ac:dyDescent="0.3">
      <c r="A1132">
        <v>11131</v>
      </c>
      <c r="B1132" s="2">
        <v>45989</v>
      </c>
      <c r="C1132" t="s">
        <v>80</v>
      </c>
      <c r="D1132" t="s">
        <v>81</v>
      </c>
      <c r="E1132" t="s">
        <v>79</v>
      </c>
      <c r="F1132" t="s">
        <v>34</v>
      </c>
      <c r="G1132" t="s">
        <v>144</v>
      </c>
      <c r="H1132" t="s">
        <v>145</v>
      </c>
      <c r="I1132" t="s">
        <v>37</v>
      </c>
      <c r="J1132">
        <v>1</v>
      </c>
      <c r="K1132">
        <v>65000</v>
      </c>
      <c r="L1132">
        <v>65000</v>
      </c>
    </row>
    <row r="1133" spans="1:12" x14ac:dyDescent="0.3">
      <c r="A1133">
        <v>11132</v>
      </c>
      <c r="B1133" s="2">
        <v>45706</v>
      </c>
      <c r="C1133" t="s">
        <v>67</v>
      </c>
      <c r="D1133" t="s">
        <v>68</v>
      </c>
      <c r="E1133" t="s">
        <v>69</v>
      </c>
      <c r="F1133" t="s">
        <v>28</v>
      </c>
      <c r="G1133" t="s">
        <v>163</v>
      </c>
      <c r="H1133" t="s">
        <v>164</v>
      </c>
      <c r="I1133" t="s">
        <v>49</v>
      </c>
      <c r="J1133">
        <v>2</v>
      </c>
      <c r="K1133">
        <v>4200</v>
      </c>
      <c r="L1133">
        <v>8400</v>
      </c>
    </row>
    <row r="1134" spans="1:12" x14ac:dyDescent="0.3">
      <c r="A1134">
        <v>11133</v>
      </c>
      <c r="B1134" s="2">
        <v>45911</v>
      </c>
      <c r="C1134" t="s">
        <v>216</v>
      </c>
      <c r="D1134" t="s">
        <v>217</v>
      </c>
      <c r="E1134" t="s">
        <v>21</v>
      </c>
      <c r="F1134" t="s">
        <v>15</v>
      </c>
      <c r="G1134" t="s">
        <v>131</v>
      </c>
      <c r="H1134" t="s">
        <v>132</v>
      </c>
      <c r="I1134" t="s">
        <v>37</v>
      </c>
      <c r="J1134">
        <v>1</v>
      </c>
      <c r="K1134">
        <v>4500</v>
      </c>
      <c r="L1134">
        <v>4500</v>
      </c>
    </row>
    <row r="1135" spans="1:12" x14ac:dyDescent="0.3">
      <c r="A1135">
        <v>11134</v>
      </c>
      <c r="B1135" s="2">
        <v>45996</v>
      </c>
      <c r="C1135" t="s">
        <v>133</v>
      </c>
      <c r="D1135" t="s">
        <v>134</v>
      </c>
      <c r="E1135" t="s">
        <v>33</v>
      </c>
      <c r="F1135" t="s">
        <v>34</v>
      </c>
      <c r="G1135" t="s">
        <v>65</v>
      </c>
      <c r="H1135" t="s">
        <v>66</v>
      </c>
      <c r="I1135" t="s">
        <v>49</v>
      </c>
      <c r="J1135">
        <v>2</v>
      </c>
      <c r="K1135">
        <v>2400</v>
      </c>
      <c r="L1135">
        <v>4800</v>
      </c>
    </row>
    <row r="1136" spans="1:12" x14ac:dyDescent="0.3">
      <c r="A1136">
        <v>11135</v>
      </c>
      <c r="B1136" s="2">
        <v>45804</v>
      </c>
      <c r="C1136" t="s">
        <v>146</v>
      </c>
      <c r="D1136" t="s">
        <v>147</v>
      </c>
      <c r="E1136" t="s">
        <v>64</v>
      </c>
      <c r="F1136" t="s">
        <v>46</v>
      </c>
      <c r="G1136" t="s">
        <v>152</v>
      </c>
      <c r="H1136" t="s">
        <v>153</v>
      </c>
      <c r="I1136" t="s">
        <v>49</v>
      </c>
      <c r="J1136">
        <v>4</v>
      </c>
      <c r="K1136">
        <v>3200</v>
      </c>
      <c r="L1136">
        <v>12800</v>
      </c>
    </row>
    <row r="1137" spans="1:12" x14ac:dyDescent="0.3">
      <c r="A1137">
        <v>11136</v>
      </c>
      <c r="B1137" s="2">
        <v>45774</v>
      </c>
      <c r="C1137" t="s">
        <v>148</v>
      </c>
      <c r="D1137" t="s">
        <v>149</v>
      </c>
      <c r="E1137" t="s">
        <v>14</v>
      </c>
      <c r="F1137" t="s">
        <v>15</v>
      </c>
      <c r="G1137" t="s">
        <v>103</v>
      </c>
      <c r="H1137" t="s">
        <v>104</v>
      </c>
      <c r="I1137" t="s">
        <v>37</v>
      </c>
      <c r="J1137">
        <v>2</v>
      </c>
      <c r="K1137">
        <v>28000</v>
      </c>
      <c r="L1137">
        <v>56000</v>
      </c>
    </row>
    <row r="1138" spans="1:12" x14ac:dyDescent="0.3">
      <c r="A1138">
        <v>11137</v>
      </c>
      <c r="B1138" s="2">
        <v>45918</v>
      </c>
      <c r="C1138" t="s">
        <v>210</v>
      </c>
      <c r="D1138" t="s">
        <v>211</v>
      </c>
      <c r="E1138" t="s">
        <v>40</v>
      </c>
      <c r="F1138" t="s">
        <v>15</v>
      </c>
      <c r="G1138" t="s">
        <v>152</v>
      </c>
      <c r="H1138" t="s">
        <v>153</v>
      </c>
      <c r="I1138" t="s">
        <v>49</v>
      </c>
      <c r="J1138">
        <v>2</v>
      </c>
      <c r="K1138">
        <v>3200</v>
      </c>
      <c r="L1138">
        <v>6400</v>
      </c>
    </row>
    <row r="1139" spans="1:12" x14ac:dyDescent="0.3">
      <c r="A1139">
        <v>11138</v>
      </c>
      <c r="B1139" s="2">
        <v>45878</v>
      </c>
      <c r="C1139" t="s">
        <v>19</v>
      </c>
      <c r="D1139" t="s">
        <v>20</v>
      </c>
      <c r="E1139" t="s">
        <v>21</v>
      </c>
      <c r="F1139" t="s">
        <v>15</v>
      </c>
      <c r="G1139" t="s">
        <v>109</v>
      </c>
      <c r="H1139" t="s">
        <v>110</v>
      </c>
      <c r="I1139" t="s">
        <v>18</v>
      </c>
      <c r="J1139">
        <v>1</v>
      </c>
      <c r="K1139">
        <v>5000</v>
      </c>
      <c r="L1139">
        <v>5000</v>
      </c>
    </row>
    <row r="1140" spans="1:12" x14ac:dyDescent="0.3">
      <c r="A1140">
        <v>11139</v>
      </c>
      <c r="B1140" s="2">
        <v>45693</v>
      </c>
      <c r="C1140" t="s">
        <v>146</v>
      </c>
      <c r="D1140" t="s">
        <v>147</v>
      </c>
      <c r="E1140" t="s">
        <v>64</v>
      </c>
      <c r="F1140" t="s">
        <v>46</v>
      </c>
      <c r="G1140" t="s">
        <v>144</v>
      </c>
      <c r="H1140" t="s">
        <v>145</v>
      </c>
      <c r="I1140" t="s">
        <v>37</v>
      </c>
      <c r="J1140">
        <v>1</v>
      </c>
      <c r="K1140">
        <v>65000</v>
      </c>
      <c r="L1140">
        <v>65000</v>
      </c>
    </row>
    <row r="1141" spans="1:12" x14ac:dyDescent="0.3">
      <c r="A1141">
        <v>11140</v>
      </c>
      <c r="B1141" s="2">
        <v>46013</v>
      </c>
      <c r="C1141" t="s">
        <v>142</v>
      </c>
      <c r="D1141" t="s">
        <v>143</v>
      </c>
      <c r="E1141" t="s">
        <v>14</v>
      </c>
      <c r="F1141" t="s">
        <v>15</v>
      </c>
      <c r="G1141" t="s">
        <v>89</v>
      </c>
      <c r="H1141" t="s">
        <v>90</v>
      </c>
      <c r="I1141" t="s">
        <v>18</v>
      </c>
      <c r="J1141">
        <v>1</v>
      </c>
      <c r="K1141">
        <v>4200</v>
      </c>
      <c r="L1141">
        <v>4200</v>
      </c>
    </row>
    <row r="1142" spans="1:12" x14ac:dyDescent="0.3">
      <c r="A1142">
        <v>11141</v>
      </c>
      <c r="B1142" s="2">
        <v>45683</v>
      </c>
      <c r="C1142" t="s">
        <v>105</v>
      </c>
      <c r="D1142" t="s">
        <v>106</v>
      </c>
      <c r="E1142" t="s">
        <v>45</v>
      </c>
      <c r="F1142" t="s">
        <v>46</v>
      </c>
      <c r="G1142" t="s">
        <v>152</v>
      </c>
      <c r="H1142" t="s">
        <v>153</v>
      </c>
      <c r="I1142" t="s">
        <v>49</v>
      </c>
      <c r="J1142">
        <v>1</v>
      </c>
      <c r="K1142">
        <v>3200</v>
      </c>
      <c r="L1142">
        <v>3200</v>
      </c>
    </row>
    <row r="1143" spans="1:12" x14ac:dyDescent="0.3">
      <c r="A1143">
        <v>11142</v>
      </c>
      <c r="B1143" s="2">
        <v>45831</v>
      </c>
      <c r="C1143" t="s">
        <v>133</v>
      </c>
      <c r="D1143" t="s">
        <v>134</v>
      </c>
      <c r="E1143" t="s">
        <v>33</v>
      </c>
      <c r="F1143" t="s">
        <v>34</v>
      </c>
      <c r="G1143" t="s">
        <v>177</v>
      </c>
      <c r="H1143" t="s">
        <v>178</v>
      </c>
      <c r="I1143" t="s">
        <v>37</v>
      </c>
      <c r="J1143">
        <v>1</v>
      </c>
      <c r="K1143">
        <v>2500</v>
      </c>
      <c r="L1143">
        <v>2500</v>
      </c>
    </row>
    <row r="1144" spans="1:12" x14ac:dyDescent="0.3">
      <c r="A1144">
        <v>11143</v>
      </c>
      <c r="B1144" s="2">
        <v>45826</v>
      </c>
      <c r="C1144" t="s">
        <v>91</v>
      </c>
      <c r="D1144" t="s">
        <v>92</v>
      </c>
      <c r="E1144" t="s">
        <v>40</v>
      </c>
      <c r="F1144" t="s">
        <v>15</v>
      </c>
      <c r="G1144" t="s">
        <v>125</v>
      </c>
      <c r="H1144" t="s">
        <v>126</v>
      </c>
      <c r="I1144" t="s">
        <v>37</v>
      </c>
      <c r="J1144">
        <v>3</v>
      </c>
      <c r="K1144">
        <v>22000</v>
      </c>
      <c r="L1144">
        <v>66000</v>
      </c>
    </row>
    <row r="1145" spans="1:12" x14ac:dyDescent="0.3">
      <c r="A1145">
        <v>11144</v>
      </c>
      <c r="B1145" s="2">
        <v>46019</v>
      </c>
      <c r="C1145" t="s">
        <v>93</v>
      </c>
      <c r="D1145" t="s">
        <v>94</v>
      </c>
      <c r="E1145" t="s">
        <v>95</v>
      </c>
      <c r="F1145" t="s">
        <v>15</v>
      </c>
      <c r="G1145" t="s">
        <v>121</v>
      </c>
      <c r="H1145" t="s">
        <v>122</v>
      </c>
      <c r="I1145" t="s">
        <v>49</v>
      </c>
      <c r="J1145">
        <v>3</v>
      </c>
      <c r="K1145">
        <v>4800</v>
      </c>
      <c r="L1145">
        <v>14400</v>
      </c>
    </row>
    <row r="1146" spans="1:12" x14ac:dyDescent="0.3">
      <c r="A1146">
        <v>11145</v>
      </c>
      <c r="B1146" s="2">
        <v>45989</v>
      </c>
      <c r="C1146" t="s">
        <v>224</v>
      </c>
      <c r="D1146" t="s">
        <v>225</v>
      </c>
      <c r="E1146" t="s">
        <v>201</v>
      </c>
      <c r="F1146" t="s">
        <v>28</v>
      </c>
      <c r="G1146" t="s">
        <v>35</v>
      </c>
      <c r="H1146" t="s">
        <v>36</v>
      </c>
      <c r="I1146" t="s">
        <v>37</v>
      </c>
      <c r="J1146">
        <v>1</v>
      </c>
      <c r="K1146">
        <v>12000</v>
      </c>
      <c r="L1146">
        <v>12000</v>
      </c>
    </row>
    <row r="1147" spans="1:12" x14ac:dyDescent="0.3">
      <c r="A1147">
        <v>11146</v>
      </c>
      <c r="B1147" s="2">
        <v>45994</v>
      </c>
      <c r="C1147" t="s">
        <v>171</v>
      </c>
      <c r="D1147" t="s">
        <v>172</v>
      </c>
      <c r="E1147" t="s">
        <v>45</v>
      </c>
      <c r="F1147" t="s">
        <v>46</v>
      </c>
      <c r="G1147" t="s">
        <v>60</v>
      </c>
      <c r="H1147" t="s">
        <v>61</v>
      </c>
      <c r="I1147" t="s">
        <v>18</v>
      </c>
      <c r="J1147">
        <v>3</v>
      </c>
      <c r="K1147">
        <v>2200</v>
      </c>
      <c r="L1147">
        <v>6600</v>
      </c>
    </row>
    <row r="1148" spans="1:12" x14ac:dyDescent="0.3">
      <c r="A1148">
        <v>11147</v>
      </c>
      <c r="B1148" s="2">
        <v>45675</v>
      </c>
      <c r="C1148" t="s">
        <v>85</v>
      </c>
      <c r="D1148" t="s">
        <v>86</v>
      </c>
      <c r="E1148" t="s">
        <v>45</v>
      </c>
      <c r="F1148" t="s">
        <v>46</v>
      </c>
      <c r="G1148" t="s">
        <v>98</v>
      </c>
      <c r="H1148" t="s">
        <v>99</v>
      </c>
      <c r="I1148" t="s">
        <v>24</v>
      </c>
      <c r="J1148">
        <v>1</v>
      </c>
      <c r="K1148">
        <v>2000</v>
      </c>
      <c r="L1148">
        <v>2000</v>
      </c>
    </row>
    <row r="1149" spans="1:12" x14ac:dyDescent="0.3">
      <c r="A1149">
        <v>11148</v>
      </c>
      <c r="B1149" s="2">
        <v>45670</v>
      </c>
      <c r="C1149" t="s">
        <v>148</v>
      </c>
      <c r="D1149" t="s">
        <v>149</v>
      </c>
      <c r="E1149" t="s">
        <v>14</v>
      </c>
      <c r="F1149" t="s">
        <v>15</v>
      </c>
      <c r="G1149" t="s">
        <v>35</v>
      </c>
      <c r="H1149" t="s">
        <v>36</v>
      </c>
      <c r="I1149" t="s">
        <v>37</v>
      </c>
      <c r="J1149">
        <v>3</v>
      </c>
      <c r="K1149">
        <v>12000</v>
      </c>
      <c r="L1149">
        <v>36000</v>
      </c>
    </row>
    <row r="1150" spans="1:12" x14ac:dyDescent="0.3">
      <c r="A1150">
        <v>11149</v>
      </c>
      <c r="B1150" s="2">
        <v>45879</v>
      </c>
      <c r="C1150" t="s">
        <v>138</v>
      </c>
      <c r="D1150" t="s">
        <v>139</v>
      </c>
      <c r="E1150" t="s">
        <v>79</v>
      </c>
      <c r="F1150" t="s">
        <v>34</v>
      </c>
      <c r="G1150" t="s">
        <v>41</v>
      </c>
      <c r="H1150" t="s">
        <v>42</v>
      </c>
      <c r="I1150" t="s">
        <v>37</v>
      </c>
      <c r="J1150">
        <v>1</v>
      </c>
      <c r="K1150">
        <v>30000</v>
      </c>
      <c r="L1150">
        <v>30000</v>
      </c>
    </row>
    <row r="1151" spans="1:12" x14ac:dyDescent="0.3">
      <c r="A1151">
        <v>11150</v>
      </c>
      <c r="B1151" s="2">
        <v>45877</v>
      </c>
      <c r="C1151" t="s">
        <v>123</v>
      </c>
      <c r="D1151" t="s">
        <v>124</v>
      </c>
      <c r="E1151" t="s">
        <v>69</v>
      </c>
      <c r="F1151" t="s">
        <v>28</v>
      </c>
      <c r="G1151" t="s">
        <v>89</v>
      </c>
      <c r="H1151" t="s">
        <v>90</v>
      </c>
      <c r="I1151" t="s">
        <v>18</v>
      </c>
      <c r="J1151">
        <v>1</v>
      </c>
      <c r="K1151">
        <v>4200</v>
      </c>
      <c r="L1151">
        <v>4200</v>
      </c>
    </row>
    <row r="1152" spans="1:12" x14ac:dyDescent="0.3">
      <c r="A1152">
        <v>11151</v>
      </c>
      <c r="B1152" s="2">
        <v>45672</v>
      </c>
      <c r="C1152" t="s">
        <v>117</v>
      </c>
      <c r="D1152" t="s">
        <v>118</v>
      </c>
      <c r="E1152" t="s">
        <v>95</v>
      </c>
      <c r="F1152" t="s">
        <v>15</v>
      </c>
      <c r="G1152" t="s">
        <v>140</v>
      </c>
      <c r="H1152" t="s">
        <v>141</v>
      </c>
      <c r="I1152" t="s">
        <v>18</v>
      </c>
      <c r="J1152">
        <v>1</v>
      </c>
      <c r="K1152">
        <v>3000</v>
      </c>
      <c r="L1152">
        <v>3000</v>
      </c>
    </row>
    <row r="1153" spans="1:12" x14ac:dyDescent="0.3">
      <c r="A1153">
        <v>11152</v>
      </c>
      <c r="B1153" s="2">
        <v>45985</v>
      </c>
      <c r="C1153" t="s">
        <v>216</v>
      </c>
      <c r="D1153" t="s">
        <v>217</v>
      </c>
      <c r="E1153" t="s">
        <v>21</v>
      </c>
      <c r="F1153" t="s">
        <v>15</v>
      </c>
      <c r="G1153" t="s">
        <v>144</v>
      </c>
      <c r="H1153" t="s">
        <v>145</v>
      </c>
      <c r="I1153" t="s">
        <v>37</v>
      </c>
      <c r="J1153">
        <v>2</v>
      </c>
      <c r="K1153">
        <v>65000</v>
      </c>
      <c r="L1153">
        <v>130000</v>
      </c>
    </row>
    <row r="1154" spans="1:12" x14ac:dyDescent="0.3">
      <c r="A1154">
        <v>11153</v>
      </c>
      <c r="B1154" s="2">
        <v>45774</v>
      </c>
      <c r="C1154" t="s">
        <v>105</v>
      </c>
      <c r="D1154" t="s">
        <v>106</v>
      </c>
      <c r="E1154" t="s">
        <v>45</v>
      </c>
      <c r="F1154" t="s">
        <v>46</v>
      </c>
      <c r="G1154" t="s">
        <v>29</v>
      </c>
      <c r="H1154" t="s">
        <v>30</v>
      </c>
      <c r="I1154" t="s">
        <v>18</v>
      </c>
      <c r="J1154">
        <v>1</v>
      </c>
      <c r="K1154">
        <v>15000</v>
      </c>
      <c r="L1154">
        <v>15000</v>
      </c>
    </row>
    <row r="1155" spans="1:12" x14ac:dyDescent="0.3">
      <c r="A1155">
        <v>11154</v>
      </c>
      <c r="B1155" s="2">
        <v>45912</v>
      </c>
      <c r="C1155" t="s">
        <v>222</v>
      </c>
      <c r="D1155" t="s">
        <v>223</v>
      </c>
      <c r="E1155" t="s">
        <v>21</v>
      </c>
      <c r="F1155" t="s">
        <v>15</v>
      </c>
      <c r="G1155" t="s">
        <v>56</v>
      </c>
      <c r="H1155" t="s">
        <v>57</v>
      </c>
      <c r="I1155" t="s">
        <v>18</v>
      </c>
      <c r="J1155">
        <v>3</v>
      </c>
      <c r="K1155">
        <v>9000</v>
      </c>
      <c r="L1155">
        <v>27000</v>
      </c>
    </row>
    <row r="1156" spans="1:12" x14ac:dyDescent="0.3">
      <c r="A1156">
        <v>11155</v>
      </c>
      <c r="B1156" s="2">
        <v>45787</v>
      </c>
      <c r="C1156" t="s">
        <v>148</v>
      </c>
      <c r="D1156" t="s">
        <v>149</v>
      </c>
      <c r="E1156" t="s">
        <v>14</v>
      </c>
      <c r="F1156" t="s">
        <v>15</v>
      </c>
      <c r="G1156" t="s">
        <v>41</v>
      </c>
      <c r="H1156" t="s">
        <v>42</v>
      </c>
      <c r="I1156" t="s">
        <v>37</v>
      </c>
      <c r="J1156">
        <v>1</v>
      </c>
      <c r="K1156">
        <v>30000</v>
      </c>
      <c r="L1156">
        <v>30000</v>
      </c>
    </row>
    <row r="1157" spans="1:12" x14ac:dyDescent="0.3">
      <c r="A1157">
        <v>11156</v>
      </c>
      <c r="B1157" s="2">
        <v>45976</v>
      </c>
      <c r="C1157" t="s">
        <v>230</v>
      </c>
      <c r="D1157" t="s">
        <v>231</v>
      </c>
      <c r="E1157" t="s">
        <v>84</v>
      </c>
      <c r="F1157" t="s">
        <v>46</v>
      </c>
      <c r="G1157" t="s">
        <v>35</v>
      </c>
      <c r="H1157" t="s">
        <v>36</v>
      </c>
      <c r="I1157" t="s">
        <v>37</v>
      </c>
      <c r="J1157">
        <v>1</v>
      </c>
      <c r="K1157">
        <v>12000</v>
      </c>
      <c r="L1157">
        <v>12000</v>
      </c>
    </row>
    <row r="1158" spans="1:12" x14ac:dyDescent="0.3">
      <c r="A1158">
        <v>11157</v>
      </c>
      <c r="B1158" s="2">
        <v>45852</v>
      </c>
      <c r="C1158" t="s">
        <v>80</v>
      </c>
      <c r="D1158" t="s">
        <v>81</v>
      </c>
      <c r="E1158" t="s">
        <v>79</v>
      </c>
      <c r="F1158" t="s">
        <v>34</v>
      </c>
      <c r="G1158" t="s">
        <v>167</v>
      </c>
      <c r="H1158" t="s">
        <v>168</v>
      </c>
      <c r="I1158" t="s">
        <v>49</v>
      </c>
      <c r="J1158">
        <v>1</v>
      </c>
      <c r="K1158">
        <v>3800</v>
      </c>
      <c r="L1158">
        <v>3800</v>
      </c>
    </row>
    <row r="1159" spans="1:12" x14ac:dyDescent="0.3">
      <c r="A1159">
        <v>11158</v>
      </c>
      <c r="B1159" s="2">
        <v>45972</v>
      </c>
      <c r="C1159" t="s">
        <v>214</v>
      </c>
      <c r="D1159" t="s">
        <v>215</v>
      </c>
      <c r="E1159" t="s">
        <v>137</v>
      </c>
      <c r="F1159" t="s">
        <v>46</v>
      </c>
      <c r="G1159" t="s">
        <v>29</v>
      </c>
      <c r="H1159" t="s">
        <v>30</v>
      </c>
      <c r="I1159" t="s">
        <v>18</v>
      </c>
      <c r="J1159">
        <v>1</v>
      </c>
      <c r="K1159">
        <v>15000</v>
      </c>
      <c r="L1159">
        <v>15000</v>
      </c>
    </row>
    <row r="1160" spans="1:12" x14ac:dyDescent="0.3">
      <c r="A1160">
        <v>11159</v>
      </c>
      <c r="B1160" s="2">
        <v>45681</v>
      </c>
      <c r="C1160" t="s">
        <v>161</v>
      </c>
      <c r="D1160" t="s">
        <v>162</v>
      </c>
      <c r="E1160" t="s">
        <v>33</v>
      </c>
      <c r="F1160" t="s">
        <v>34</v>
      </c>
      <c r="G1160" t="s">
        <v>129</v>
      </c>
      <c r="H1160" t="s">
        <v>130</v>
      </c>
      <c r="I1160" t="s">
        <v>24</v>
      </c>
      <c r="J1160">
        <v>2</v>
      </c>
      <c r="K1160">
        <v>1400</v>
      </c>
      <c r="L1160">
        <v>2800</v>
      </c>
    </row>
    <row r="1161" spans="1:12" x14ac:dyDescent="0.3">
      <c r="A1161">
        <v>11160</v>
      </c>
      <c r="B1161" s="2">
        <v>45864</v>
      </c>
      <c r="C1161" t="s">
        <v>191</v>
      </c>
      <c r="D1161" t="s">
        <v>192</v>
      </c>
      <c r="E1161" t="s">
        <v>27</v>
      </c>
      <c r="F1161" t="s">
        <v>28</v>
      </c>
      <c r="G1161" t="s">
        <v>65</v>
      </c>
      <c r="H1161" t="s">
        <v>66</v>
      </c>
      <c r="I1161" t="s">
        <v>49</v>
      </c>
      <c r="J1161">
        <v>2</v>
      </c>
      <c r="K1161">
        <v>2400</v>
      </c>
      <c r="L1161">
        <v>4800</v>
      </c>
    </row>
    <row r="1162" spans="1:12" x14ac:dyDescent="0.3">
      <c r="A1162">
        <v>11161</v>
      </c>
      <c r="B1162" s="2">
        <v>45670</v>
      </c>
      <c r="C1162" t="s">
        <v>202</v>
      </c>
      <c r="D1162" t="s">
        <v>203</v>
      </c>
      <c r="E1162" t="s">
        <v>64</v>
      </c>
      <c r="F1162" t="s">
        <v>46</v>
      </c>
      <c r="G1162" t="s">
        <v>47</v>
      </c>
      <c r="H1162" t="s">
        <v>48</v>
      </c>
      <c r="I1162" t="s">
        <v>49</v>
      </c>
      <c r="J1162">
        <v>2</v>
      </c>
      <c r="K1162">
        <v>1600</v>
      </c>
      <c r="L1162">
        <v>3200</v>
      </c>
    </row>
    <row r="1163" spans="1:12" x14ac:dyDescent="0.3">
      <c r="A1163">
        <v>11162</v>
      </c>
      <c r="B1163" s="2">
        <v>45956</v>
      </c>
      <c r="C1163" t="s">
        <v>123</v>
      </c>
      <c r="D1163" t="s">
        <v>124</v>
      </c>
      <c r="E1163" t="s">
        <v>69</v>
      </c>
      <c r="F1163" t="s">
        <v>28</v>
      </c>
      <c r="G1163" t="s">
        <v>56</v>
      </c>
      <c r="H1163" t="s">
        <v>57</v>
      </c>
      <c r="I1163" t="s">
        <v>18</v>
      </c>
      <c r="J1163">
        <v>1</v>
      </c>
      <c r="K1163">
        <v>9000</v>
      </c>
      <c r="L1163">
        <v>9000</v>
      </c>
    </row>
    <row r="1164" spans="1:12" x14ac:dyDescent="0.3">
      <c r="A1164">
        <v>11163</v>
      </c>
      <c r="B1164" s="2">
        <v>45717</v>
      </c>
      <c r="C1164" t="s">
        <v>91</v>
      </c>
      <c r="D1164" t="s">
        <v>92</v>
      </c>
      <c r="E1164" t="s">
        <v>40</v>
      </c>
      <c r="F1164" t="s">
        <v>15</v>
      </c>
      <c r="G1164" t="s">
        <v>56</v>
      </c>
      <c r="H1164" t="s">
        <v>57</v>
      </c>
      <c r="I1164" t="s">
        <v>18</v>
      </c>
      <c r="J1164">
        <v>1</v>
      </c>
      <c r="K1164">
        <v>9000</v>
      </c>
      <c r="L1164">
        <v>9000</v>
      </c>
    </row>
    <row r="1165" spans="1:12" x14ac:dyDescent="0.3">
      <c r="A1165">
        <v>11164</v>
      </c>
      <c r="B1165" s="2">
        <v>45679</v>
      </c>
      <c r="C1165" t="s">
        <v>208</v>
      </c>
      <c r="D1165" t="s">
        <v>209</v>
      </c>
      <c r="E1165" t="s">
        <v>95</v>
      </c>
      <c r="F1165" t="s">
        <v>15</v>
      </c>
      <c r="G1165" t="s">
        <v>65</v>
      </c>
      <c r="H1165" t="s">
        <v>66</v>
      </c>
      <c r="I1165" t="s">
        <v>49</v>
      </c>
      <c r="J1165">
        <v>1</v>
      </c>
      <c r="K1165">
        <v>2400</v>
      </c>
      <c r="L1165">
        <v>2400</v>
      </c>
    </row>
    <row r="1166" spans="1:12" x14ac:dyDescent="0.3">
      <c r="A1166">
        <v>11165</v>
      </c>
      <c r="B1166" s="2">
        <v>45896</v>
      </c>
      <c r="C1166" t="s">
        <v>105</v>
      </c>
      <c r="D1166" t="s">
        <v>106</v>
      </c>
      <c r="E1166" t="s">
        <v>45</v>
      </c>
      <c r="F1166" t="s">
        <v>46</v>
      </c>
      <c r="G1166" t="s">
        <v>70</v>
      </c>
      <c r="H1166" t="s">
        <v>71</v>
      </c>
      <c r="I1166" t="s">
        <v>37</v>
      </c>
      <c r="J1166">
        <v>2</v>
      </c>
      <c r="K1166">
        <v>2200</v>
      </c>
      <c r="L1166">
        <v>4400</v>
      </c>
    </row>
    <row r="1167" spans="1:12" x14ac:dyDescent="0.3">
      <c r="A1167">
        <v>11166</v>
      </c>
      <c r="B1167" s="2">
        <v>45675</v>
      </c>
      <c r="C1167" t="s">
        <v>169</v>
      </c>
      <c r="D1167" t="s">
        <v>170</v>
      </c>
      <c r="E1167" t="s">
        <v>64</v>
      </c>
      <c r="F1167" t="s">
        <v>46</v>
      </c>
      <c r="G1167" t="s">
        <v>121</v>
      </c>
      <c r="H1167" t="s">
        <v>122</v>
      </c>
      <c r="I1167" t="s">
        <v>49</v>
      </c>
      <c r="J1167">
        <v>1</v>
      </c>
      <c r="K1167">
        <v>4800</v>
      </c>
      <c r="L1167">
        <v>4800</v>
      </c>
    </row>
    <row r="1168" spans="1:12" x14ac:dyDescent="0.3">
      <c r="A1168">
        <v>11167</v>
      </c>
      <c r="B1168" s="2">
        <v>45791</v>
      </c>
      <c r="C1168" t="s">
        <v>202</v>
      </c>
      <c r="D1168" t="s">
        <v>203</v>
      </c>
      <c r="E1168" t="s">
        <v>64</v>
      </c>
      <c r="F1168" t="s">
        <v>46</v>
      </c>
      <c r="G1168" t="s">
        <v>129</v>
      </c>
      <c r="H1168" t="s">
        <v>130</v>
      </c>
      <c r="I1168" t="s">
        <v>24</v>
      </c>
      <c r="J1168">
        <v>1</v>
      </c>
      <c r="K1168">
        <v>1400</v>
      </c>
      <c r="L1168">
        <v>1400</v>
      </c>
    </row>
    <row r="1169" spans="1:12" x14ac:dyDescent="0.3">
      <c r="A1169">
        <v>11168</v>
      </c>
      <c r="B1169" s="2">
        <v>45714</v>
      </c>
      <c r="C1169" t="s">
        <v>117</v>
      </c>
      <c r="D1169" t="s">
        <v>118</v>
      </c>
      <c r="E1169" t="s">
        <v>95</v>
      </c>
      <c r="F1169" t="s">
        <v>15</v>
      </c>
      <c r="G1169" t="s">
        <v>131</v>
      </c>
      <c r="H1169" t="s">
        <v>132</v>
      </c>
      <c r="I1169" t="s">
        <v>37</v>
      </c>
      <c r="J1169">
        <v>1</v>
      </c>
      <c r="K1169">
        <v>4500</v>
      </c>
      <c r="L1169">
        <v>4500</v>
      </c>
    </row>
    <row r="1170" spans="1:12" x14ac:dyDescent="0.3">
      <c r="A1170">
        <v>11169</v>
      </c>
      <c r="B1170" s="2">
        <v>45830</v>
      </c>
      <c r="C1170" t="s">
        <v>31</v>
      </c>
      <c r="D1170" t="s">
        <v>32</v>
      </c>
      <c r="E1170" t="s">
        <v>33</v>
      </c>
      <c r="F1170" t="s">
        <v>34</v>
      </c>
      <c r="G1170" t="s">
        <v>144</v>
      </c>
      <c r="H1170" t="s">
        <v>145</v>
      </c>
      <c r="I1170" t="s">
        <v>37</v>
      </c>
      <c r="J1170">
        <v>1</v>
      </c>
      <c r="K1170">
        <v>65000</v>
      </c>
      <c r="L1170">
        <v>65000</v>
      </c>
    </row>
    <row r="1171" spans="1:12" x14ac:dyDescent="0.3">
      <c r="A1171">
        <v>11170</v>
      </c>
      <c r="B1171" s="2">
        <v>45784</v>
      </c>
      <c r="C1171" t="s">
        <v>31</v>
      </c>
      <c r="D1171" t="s">
        <v>32</v>
      </c>
      <c r="E1171" t="s">
        <v>33</v>
      </c>
      <c r="F1171" t="s">
        <v>34</v>
      </c>
      <c r="G1171" t="s">
        <v>35</v>
      </c>
      <c r="H1171" t="s">
        <v>36</v>
      </c>
      <c r="I1171" t="s">
        <v>37</v>
      </c>
      <c r="J1171">
        <v>1</v>
      </c>
      <c r="K1171">
        <v>12000</v>
      </c>
      <c r="L1171">
        <v>12000</v>
      </c>
    </row>
    <row r="1172" spans="1:12" x14ac:dyDescent="0.3">
      <c r="A1172">
        <v>11171</v>
      </c>
      <c r="B1172" s="2">
        <v>45996</v>
      </c>
      <c r="C1172" t="s">
        <v>210</v>
      </c>
      <c r="D1172" t="s">
        <v>211</v>
      </c>
      <c r="E1172" t="s">
        <v>40</v>
      </c>
      <c r="F1172" t="s">
        <v>15</v>
      </c>
      <c r="G1172" t="s">
        <v>152</v>
      </c>
      <c r="H1172" t="s">
        <v>153</v>
      </c>
      <c r="I1172" t="s">
        <v>49</v>
      </c>
      <c r="J1172">
        <v>3</v>
      </c>
      <c r="K1172">
        <v>3200</v>
      </c>
      <c r="L1172">
        <v>9600</v>
      </c>
    </row>
    <row r="1173" spans="1:12" x14ac:dyDescent="0.3">
      <c r="A1173">
        <v>11172</v>
      </c>
      <c r="B1173" s="2">
        <v>45764</v>
      </c>
      <c r="C1173" t="s">
        <v>19</v>
      </c>
      <c r="D1173" t="s">
        <v>20</v>
      </c>
      <c r="E1173" t="s">
        <v>21</v>
      </c>
      <c r="F1173" t="s">
        <v>15</v>
      </c>
      <c r="G1173" t="s">
        <v>187</v>
      </c>
      <c r="H1173" t="s">
        <v>188</v>
      </c>
      <c r="I1173" t="s">
        <v>24</v>
      </c>
      <c r="J1173">
        <v>1</v>
      </c>
      <c r="K1173">
        <v>5500</v>
      </c>
      <c r="L1173">
        <v>5500</v>
      </c>
    </row>
    <row r="1174" spans="1:12" x14ac:dyDescent="0.3">
      <c r="A1174">
        <v>11173</v>
      </c>
      <c r="B1174" s="2">
        <v>45973</v>
      </c>
      <c r="C1174" t="s">
        <v>210</v>
      </c>
      <c r="D1174" t="s">
        <v>211</v>
      </c>
      <c r="E1174" t="s">
        <v>40</v>
      </c>
      <c r="F1174" t="s">
        <v>15</v>
      </c>
      <c r="G1174" t="s">
        <v>179</v>
      </c>
      <c r="H1174" t="s">
        <v>180</v>
      </c>
      <c r="I1174" t="s">
        <v>18</v>
      </c>
      <c r="J1174">
        <v>1</v>
      </c>
      <c r="K1174">
        <v>6500</v>
      </c>
      <c r="L1174">
        <v>6500</v>
      </c>
    </row>
    <row r="1175" spans="1:12" x14ac:dyDescent="0.3">
      <c r="A1175">
        <v>11174</v>
      </c>
      <c r="B1175" s="2">
        <v>45979</v>
      </c>
      <c r="C1175" t="s">
        <v>115</v>
      </c>
      <c r="D1175" t="s">
        <v>116</v>
      </c>
      <c r="E1175" t="s">
        <v>33</v>
      </c>
      <c r="F1175" t="s">
        <v>34</v>
      </c>
      <c r="G1175" t="s">
        <v>140</v>
      </c>
      <c r="H1175" t="s">
        <v>141</v>
      </c>
      <c r="I1175" t="s">
        <v>18</v>
      </c>
      <c r="J1175">
        <v>1</v>
      </c>
      <c r="K1175">
        <v>3000</v>
      </c>
      <c r="L1175">
        <v>3000</v>
      </c>
    </row>
    <row r="1176" spans="1:12" x14ac:dyDescent="0.3">
      <c r="A1176">
        <v>11175</v>
      </c>
      <c r="B1176" s="2">
        <v>45727</v>
      </c>
      <c r="C1176" t="s">
        <v>218</v>
      </c>
      <c r="D1176" t="s">
        <v>219</v>
      </c>
      <c r="E1176" t="s">
        <v>160</v>
      </c>
      <c r="F1176" t="s">
        <v>34</v>
      </c>
      <c r="G1176" t="s">
        <v>41</v>
      </c>
      <c r="H1176" t="s">
        <v>42</v>
      </c>
      <c r="I1176" t="s">
        <v>37</v>
      </c>
      <c r="J1176">
        <v>1</v>
      </c>
      <c r="K1176">
        <v>30000</v>
      </c>
      <c r="L1176">
        <v>30000</v>
      </c>
    </row>
    <row r="1177" spans="1:12" x14ac:dyDescent="0.3">
      <c r="A1177">
        <v>11176</v>
      </c>
      <c r="B1177" s="2">
        <v>45677</v>
      </c>
      <c r="C1177" t="s">
        <v>100</v>
      </c>
      <c r="D1177" t="s">
        <v>101</v>
      </c>
      <c r="E1177" t="s">
        <v>102</v>
      </c>
      <c r="F1177" t="s">
        <v>34</v>
      </c>
      <c r="G1177" t="s">
        <v>41</v>
      </c>
      <c r="H1177" t="s">
        <v>42</v>
      </c>
      <c r="I1177" t="s">
        <v>37</v>
      </c>
      <c r="J1177">
        <v>3</v>
      </c>
      <c r="K1177">
        <v>30000</v>
      </c>
      <c r="L1177">
        <v>90000</v>
      </c>
    </row>
    <row r="1178" spans="1:12" x14ac:dyDescent="0.3">
      <c r="A1178">
        <v>11177</v>
      </c>
      <c r="B1178" s="2">
        <v>45854</v>
      </c>
      <c r="C1178" t="s">
        <v>117</v>
      </c>
      <c r="D1178" t="s">
        <v>118</v>
      </c>
      <c r="E1178" t="s">
        <v>95</v>
      </c>
      <c r="F1178" t="s">
        <v>15</v>
      </c>
      <c r="G1178" t="s">
        <v>109</v>
      </c>
      <c r="H1178" t="s">
        <v>110</v>
      </c>
      <c r="I1178" t="s">
        <v>18</v>
      </c>
      <c r="J1178">
        <v>2</v>
      </c>
      <c r="K1178">
        <v>5000</v>
      </c>
      <c r="L1178">
        <v>10000</v>
      </c>
    </row>
    <row r="1179" spans="1:12" x14ac:dyDescent="0.3">
      <c r="A1179">
        <v>11178</v>
      </c>
      <c r="B1179" s="2">
        <v>45948</v>
      </c>
      <c r="C1179" t="s">
        <v>93</v>
      </c>
      <c r="D1179" t="s">
        <v>94</v>
      </c>
      <c r="E1179" t="s">
        <v>95</v>
      </c>
      <c r="F1179" t="s">
        <v>15</v>
      </c>
      <c r="G1179" t="s">
        <v>29</v>
      </c>
      <c r="H1179" t="s">
        <v>30</v>
      </c>
      <c r="I1179" t="s">
        <v>18</v>
      </c>
      <c r="J1179">
        <v>1</v>
      </c>
      <c r="K1179">
        <v>15000</v>
      </c>
      <c r="L1179">
        <v>15000</v>
      </c>
    </row>
    <row r="1180" spans="1:12" x14ac:dyDescent="0.3">
      <c r="A1180">
        <v>11179</v>
      </c>
      <c r="B1180" s="2">
        <v>45858</v>
      </c>
      <c r="C1180" t="s">
        <v>50</v>
      </c>
      <c r="D1180" t="s">
        <v>51</v>
      </c>
      <c r="E1180" t="s">
        <v>14</v>
      </c>
      <c r="F1180" t="s">
        <v>15</v>
      </c>
      <c r="G1180" t="s">
        <v>56</v>
      </c>
      <c r="H1180" t="s">
        <v>57</v>
      </c>
      <c r="I1180" t="s">
        <v>18</v>
      </c>
      <c r="J1180">
        <v>2</v>
      </c>
      <c r="K1180">
        <v>9000</v>
      </c>
      <c r="L1180">
        <v>18000</v>
      </c>
    </row>
    <row r="1181" spans="1:12" x14ac:dyDescent="0.3">
      <c r="A1181">
        <v>11180</v>
      </c>
      <c r="B1181" s="2">
        <v>45768</v>
      </c>
      <c r="C1181" t="s">
        <v>50</v>
      </c>
      <c r="D1181" t="s">
        <v>51</v>
      </c>
      <c r="E1181" t="s">
        <v>14</v>
      </c>
      <c r="F1181" t="s">
        <v>15</v>
      </c>
      <c r="G1181" t="s">
        <v>60</v>
      </c>
      <c r="H1181" t="s">
        <v>61</v>
      </c>
      <c r="I1181" t="s">
        <v>18</v>
      </c>
      <c r="J1181">
        <v>1</v>
      </c>
      <c r="K1181">
        <v>2200</v>
      </c>
      <c r="L1181">
        <v>2200</v>
      </c>
    </row>
    <row r="1182" spans="1:12" x14ac:dyDescent="0.3">
      <c r="A1182">
        <v>11181</v>
      </c>
      <c r="B1182" s="2">
        <v>45747</v>
      </c>
      <c r="C1182" t="s">
        <v>50</v>
      </c>
      <c r="D1182" t="s">
        <v>51</v>
      </c>
      <c r="E1182" t="s">
        <v>14</v>
      </c>
      <c r="F1182" t="s">
        <v>15</v>
      </c>
      <c r="G1182" t="s">
        <v>89</v>
      </c>
      <c r="H1182" t="s">
        <v>90</v>
      </c>
      <c r="I1182" t="s">
        <v>18</v>
      </c>
      <c r="J1182">
        <v>2</v>
      </c>
      <c r="K1182">
        <v>4200</v>
      </c>
      <c r="L1182">
        <v>8400</v>
      </c>
    </row>
    <row r="1183" spans="1:12" x14ac:dyDescent="0.3">
      <c r="A1183">
        <v>11182</v>
      </c>
      <c r="B1183" s="2">
        <v>45904</v>
      </c>
      <c r="C1183" t="s">
        <v>138</v>
      </c>
      <c r="D1183" t="s">
        <v>139</v>
      </c>
      <c r="E1183" t="s">
        <v>79</v>
      </c>
      <c r="F1183" t="s">
        <v>34</v>
      </c>
      <c r="G1183" t="s">
        <v>96</v>
      </c>
      <c r="H1183" t="s">
        <v>97</v>
      </c>
      <c r="I1183" t="s">
        <v>37</v>
      </c>
      <c r="J1183">
        <v>1</v>
      </c>
      <c r="K1183">
        <v>18000</v>
      </c>
      <c r="L1183">
        <v>18000</v>
      </c>
    </row>
    <row r="1184" spans="1:12" x14ac:dyDescent="0.3">
      <c r="A1184">
        <v>11183</v>
      </c>
      <c r="B1184" s="2">
        <v>45703</v>
      </c>
      <c r="C1184" t="s">
        <v>87</v>
      </c>
      <c r="D1184" t="s">
        <v>88</v>
      </c>
      <c r="E1184" t="s">
        <v>64</v>
      </c>
      <c r="F1184" t="s">
        <v>46</v>
      </c>
      <c r="G1184" t="s">
        <v>56</v>
      </c>
      <c r="H1184" t="s">
        <v>57</v>
      </c>
      <c r="I1184" t="s">
        <v>18</v>
      </c>
      <c r="J1184">
        <v>1</v>
      </c>
      <c r="K1184">
        <v>9000</v>
      </c>
      <c r="L1184">
        <v>9000</v>
      </c>
    </row>
    <row r="1185" spans="1:12" x14ac:dyDescent="0.3">
      <c r="A1185">
        <v>11184</v>
      </c>
      <c r="B1185" s="2">
        <v>45778</v>
      </c>
      <c r="C1185" t="s">
        <v>146</v>
      </c>
      <c r="D1185" t="s">
        <v>147</v>
      </c>
      <c r="E1185" t="s">
        <v>64</v>
      </c>
      <c r="F1185" t="s">
        <v>46</v>
      </c>
      <c r="G1185" t="s">
        <v>163</v>
      </c>
      <c r="H1185" t="s">
        <v>164</v>
      </c>
      <c r="I1185" t="s">
        <v>49</v>
      </c>
      <c r="J1185">
        <v>3</v>
      </c>
      <c r="K1185">
        <v>4200</v>
      </c>
      <c r="L1185">
        <v>12600</v>
      </c>
    </row>
    <row r="1186" spans="1:12" x14ac:dyDescent="0.3">
      <c r="A1186">
        <v>11185</v>
      </c>
      <c r="B1186" s="2">
        <v>45676</v>
      </c>
      <c r="C1186" t="s">
        <v>12</v>
      </c>
      <c r="D1186" t="s">
        <v>13</v>
      </c>
      <c r="E1186" t="s">
        <v>14</v>
      </c>
      <c r="F1186" t="s">
        <v>15</v>
      </c>
      <c r="G1186" t="s">
        <v>47</v>
      </c>
      <c r="H1186" t="s">
        <v>48</v>
      </c>
      <c r="I1186" t="s">
        <v>49</v>
      </c>
      <c r="J1186">
        <v>1</v>
      </c>
      <c r="K1186">
        <v>1600</v>
      </c>
      <c r="L1186">
        <v>1600</v>
      </c>
    </row>
    <row r="1187" spans="1:12" x14ac:dyDescent="0.3">
      <c r="A1187">
        <v>11186</v>
      </c>
      <c r="B1187" s="2">
        <v>46016</v>
      </c>
      <c r="C1187" t="s">
        <v>107</v>
      </c>
      <c r="D1187" t="s">
        <v>108</v>
      </c>
      <c r="E1187" t="s">
        <v>74</v>
      </c>
      <c r="F1187" t="s">
        <v>28</v>
      </c>
      <c r="G1187" t="s">
        <v>96</v>
      </c>
      <c r="H1187" t="s">
        <v>97</v>
      </c>
      <c r="I1187" t="s">
        <v>37</v>
      </c>
      <c r="J1187">
        <v>2</v>
      </c>
      <c r="K1187">
        <v>18000</v>
      </c>
      <c r="L1187">
        <v>36000</v>
      </c>
    </row>
    <row r="1188" spans="1:12" x14ac:dyDescent="0.3">
      <c r="A1188">
        <v>11187</v>
      </c>
      <c r="B1188" s="2">
        <v>45858</v>
      </c>
      <c r="C1188" t="s">
        <v>138</v>
      </c>
      <c r="D1188" t="s">
        <v>139</v>
      </c>
      <c r="E1188" t="s">
        <v>79</v>
      </c>
      <c r="F1188" t="s">
        <v>34</v>
      </c>
      <c r="G1188" t="s">
        <v>187</v>
      </c>
      <c r="H1188" t="s">
        <v>188</v>
      </c>
      <c r="I1188" t="s">
        <v>24</v>
      </c>
      <c r="J1188">
        <v>2</v>
      </c>
      <c r="K1188">
        <v>5500</v>
      </c>
      <c r="L1188">
        <v>11000</v>
      </c>
    </row>
    <row r="1189" spans="1:12" x14ac:dyDescent="0.3">
      <c r="A1189">
        <v>11188</v>
      </c>
      <c r="B1189" s="2">
        <v>45890</v>
      </c>
      <c r="C1189" t="s">
        <v>93</v>
      </c>
      <c r="D1189" t="s">
        <v>94</v>
      </c>
      <c r="E1189" t="s">
        <v>95</v>
      </c>
      <c r="F1189" t="s">
        <v>15</v>
      </c>
      <c r="G1189" t="s">
        <v>75</v>
      </c>
      <c r="H1189" t="s">
        <v>76</v>
      </c>
      <c r="I1189" t="s">
        <v>49</v>
      </c>
      <c r="J1189">
        <v>2</v>
      </c>
      <c r="K1189">
        <v>3000</v>
      </c>
      <c r="L1189">
        <v>6000</v>
      </c>
    </row>
    <row r="1190" spans="1:12" x14ac:dyDescent="0.3">
      <c r="A1190">
        <v>11189</v>
      </c>
      <c r="B1190" s="2">
        <v>45778</v>
      </c>
      <c r="C1190" t="s">
        <v>156</v>
      </c>
      <c r="D1190" t="s">
        <v>157</v>
      </c>
      <c r="E1190" t="s">
        <v>95</v>
      </c>
      <c r="F1190" t="s">
        <v>15</v>
      </c>
      <c r="G1190" t="s">
        <v>103</v>
      </c>
      <c r="H1190" t="s">
        <v>104</v>
      </c>
      <c r="I1190" t="s">
        <v>37</v>
      </c>
      <c r="J1190">
        <v>2</v>
      </c>
      <c r="K1190">
        <v>28000</v>
      </c>
      <c r="L1190">
        <v>56000</v>
      </c>
    </row>
    <row r="1191" spans="1:12" x14ac:dyDescent="0.3">
      <c r="A1191">
        <v>11190</v>
      </c>
      <c r="B1191" s="2">
        <v>45794</v>
      </c>
      <c r="C1191" t="s">
        <v>87</v>
      </c>
      <c r="D1191" t="s">
        <v>88</v>
      </c>
      <c r="E1191" t="s">
        <v>64</v>
      </c>
      <c r="F1191" t="s">
        <v>46</v>
      </c>
      <c r="G1191" t="s">
        <v>96</v>
      </c>
      <c r="H1191" t="s">
        <v>97</v>
      </c>
      <c r="I1191" t="s">
        <v>37</v>
      </c>
      <c r="J1191">
        <v>1</v>
      </c>
      <c r="K1191">
        <v>18000</v>
      </c>
      <c r="L1191">
        <v>18000</v>
      </c>
    </row>
    <row r="1192" spans="1:12" x14ac:dyDescent="0.3">
      <c r="A1192">
        <v>11191</v>
      </c>
      <c r="B1192" s="2">
        <v>46012</v>
      </c>
      <c r="C1192" t="s">
        <v>85</v>
      </c>
      <c r="D1192" t="s">
        <v>86</v>
      </c>
      <c r="E1192" t="s">
        <v>45</v>
      </c>
      <c r="F1192" t="s">
        <v>46</v>
      </c>
      <c r="G1192" t="s">
        <v>22</v>
      </c>
      <c r="H1192" t="s">
        <v>23</v>
      </c>
      <c r="I1192" t="s">
        <v>24</v>
      </c>
      <c r="J1192">
        <v>1</v>
      </c>
      <c r="K1192">
        <v>2400</v>
      </c>
      <c r="L1192">
        <v>2400</v>
      </c>
    </row>
    <row r="1193" spans="1:12" x14ac:dyDescent="0.3">
      <c r="A1193">
        <v>11192</v>
      </c>
      <c r="B1193" s="2">
        <v>45741</v>
      </c>
      <c r="C1193" t="s">
        <v>31</v>
      </c>
      <c r="D1193" t="s">
        <v>32</v>
      </c>
      <c r="E1193" t="s">
        <v>33</v>
      </c>
      <c r="F1193" t="s">
        <v>34</v>
      </c>
      <c r="G1193" t="s">
        <v>179</v>
      </c>
      <c r="H1193" t="s">
        <v>180</v>
      </c>
      <c r="I1193" t="s">
        <v>18</v>
      </c>
      <c r="J1193">
        <v>2</v>
      </c>
      <c r="K1193">
        <v>6500</v>
      </c>
      <c r="L1193">
        <v>13000</v>
      </c>
    </row>
    <row r="1194" spans="1:12" x14ac:dyDescent="0.3">
      <c r="A1194">
        <v>11193</v>
      </c>
      <c r="B1194" s="2">
        <v>45999</v>
      </c>
      <c r="C1194" t="s">
        <v>87</v>
      </c>
      <c r="D1194" t="s">
        <v>88</v>
      </c>
      <c r="E1194" t="s">
        <v>64</v>
      </c>
      <c r="F1194" t="s">
        <v>46</v>
      </c>
      <c r="G1194" t="s">
        <v>41</v>
      </c>
      <c r="H1194" t="s">
        <v>42</v>
      </c>
      <c r="I1194" t="s">
        <v>37</v>
      </c>
      <c r="J1194">
        <v>1</v>
      </c>
      <c r="K1194">
        <v>30000</v>
      </c>
      <c r="L1194">
        <v>30000</v>
      </c>
    </row>
    <row r="1195" spans="1:12" x14ac:dyDescent="0.3">
      <c r="A1195">
        <v>11194</v>
      </c>
      <c r="B1195" s="2">
        <v>45866</v>
      </c>
      <c r="C1195" t="s">
        <v>77</v>
      </c>
      <c r="D1195" t="s">
        <v>78</v>
      </c>
      <c r="E1195" t="s">
        <v>79</v>
      </c>
      <c r="F1195" t="s">
        <v>34</v>
      </c>
      <c r="G1195" t="s">
        <v>22</v>
      </c>
      <c r="H1195" t="s">
        <v>23</v>
      </c>
      <c r="I1195" t="s">
        <v>24</v>
      </c>
      <c r="J1195">
        <v>1</v>
      </c>
      <c r="K1195">
        <v>2400</v>
      </c>
      <c r="L1195">
        <v>2400</v>
      </c>
    </row>
    <row r="1196" spans="1:12" x14ac:dyDescent="0.3">
      <c r="A1196">
        <v>11195</v>
      </c>
      <c r="B1196" s="2">
        <v>45713</v>
      </c>
      <c r="C1196" t="s">
        <v>146</v>
      </c>
      <c r="D1196" t="s">
        <v>147</v>
      </c>
      <c r="E1196" t="s">
        <v>64</v>
      </c>
      <c r="F1196" t="s">
        <v>46</v>
      </c>
      <c r="G1196" t="s">
        <v>16</v>
      </c>
      <c r="H1196" t="s">
        <v>17</v>
      </c>
      <c r="I1196" t="s">
        <v>18</v>
      </c>
      <c r="J1196">
        <v>1</v>
      </c>
      <c r="K1196">
        <v>11000</v>
      </c>
      <c r="L1196">
        <v>11000</v>
      </c>
    </row>
    <row r="1197" spans="1:12" x14ac:dyDescent="0.3">
      <c r="A1197">
        <v>11196</v>
      </c>
      <c r="B1197" s="2">
        <v>45874</v>
      </c>
      <c r="C1197" t="s">
        <v>12</v>
      </c>
      <c r="D1197" t="s">
        <v>13</v>
      </c>
      <c r="E1197" t="s">
        <v>14</v>
      </c>
      <c r="F1197" t="s">
        <v>15</v>
      </c>
      <c r="G1197" t="s">
        <v>152</v>
      </c>
      <c r="H1197" t="s">
        <v>153</v>
      </c>
      <c r="I1197" t="s">
        <v>49</v>
      </c>
      <c r="J1197">
        <v>3</v>
      </c>
      <c r="K1197">
        <v>3200</v>
      </c>
      <c r="L1197">
        <v>9600</v>
      </c>
    </row>
    <row r="1198" spans="1:12" x14ac:dyDescent="0.3">
      <c r="A1198">
        <v>11197</v>
      </c>
      <c r="B1198" s="2">
        <v>45894</v>
      </c>
      <c r="C1198" t="s">
        <v>100</v>
      </c>
      <c r="D1198" t="s">
        <v>101</v>
      </c>
      <c r="E1198" t="s">
        <v>102</v>
      </c>
      <c r="F1198" t="s">
        <v>34</v>
      </c>
      <c r="G1198" t="s">
        <v>113</v>
      </c>
      <c r="H1198" t="s">
        <v>114</v>
      </c>
      <c r="I1198" t="s">
        <v>37</v>
      </c>
      <c r="J1198">
        <v>2</v>
      </c>
      <c r="K1198">
        <v>52000</v>
      </c>
      <c r="L1198">
        <v>104000</v>
      </c>
    </row>
    <row r="1199" spans="1:12" x14ac:dyDescent="0.3">
      <c r="A1199">
        <v>11198</v>
      </c>
      <c r="B1199" s="2">
        <v>45989</v>
      </c>
      <c r="C1199" t="s">
        <v>31</v>
      </c>
      <c r="D1199" t="s">
        <v>32</v>
      </c>
      <c r="E1199" t="s">
        <v>33</v>
      </c>
      <c r="F1199" t="s">
        <v>34</v>
      </c>
      <c r="G1199" t="s">
        <v>41</v>
      </c>
      <c r="H1199" t="s">
        <v>42</v>
      </c>
      <c r="I1199" t="s">
        <v>37</v>
      </c>
      <c r="J1199">
        <v>1</v>
      </c>
      <c r="K1199">
        <v>30000</v>
      </c>
      <c r="L1199">
        <v>30000</v>
      </c>
    </row>
    <row r="1200" spans="1:12" x14ac:dyDescent="0.3">
      <c r="A1200">
        <v>11199</v>
      </c>
      <c r="B1200" s="2">
        <v>45693</v>
      </c>
      <c r="C1200" t="s">
        <v>158</v>
      </c>
      <c r="D1200" t="s">
        <v>159</v>
      </c>
      <c r="E1200" t="s">
        <v>160</v>
      </c>
      <c r="F1200" t="s">
        <v>34</v>
      </c>
      <c r="G1200" t="s">
        <v>70</v>
      </c>
      <c r="H1200" t="s">
        <v>71</v>
      </c>
      <c r="I1200" t="s">
        <v>37</v>
      </c>
      <c r="J1200">
        <v>2</v>
      </c>
      <c r="K1200">
        <v>2200</v>
      </c>
      <c r="L1200">
        <v>4400</v>
      </c>
    </row>
    <row r="1201" spans="1:12" x14ac:dyDescent="0.3">
      <c r="A1201">
        <v>11200</v>
      </c>
      <c r="B1201" s="2">
        <v>45684</v>
      </c>
      <c r="C1201" t="s">
        <v>189</v>
      </c>
      <c r="D1201" t="s">
        <v>190</v>
      </c>
      <c r="E1201" t="s">
        <v>160</v>
      </c>
      <c r="F1201" t="s">
        <v>34</v>
      </c>
      <c r="G1201" t="s">
        <v>140</v>
      </c>
      <c r="H1201" t="s">
        <v>141</v>
      </c>
      <c r="I1201" t="s">
        <v>18</v>
      </c>
      <c r="J1201">
        <v>2</v>
      </c>
      <c r="K1201">
        <v>3000</v>
      </c>
      <c r="L1201">
        <v>6000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B55F-B71E-486A-91AA-58D3EBABCB83}">
  <dimension ref="A1:D81"/>
  <sheetViews>
    <sheetView workbookViewId="0">
      <selection activeCell="A7" sqref="A7:D16"/>
    </sheetView>
  </sheetViews>
  <sheetFormatPr defaultRowHeight="14.4" x14ac:dyDescent="0.3"/>
  <cols>
    <col min="1" max="1" width="16.6640625" bestFit="1" customWidth="1"/>
    <col min="3" max="3" width="16.109375" bestFit="1" customWidth="1"/>
    <col min="4" max="4" width="10.44140625" bestFit="1" customWidth="1"/>
  </cols>
  <sheetData>
    <row r="1" spans="1:4" x14ac:dyDescent="0.3">
      <c r="A1" t="s">
        <v>262</v>
      </c>
    </row>
    <row r="2" spans="1:4" x14ac:dyDescent="0.3">
      <c r="A2" s="9">
        <f>8984100/25193700</f>
        <v>0.3566010550256612</v>
      </c>
    </row>
    <row r="6" spans="1:4" x14ac:dyDescent="0.3">
      <c r="A6" t="s">
        <v>259</v>
      </c>
      <c r="B6" t="s">
        <v>261</v>
      </c>
      <c r="C6" t="s">
        <v>263</v>
      </c>
      <c r="D6" t="s">
        <v>257</v>
      </c>
    </row>
    <row r="7" spans="1:4" x14ac:dyDescent="0.3">
      <c r="A7" s="7" t="s">
        <v>200</v>
      </c>
      <c r="B7" s="8">
        <v>535300</v>
      </c>
      <c r="C7" s="8">
        <v>9</v>
      </c>
      <c r="D7" s="4">
        <f t="shared" ref="D7:D38" si="0">B7/C7</f>
        <v>59477.777777777781</v>
      </c>
    </row>
    <row r="8" spans="1:4" x14ac:dyDescent="0.3">
      <c r="A8" s="7" t="s">
        <v>211</v>
      </c>
      <c r="B8" s="8">
        <v>725200</v>
      </c>
      <c r="C8" s="8">
        <v>14</v>
      </c>
      <c r="D8" s="4">
        <f t="shared" si="0"/>
        <v>51800</v>
      </c>
    </row>
    <row r="9" spans="1:4" x14ac:dyDescent="0.3">
      <c r="A9" s="7" t="s">
        <v>143</v>
      </c>
      <c r="B9" s="8">
        <v>620900</v>
      </c>
      <c r="C9" s="8">
        <v>12</v>
      </c>
      <c r="D9" s="4">
        <f t="shared" si="0"/>
        <v>51741.666666666664</v>
      </c>
    </row>
    <row r="10" spans="1:4" x14ac:dyDescent="0.3">
      <c r="A10" s="7" t="s">
        <v>151</v>
      </c>
      <c r="B10" s="8">
        <v>302800</v>
      </c>
      <c r="C10" s="8">
        <v>8</v>
      </c>
      <c r="D10" s="4">
        <f t="shared" si="0"/>
        <v>37850</v>
      </c>
    </row>
    <row r="11" spans="1:4" x14ac:dyDescent="0.3">
      <c r="A11" s="7" t="s">
        <v>227</v>
      </c>
      <c r="B11" s="8">
        <v>327100</v>
      </c>
      <c r="C11" s="8">
        <v>9</v>
      </c>
      <c r="D11" s="4">
        <f t="shared" si="0"/>
        <v>36344.444444444445</v>
      </c>
    </row>
    <row r="12" spans="1:4" x14ac:dyDescent="0.3">
      <c r="A12" s="7" t="s">
        <v>112</v>
      </c>
      <c r="B12" s="8">
        <v>253300</v>
      </c>
      <c r="C12" s="8">
        <v>7</v>
      </c>
      <c r="D12" s="4">
        <f t="shared" si="0"/>
        <v>36185.714285714283</v>
      </c>
    </row>
    <row r="13" spans="1:4" x14ac:dyDescent="0.3">
      <c r="A13" s="7" t="s">
        <v>120</v>
      </c>
      <c r="B13" s="8">
        <v>527700</v>
      </c>
      <c r="C13" s="8">
        <v>15</v>
      </c>
      <c r="D13" s="4">
        <f t="shared" si="0"/>
        <v>35180</v>
      </c>
    </row>
    <row r="14" spans="1:4" x14ac:dyDescent="0.3">
      <c r="A14" s="7" t="s">
        <v>136</v>
      </c>
      <c r="B14" s="8">
        <v>597700</v>
      </c>
      <c r="C14" s="8">
        <v>17</v>
      </c>
      <c r="D14" s="4">
        <f t="shared" si="0"/>
        <v>35158.823529411762</v>
      </c>
    </row>
    <row r="15" spans="1:4" x14ac:dyDescent="0.3">
      <c r="A15" s="7" t="s">
        <v>86</v>
      </c>
      <c r="B15" s="8">
        <v>792500</v>
      </c>
      <c r="C15" s="8">
        <v>23</v>
      </c>
      <c r="D15" s="4">
        <f t="shared" si="0"/>
        <v>34456.521739130432</v>
      </c>
    </row>
    <row r="16" spans="1:4" x14ac:dyDescent="0.3">
      <c r="A16" s="7" t="s">
        <v>159</v>
      </c>
      <c r="B16" s="8">
        <v>265000</v>
      </c>
      <c r="C16" s="8">
        <v>8</v>
      </c>
      <c r="D16" s="4">
        <f t="shared" si="0"/>
        <v>33125</v>
      </c>
    </row>
    <row r="17" spans="1:4" x14ac:dyDescent="0.3">
      <c r="A17" s="7" t="s">
        <v>149</v>
      </c>
      <c r="B17" s="8">
        <v>819000</v>
      </c>
      <c r="C17" s="8">
        <v>25</v>
      </c>
      <c r="D17" s="4">
        <f t="shared" si="0"/>
        <v>32760</v>
      </c>
    </row>
    <row r="18" spans="1:4" x14ac:dyDescent="0.3">
      <c r="A18" s="7" t="s">
        <v>13</v>
      </c>
      <c r="B18" s="8">
        <v>891400</v>
      </c>
      <c r="C18" s="8">
        <v>28</v>
      </c>
      <c r="D18" s="4">
        <f t="shared" si="0"/>
        <v>31835.714285714286</v>
      </c>
    </row>
    <row r="19" spans="1:4" x14ac:dyDescent="0.3">
      <c r="A19" s="7" t="s">
        <v>172</v>
      </c>
      <c r="B19" s="8">
        <v>378200</v>
      </c>
      <c r="C19" s="8">
        <v>12</v>
      </c>
      <c r="D19" s="4">
        <f t="shared" si="0"/>
        <v>31516.666666666668</v>
      </c>
    </row>
    <row r="20" spans="1:4" x14ac:dyDescent="0.3">
      <c r="A20" s="7" t="s">
        <v>162</v>
      </c>
      <c r="B20" s="8">
        <v>282000</v>
      </c>
      <c r="C20" s="8">
        <v>9</v>
      </c>
      <c r="D20" s="4">
        <f t="shared" si="0"/>
        <v>31333.333333333332</v>
      </c>
    </row>
    <row r="21" spans="1:4" x14ac:dyDescent="0.3">
      <c r="A21" s="7" t="s">
        <v>219</v>
      </c>
      <c r="B21" s="8">
        <v>247000</v>
      </c>
      <c r="C21" s="8">
        <v>8</v>
      </c>
      <c r="D21" s="4">
        <f t="shared" si="0"/>
        <v>30875</v>
      </c>
    </row>
    <row r="22" spans="1:4" x14ac:dyDescent="0.3">
      <c r="A22" s="7" t="s">
        <v>55</v>
      </c>
      <c r="B22" s="8">
        <v>185000</v>
      </c>
      <c r="C22" s="8">
        <v>6</v>
      </c>
      <c r="D22" s="4">
        <f t="shared" si="0"/>
        <v>30833.333333333332</v>
      </c>
    </row>
    <row r="23" spans="1:4" x14ac:dyDescent="0.3">
      <c r="A23" s="7" t="s">
        <v>198</v>
      </c>
      <c r="B23" s="8">
        <v>469900</v>
      </c>
      <c r="C23" s="8">
        <v>16</v>
      </c>
      <c r="D23" s="4">
        <f t="shared" si="0"/>
        <v>29368.75</v>
      </c>
    </row>
    <row r="24" spans="1:4" x14ac:dyDescent="0.3">
      <c r="A24" s="7" t="s">
        <v>51</v>
      </c>
      <c r="B24" s="8">
        <v>1194100</v>
      </c>
      <c r="C24" s="8">
        <v>41</v>
      </c>
      <c r="D24" s="4">
        <f t="shared" si="0"/>
        <v>29124.390243902439</v>
      </c>
    </row>
    <row r="25" spans="1:4" x14ac:dyDescent="0.3">
      <c r="A25" s="7" t="s">
        <v>155</v>
      </c>
      <c r="B25" s="8">
        <v>315700</v>
      </c>
      <c r="C25" s="8">
        <v>11</v>
      </c>
      <c r="D25" s="4">
        <f t="shared" si="0"/>
        <v>28700</v>
      </c>
    </row>
    <row r="26" spans="1:4" x14ac:dyDescent="0.3">
      <c r="A26" s="7" t="s">
        <v>207</v>
      </c>
      <c r="B26" s="8">
        <v>338900</v>
      </c>
      <c r="C26" s="8">
        <v>12</v>
      </c>
      <c r="D26" s="4">
        <f t="shared" si="0"/>
        <v>28241.666666666668</v>
      </c>
    </row>
    <row r="27" spans="1:4" x14ac:dyDescent="0.3">
      <c r="A27" s="7" t="s">
        <v>186</v>
      </c>
      <c r="B27" s="8">
        <v>330500</v>
      </c>
      <c r="C27" s="8">
        <v>12</v>
      </c>
      <c r="D27" s="4">
        <f t="shared" si="0"/>
        <v>27541.666666666668</v>
      </c>
    </row>
    <row r="28" spans="1:4" x14ac:dyDescent="0.3">
      <c r="A28" s="7" t="s">
        <v>223</v>
      </c>
      <c r="B28" s="8">
        <v>323700</v>
      </c>
      <c r="C28" s="8">
        <v>12</v>
      </c>
      <c r="D28" s="4">
        <f t="shared" si="0"/>
        <v>26975</v>
      </c>
    </row>
    <row r="29" spans="1:4" x14ac:dyDescent="0.3">
      <c r="A29" s="7" t="s">
        <v>101</v>
      </c>
      <c r="B29" s="8">
        <v>482700</v>
      </c>
      <c r="C29" s="8">
        <v>18</v>
      </c>
      <c r="D29" s="4">
        <f t="shared" si="0"/>
        <v>26816.666666666668</v>
      </c>
    </row>
    <row r="30" spans="1:4" x14ac:dyDescent="0.3">
      <c r="A30" s="7" t="s">
        <v>157</v>
      </c>
      <c r="B30" s="8">
        <v>368700</v>
      </c>
      <c r="C30" s="8">
        <v>14</v>
      </c>
      <c r="D30" s="4">
        <f t="shared" si="0"/>
        <v>26335.714285714286</v>
      </c>
    </row>
    <row r="31" spans="1:4" x14ac:dyDescent="0.3">
      <c r="A31" s="7" t="s">
        <v>81</v>
      </c>
      <c r="B31" s="8">
        <v>414900</v>
      </c>
      <c r="C31" s="8">
        <v>16</v>
      </c>
      <c r="D31" s="4">
        <f t="shared" si="0"/>
        <v>25931.25</v>
      </c>
    </row>
    <row r="32" spans="1:4" x14ac:dyDescent="0.3">
      <c r="A32" s="7" t="s">
        <v>44</v>
      </c>
      <c r="B32" s="8">
        <v>849900</v>
      </c>
      <c r="C32" s="8">
        <v>33</v>
      </c>
      <c r="D32" s="4">
        <f t="shared" si="0"/>
        <v>25754.545454545456</v>
      </c>
    </row>
    <row r="33" spans="1:4" x14ac:dyDescent="0.3">
      <c r="A33" s="7" t="s">
        <v>205</v>
      </c>
      <c r="B33" s="8">
        <v>303400</v>
      </c>
      <c r="C33" s="8">
        <v>12</v>
      </c>
      <c r="D33" s="4">
        <f t="shared" si="0"/>
        <v>25283.333333333332</v>
      </c>
    </row>
    <row r="34" spans="1:4" x14ac:dyDescent="0.3">
      <c r="A34" s="7" t="s">
        <v>217</v>
      </c>
      <c r="B34" s="8">
        <v>227100</v>
      </c>
      <c r="C34" s="8">
        <v>9</v>
      </c>
      <c r="D34" s="4">
        <f t="shared" si="0"/>
        <v>25233.333333333332</v>
      </c>
    </row>
    <row r="35" spans="1:4" x14ac:dyDescent="0.3">
      <c r="A35" s="7" t="s">
        <v>78</v>
      </c>
      <c r="B35" s="8">
        <v>264800</v>
      </c>
      <c r="C35" s="8">
        <v>11</v>
      </c>
      <c r="D35" s="4">
        <f t="shared" si="0"/>
        <v>24072.727272727272</v>
      </c>
    </row>
    <row r="36" spans="1:4" x14ac:dyDescent="0.3">
      <c r="A36" s="7" t="s">
        <v>73</v>
      </c>
      <c r="B36" s="8">
        <v>641500</v>
      </c>
      <c r="C36" s="8">
        <v>27</v>
      </c>
      <c r="D36" s="4">
        <f t="shared" si="0"/>
        <v>23759.259259259259</v>
      </c>
    </row>
    <row r="37" spans="1:4" x14ac:dyDescent="0.3">
      <c r="A37" s="7" t="s">
        <v>213</v>
      </c>
      <c r="B37" s="8">
        <v>282700</v>
      </c>
      <c r="C37" s="8">
        <v>12</v>
      </c>
      <c r="D37" s="4">
        <f t="shared" si="0"/>
        <v>23558.333333333332</v>
      </c>
    </row>
    <row r="38" spans="1:4" x14ac:dyDescent="0.3">
      <c r="A38" s="7" t="s">
        <v>196</v>
      </c>
      <c r="B38" s="8">
        <v>187300</v>
      </c>
      <c r="C38" s="8">
        <v>8</v>
      </c>
      <c r="D38" s="4">
        <f t="shared" si="0"/>
        <v>23412.5</v>
      </c>
    </row>
    <row r="39" spans="1:4" x14ac:dyDescent="0.3">
      <c r="A39" s="7" t="s">
        <v>68</v>
      </c>
      <c r="B39" s="8">
        <v>298900</v>
      </c>
      <c r="C39" s="8">
        <v>13</v>
      </c>
      <c r="D39" s="4">
        <f t="shared" ref="D39:D70" si="1">B39/C39</f>
        <v>22992.307692307691</v>
      </c>
    </row>
    <row r="40" spans="1:4" x14ac:dyDescent="0.3">
      <c r="A40" s="7" t="s">
        <v>170</v>
      </c>
      <c r="B40" s="8">
        <v>296200</v>
      </c>
      <c r="C40" s="8">
        <v>13</v>
      </c>
      <c r="D40" s="4">
        <f t="shared" si="1"/>
        <v>22784.615384615383</v>
      </c>
    </row>
    <row r="41" spans="1:4" x14ac:dyDescent="0.3">
      <c r="A41" s="7" t="s">
        <v>63</v>
      </c>
      <c r="B41" s="8">
        <v>273100</v>
      </c>
      <c r="C41" s="8">
        <v>12</v>
      </c>
      <c r="D41" s="4">
        <f t="shared" si="1"/>
        <v>22758.333333333332</v>
      </c>
    </row>
    <row r="42" spans="1:4" x14ac:dyDescent="0.3">
      <c r="A42" s="7" t="s">
        <v>26</v>
      </c>
      <c r="B42" s="8">
        <v>335600</v>
      </c>
      <c r="C42" s="8">
        <v>15</v>
      </c>
      <c r="D42" s="4">
        <f t="shared" si="1"/>
        <v>22373.333333333332</v>
      </c>
    </row>
    <row r="43" spans="1:4" x14ac:dyDescent="0.3">
      <c r="A43" s="7" t="s">
        <v>20</v>
      </c>
      <c r="B43" s="8">
        <v>485700</v>
      </c>
      <c r="C43" s="8">
        <v>23</v>
      </c>
      <c r="D43" s="4">
        <f t="shared" si="1"/>
        <v>21117.391304347828</v>
      </c>
    </row>
    <row r="44" spans="1:4" x14ac:dyDescent="0.3">
      <c r="A44" s="7" t="s">
        <v>192</v>
      </c>
      <c r="B44" s="8">
        <v>279800</v>
      </c>
      <c r="C44" s="8">
        <v>14</v>
      </c>
      <c r="D44" s="4">
        <f t="shared" si="1"/>
        <v>19985.714285714286</v>
      </c>
    </row>
    <row r="45" spans="1:4" x14ac:dyDescent="0.3">
      <c r="A45" s="7" t="s">
        <v>237</v>
      </c>
      <c r="B45" s="8">
        <v>235900</v>
      </c>
      <c r="C45" s="8">
        <v>12</v>
      </c>
      <c r="D45" s="4">
        <f t="shared" si="1"/>
        <v>19658.333333333332</v>
      </c>
    </row>
    <row r="46" spans="1:4" x14ac:dyDescent="0.3">
      <c r="A46" s="7" t="s">
        <v>231</v>
      </c>
      <c r="B46" s="8">
        <v>113100</v>
      </c>
      <c r="C46" s="8">
        <v>6</v>
      </c>
      <c r="D46" s="4">
        <f t="shared" si="1"/>
        <v>18850</v>
      </c>
    </row>
    <row r="47" spans="1:4" x14ac:dyDescent="0.3">
      <c r="A47" s="7" t="s">
        <v>174</v>
      </c>
      <c r="B47" s="8">
        <v>280300</v>
      </c>
      <c r="C47" s="8">
        <v>15</v>
      </c>
      <c r="D47" s="4">
        <f t="shared" si="1"/>
        <v>18686.666666666668</v>
      </c>
    </row>
    <row r="48" spans="1:4" x14ac:dyDescent="0.3">
      <c r="A48" s="7" t="s">
        <v>184</v>
      </c>
      <c r="B48" s="8">
        <v>382900</v>
      </c>
      <c r="C48" s="8">
        <v>21</v>
      </c>
      <c r="D48" s="4">
        <f t="shared" si="1"/>
        <v>18233.333333333332</v>
      </c>
    </row>
    <row r="49" spans="1:4" x14ac:dyDescent="0.3">
      <c r="A49" s="7" t="s">
        <v>176</v>
      </c>
      <c r="B49" s="8">
        <v>296100</v>
      </c>
      <c r="C49" s="8">
        <v>17</v>
      </c>
      <c r="D49" s="4">
        <f t="shared" si="1"/>
        <v>17417.647058823528</v>
      </c>
    </row>
    <row r="50" spans="1:4" x14ac:dyDescent="0.3">
      <c r="A50" s="7" t="s">
        <v>229</v>
      </c>
      <c r="B50" s="8">
        <v>104500</v>
      </c>
      <c r="C50" s="8">
        <v>6</v>
      </c>
      <c r="D50" s="4">
        <f t="shared" si="1"/>
        <v>17416.666666666668</v>
      </c>
    </row>
    <row r="51" spans="1:4" x14ac:dyDescent="0.3">
      <c r="A51" s="7" t="s">
        <v>88</v>
      </c>
      <c r="B51" s="8">
        <v>363500</v>
      </c>
      <c r="C51" s="8">
        <v>21</v>
      </c>
      <c r="D51" s="4">
        <f t="shared" si="1"/>
        <v>17309.523809523809</v>
      </c>
    </row>
    <row r="52" spans="1:4" x14ac:dyDescent="0.3">
      <c r="A52" s="7" t="s">
        <v>235</v>
      </c>
      <c r="B52" s="8">
        <v>84900</v>
      </c>
      <c r="C52" s="8">
        <v>5</v>
      </c>
      <c r="D52" s="4">
        <f t="shared" si="1"/>
        <v>16980</v>
      </c>
    </row>
    <row r="53" spans="1:4" x14ac:dyDescent="0.3">
      <c r="A53" s="7" t="s">
        <v>32</v>
      </c>
      <c r="B53" s="8">
        <v>372300</v>
      </c>
      <c r="C53" s="8">
        <v>22</v>
      </c>
      <c r="D53" s="4">
        <f t="shared" si="1"/>
        <v>16922.727272727272</v>
      </c>
    </row>
    <row r="54" spans="1:4" x14ac:dyDescent="0.3">
      <c r="A54" s="7" t="s">
        <v>147</v>
      </c>
      <c r="B54" s="8">
        <v>709800</v>
      </c>
      <c r="C54" s="8">
        <v>42</v>
      </c>
      <c r="D54" s="4">
        <f t="shared" si="1"/>
        <v>16900</v>
      </c>
    </row>
    <row r="55" spans="1:4" x14ac:dyDescent="0.3">
      <c r="A55" s="7" t="s">
        <v>215</v>
      </c>
      <c r="B55" s="8">
        <v>167200</v>
      </c>
      <c r="C55" s="8">
        <v>10</v>
      </c>
      <c r="D55" s="4">
        <f t="shared" si="1"/>
        <v>16720</v>
      </c>
    </row>
    <row r="56" spans="1:4" x14ac:dyDescent="0.3">
      <c r="A56" s="7" t="s">
        <v>106</v>
      </c>
      <c r="B56" s="8">
        <v>701900</v>
      </c>
      <c r="C56" s="8">
        <v>43</v>
      </c>
      <c r="D56" s="4">
        <f t="shared" si="1"/>
        <v>16323.255813953489</v>
      </c>
    </row>
    <row r="57" spans="1:4" x14ac:dyDescent="0.3">
      <c r="A57" s="7" t="s">
        <v>134</v>
      </c>
      <c r="B57" s="8">
        <v>697900</v>
      </c>
      <c r="C57" s="8">
        <v>44</v>
      </c>
      <c r="D57" s="4">
        <f t="shared" si="1"/>
        <v>15861.363636363636</v>
      </c>
    </row>
    <row r="58" spans="1:4" x14ac:dyDescent="0.3">
      <c r="A58" s="7" t="s">
        <v>39</v>
      </c>
      <c r="B58" s="8">
        <v>282600</v>
      </c>
      <c r="C58" s="8">
        <v>18</v>
      </c>
      <c r="D58" s="4">
        <f t="shared" si="1"/>
        <v>15700</v>
      </c>
    </row>
    <row r="59" spans="1:4" x14ac:dyDescent="0.3">
      <c r="A59" s="7" t="s">
        <v>239</v>
      </c>
      <c r="B59" s="8">
        <v>125600</v>
      </c>
      <c r="C59" s="8">
        <v>8</v>
      </c>
      <c r="D59" s="4">
        <f t="shared" si="1"/>
        <v>15700</v>
      </c>
    </row>
    <row r="60" spans="1:4" x14ac:dyDescent="0.3">
      <c r="A60" s="7" t="s">
        <v>118</v>
      </c>
      <c r="B60" s="8">
        <v>472100</v>
      </c>
      <c r="C60" s="8">
        <v>31</v>
      </c>
      <c r="D60" s="4">
        <f t="shared" si="1"/>
        <v>15229.032258064517</v>
      </c>
    </row>
    <row r="61" spans="1:4" x14ac:dyDescent="0.3">
      <c r="A61" s="7" t="s">
        <v>139</v>
      </c>
      <c r="B61" s="8">
        <v>241200</v>
      </c>
      <c r="C61" s="8">
        <v>16</v>
      </c>
      <c r="D61" s="4">
        <f t="shared" si="1"/>
        <v>15075</v>
      </c>
    </row>
    <row r="62" spans="1:4" x14ac:dyDescent="0.3">
      <c r="A62" s="7" t="s">
        <v>203</v>
      </c>
      <c r="B62" s="8">
        <v>164100</v>
      </c>
      <c r="C62" s="8">
        <v>11</v>
      </c>
      <c r="D62" s="4">
        <f t="shared" si="1"/>
        <v>14918.181818181818</v>
      </c>
    </row>
    <row r="63" spans="1:4" x14ac:dyDescent="0.3">
      <c r="A63" s="7" t="s">
        <v>209</v>
      </c>
      <c r="B63" s="8">
        <v>161900</v>
      </c>
      <c r="C63" s="8">
        <v>11</v>
      </c>
      <c r="D63" s="4">
        <f t="shared" si="1"/>
        <v>14718.181818181818</v>
      </c>
    </row>
    <row r="64" spans="1:4" x14ac:dyDescent="0.3">
      <c r="A64" s="7" t="s">
        <v>94</v>
      </c>
      <c r="B64" s="8">
        <v>336100</v>
      </c>
      <c r="C64" s="8">
        <v>23</v>
      </c>
      <c r="D64" s="4">
        <f t="shared" si="1"/>
        <v>14613.04347826087</v>
      </c>
    </row>
    <row r="65" spans="1:4" x14ac:dyDescent="0.3">
      <c r="A65" s="7" t="s">
        <v>83</v>
      </c>
      <c r="B65" s="8">
        <v>318900</v>
      </c>
      <c r="C65" s="8">
        <v>23</v>
      </c>
      <c r="D65" s="4">
        <f t="shared" si="1"/>
        <v>13865.217391304348</v>
      </c>
    </row>
    <row r="66" spans="1:4" x14ac:dyDescent="0.3">
      <c r="A66" s="7" t="s">
        <v>92</v>
      </c>
      <c r="B66" s="8">
        <v>655100</v>
      </c>
      <c r="C66" s="8">
        <v>48</v>
      </c>
      <c r="D66" s="4">
        <f t="shared" si="1"/>
        <v>13647.916666666666</v>
      </c>
    </row>
    <row r="67" spans="1:4" x14ac:dyDescent="0.3">
      <c r="A67" s="7" t="s">
        <v>194</v>
      </c>
      <c r="B67" s="8">
        <v>251600</v>
      </c>
      <c r="C67" s="8">
        <v>19</v>
      </c>
      <c r="D67" s="4">
        <f t="shared" si="1"/>
        <v>13242.105263157895</v>
      </c>
    </row>
    <row r="68" spans="1:4" x14ac:dyDescent="0.3">
      <c r="A68" s="7" t="s">
        <v>190</v>
      </c>
      <c r="B68" s="8">
        <v>153800</v>
      </c>
      <c r="C68" s="8">
        <v>12</v>
      </c>
      <c r="D68" s="4">
        <f t="shared" si="1"/>
        <v>12816.666666666666</v>
      </c>
    </row>
    <row r="69" spans="1:4" x14ac:dyDescent="0.3">
      <c r="A69" s="7" t="s">
        <v>116</v>
      </c>
      <c r="B69" s="8">
        <v>226700</v>
      </c>
      <c r="C69" s="8">
        <v>18</v>
      </c>
      <c r="D69" s="4">
        <f t="shared" si="1"/>
        <v>12594.444444444445</v>
      </c>
    </row>
    <row r="70" spans="1:4" x14ac:dyDescent="0.3">
      <c r="A70" s="7" t="s">
        <v>233</v>
      </c>
      <c r="B70" s="8">
        <v>82800</v>
      </c>
      <c r="C70" s="8">
        <v>7</v>
      </c>
      <c r="D70" s="4">
        <f t="shared" si="1"/>
        <v>11828.571428571429</v>
      </c>
    </row>
    <row r="71" spans="1:4" x14ac:dyDescent="0.3">
      <c r="A71" s="7" t="s">
        <v>182</v>
      </c>
      <c r="B71" s="8">
        <v>146800</v>
      </c>
      <c r="C71" s="8">
        <v>13</v>
      </c>
      <c r="D71" s="4">
        <f t="shared" ref="D71:D102" si="2">B71/C71</f>
        <v>11292.307692307691</v>
      </c>
    </row>
    <row r="72" spans="1:4" x14ac:dyDescent="0.3">
      <c r="A72" s="7" t="s">
        <v>221</v>
      </c>
      <c r="B72" s="8">
        <v>156100</v>
      </c>
      <c r="C72" s="8">
        <v>15</v>
      </c>
      <c r="D72" s="4">
        <f t="shared" si="2"/>
        <v>10406.666666666666</v>
      </c>
    </row>
    <row r="73" spans="1:4" x14ac:dyDescent="0.3">
      <c r="A73" s="7" t="s">
        <v>59</v>
      </c>
      <c r="B73" s="8">
        <v>194200</v>
      </c>
      <c r="C73" s="8">
        <v>19</v>
      </c>
      <c r="D73" s="4">
        <f t="shared" si="2"/>
        <v>10221.052631578947</v>
      </c>
    </row>
    <row r="74" spans="1:4" x14ac:dyDescent="0.3">
      <c r="A74" s="7" t="s">
        <v>124</v>
      </c>
      <c r="B74" s="8">
        <v>158300</v>
      </c>
      <c r="C74" s="8">
        <v>16</v>
      </c>
      <c r="D74" s="4">
        <f t="shared" si="2"/>
        <v>9893.75</v>
      </c>
    </row>
    <row r="75" spans="1:4" x14ac:dyDescent="0.3">
      <c r="A75" s="7" t="s">
        <v>128</v>
      </c>
      <c r="B75" s="8">
        <v>156800</v>
      </c>
      <c r="C75" s="8">
        <v>16</v>
      </c>
      <c r="D75" s="4">
        <f t="shared" si="2"/>
        <v>9800</v>
      </c>
    </row>
    <row r="76" spans="1:4" x14ac:dyDescent="0.3">
      <c r="A76" s="7" t="s">
        <v>241</v>
      </c>
      <c r="B76" s="8">
        <v>9600</v>
      </c>
      <c r="C76" s="8">
        <v>1</v>
      </c>
      <c r="D76" s="4">
        <f t="shared" si="2"/>
        <v>9600</v>
      </c>
    </row>
    <row r="77" spans="1:4" x14ac:dyDescent="0.3">
      <c r="A77" s="7" t="s">
        <v>166</v>
      </c>
      <c r="B77" s="8">
        <v>57500</v>
      </c>
      <c r="C77" s="8">
        <v>6</v>
      </c>
      <c r="D77" s="4">
        <f t="shared" si="2"/>
        <v>9583.3333333333339</v>
      </c>
    </row>
    <row r="78" spans="1:4" x14ac:dyDescent="0.3">
      <c r="A78" s="7" t="s">
        <v>108</v>
      </c>
      <c r="B78" s="8">
        <v>188700</v>
      </c>
      <c r="C78" s="8">
        <v>21</v>
      </c>
      <c r="D78" s="4">
        <f t="shared" si="2"/>
        <v>8985.7142857142862</v>
      </c>
    </row>
    <row r="79" spans="1:4" x14ac:dyDescent="0.3">
      <c r="A79" s="7" t="s">
        <v>225</v>
      </c>
      <c r="B79" s="8">
        <v>106800</v>
      </c>
      <c r="C79" s="8">
        <v>12</v>
      </c>
      <c r="D79" s="4">
        <f t="shared" si="2"/>
        <v>8900</v>
      </c>
    </row>
    <row r="80" spans="1:4" x14ac:dyDescent="0.3">
      <c r="A80" s="7" t="s">
        <v>243</v>
      </c>
      <c r="B80" s="8">
        <v>25800</v>
      </c>
      <c r="C80" s="8">
        <v>3</v>
      </c>
      <c r="D80" s="4">
        <f t="shared" si="2"/>
        <v>8600</v>
      </c>
    </row>
    <row r="81" spans="1:4" x14ac:dyDescent="0.3">
      <c r="A81" s="7" t="s">
        <v>245</v>
      </c>
      <c r="B81" s="8">
        <v>15100</v>
      </c>
      <c r="C81" s="8">
        <v>5</v>
      </c>
      <c r="D81" s="4">
        <f t="shared" si="2"/>
        <v>3020</v>
      </c>
    </row>
  </sheetData>
  <sortState xmlns:xlrd2="http://schemas.microsoft.com/office/spreadsheetml/2017/richdata2" ref="A7:D81">
    <sortCondition descending="1" ref="D7:D81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246</v>
      </c>
      <c r="B1" s="1" t="s">
        <v>247</v>
      </c>
    </row>
    <row r="2" spans="1:2" x14ac:dyDescent="0.3">
      <c r="A2" t="s">
        <v>248</v>
      </c>
      <c r="B2">
        <v>1200</v>
      </c>
    </row>
    <row r="3" spans="1:2" x14ac:dyDescent="0.3">
      <c r="A3" t="s">
        <v>249</v>
      </c>
      <c r="B3">
        <v>75</v>
      </c>
    </row>
    <row r="4" spans="1:2" x14ac:dyDescent="0.3">
      <c r="A4" t="s">
        <v>250</v>
      </c>
      <c r="B4">
        <v>30</v>
      </c>
    </row>
    <row r="5" spans="1:2" x14ac:dyDescent="0.3">
      <c r="A5" t="s">
        <v>251</v>
      </c>
      <c r="B5">
        <v>4</v>
      </c>
    </row>
    <row r="6" spans="1:2" x14ac:dyDescent="0.3">
      <c r="A6" t="s">
        <v>252</v>
      </c>
      <c r="B6">
        <v>4</v>
      </c>
    </row>
    <row r="7" spans="1:2" x14ac:dyDescent="0.3">
      <c r="A7" t="s">
        <v>253</v>
      </c>
      <c r="B7" t="s">
        <v>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/>
  </sheetViews>
  <sheetFormatPr defaultRowHeight="14.4" x14ac:dyDescent="0.3"/>
  <sheetData>
    <row r="1" spans="1:4" x14ac:dyDescent="0.3">
      <c r="A1" s="1" t="s">
        <v>6</v>
      </c>
      <c r="B1" s="1" t="s">
        <v>7</v>
      </c>
      <c r="C1" s="1" t="s">
        <v>8</v>
      </c>
      <c r="D1" s="1" t="s">
        <v>10</v>
      </c>
    </row>
    <row r="2" spans="1:4" x14ac:dyDescent="0.3">
      <c r="A2" t="s">
        <v>144</v>
      </c>
      <c r="B2" t="s">
        <v>145</v>
      </c>
      <c r="C2" t="s">
        <v>37</v>
      </c>
      <c r="D2">
        <v>65000</v>
      </c>
    </row>
    <row r="3" spans="1:4" x14ac:dyDescent="0.3">
      <c r="A3" t="s">
        <v>113</v>
      </c>
      <c r="B3" t="s">
        <v>114</v>
      </c>
      <c r="C3" t="s">
        <v>37</v>
      </c>
      <c r="D3">
        <v>52000</v>
      </c>
    </row>
    <row r="4" spans="1:4" x14ac:dyDescent="0.3">
      <c r="A4" t="s">
        <v>41</v>
      </c>
      <c r="B4" t="s">
        <v>42</v>
      </c>
      <c r="C4" t="s">
        <v>37</v>
      </c>
      <c r="D4">
        <v>30000</v>
      </c>
    </row>
    <row r="5" spans="1:4" x14ac:dyDescent="0.3">
      <c r="A5" t="s">
        <v>125</v>
      </c>
      <c r="B5" t="s">
        <v>126</v>
      </c>
      <c r="C5" t="s">
        <v>37</v>
      </c>
      <c r="D5">
        <v>22000</v>
      </c>
    </row>
    <row r="6" spans="1:4" x14ac:dyDescent="0.3">
      <c r="A6" t="s">
        <v>103</v>
      </c>
      <c r="B6" t="s">
        <v>104</v>
      </c>
      <c r="C6" t="s">
        <v>37</v>
      </c>
      <c r="D6">
        <v>28000</v>
      </c>
    </row>
    <row r="7" spans="1:4" x14ac:dyDescent="0.3">
      <c r="A7" t="s">
        <v>35</v>
      </c>
      <c r="B7" t="s">
        <v>36</v>
      </c>
      <c r="C7" t="s">
        <v>37</v>
      </c>
      <c r="D7">
        <v>12000</v>
      </c>
    </row>
    <row r="8" spans="1:4" x14ac:dyDescent="0.3">
      <c r="A8" t="s">
        <v>96</v>
      </c>
      <c r="B8" t="s">
        <v>97</v>
      </c>
      <c r="C8" t="s">
        <v>37</v>
      </c>
      <c r="D8">
        <v>18000</v>
      </c>
    </row>
    <row r="9" spans="1:4" x14ac:dyDescent="0.3">
      <c r="A9" t="s">
        <v>131</v>
      </c>
      <c r="B9" t="s">
        <v>132</v>
      </c>
      <c r="C9" t="s">
        <v>37</v>
      </c>
      <c r="D9">
        <v>4500</v>
      </c>
    </row>
    <row r="10" spans="1:4" x14ac:dyDescent="0.3">
      <c r="A10" t="s">
        <v>177</v>
      </c>
      <c r="B10" t="s">
        <v>178</v>
      </c>
      <c r="C10" t="s">
        <v>37</v>
      </c>
      <c r="D10">
        <v>2500</v>
      </c>
    </row>
    <row r="11" spans="1:4" x14ac:dyDescent="0.3">
      <c r="A11" t="s">
        <v>70</v>
      </c>
      <c r="B11" t="s">
        <v>71</v>
      </c>
      <c r="C11" t="s">
        <v>37</v>
      </c>
      <c r="D11">
        <v>2200</v>
      </c>
    </row>
    <row r="12" spans="1:4" x14ac:dyDescent="0.3">
      <c r="A12" t="s">
        <v>179</v>
      </c>
      <c r="B12" t="s">
        <v>180</v>
      </c>
      <c r="C12" t="s">
        <v>18</v>
      </c>
      <c r="D12">
        <v>6500</v>
      </c>
    </row>
    <row r="13" spans="1:4" x14ac:dyDescent="0.3">
      <c r="A13" t="s">
        <v>109</v>
      </c>
      <c r="B13" t="s">
        <v>110</v>
      </c>
      <c r="C13" t="s">
        <v>18</v>
      </c>
      <c r="D13">
        <v>5000</v>
      </c>
    </row>
    <row r="14" spans="1:4" x14ac:dyDescent="0.3">
      <c r="A14" t="s">
        <v>89</v>
      </c>
      <c r="B14" t="s">
        <v>90</v>
      </c>
      <c r="C14" t="s">
        <v>18</v>
      </c>
      <c r="D14">
        <v>4200</v>
      </c>
    </row>
    <row r="15" spans="1:4" x14ac:dyDescent="0.3">
      <c r="A15" t="s">
        <v>16</v>
      </c>
      <c r="B15" t="s">
        <v>17</v>
      </c>
      <c r="C15" t="s">
        <v>18</v>
      </c>
      <c r="D15">
        <v>11000</v>
      </c>
    </row>
    <row r="16" spans="1:4" x14ac:dyDescent="0.3">
      <c r="A16" t="s">
        <v>56</v>
      </c>
      <c r="B16" t="s">
        <v>57</v>
      </c>
      <c r="C16" t="s">
        <v>18</v>
      </c>
      <c r="D16">
        <v>9000</v>
      </c>
    </row>
    <row r="17" spans="1:4" x14ac:dyDescent="0.3">
      <c r="A17" t="s">
        <v>60</v>
      </c>
      <c r="B17" t="s">
        <v>61</v>
      </c>
      <c r="C17" t="s">
        <v>18</v>
      </c>
      <c r="D17">
        <v>2200</v>
      </c>
    </row>
    <row r="18" spans="1:4" x14ac:dyDescent="0.3">
      <c r="A18" t="s">
        <v>29</v>
      </c>
      <c r="B18" t="s">
        <v>30</v>
      </c>
      <c r="C18" t="s">
        <v>18</v>
      </c>
      <c r="D18">
        <v>15000</v>
      </c>
    </row>
    <row r="19" spans="1:4" x14ac:dyDescent="0.3">
      <c r="A19" t="s">
        <v>140</v>
      </c>
      <c r="B19" t="s">
        <v>141</v>
      </c>
      <c r="C19" t="s">
        <v>18</v>
      </c>
      <c r="D19">
        <v>3000</v>
      </c>
    </row>
    <row r="20" spans="1:4" x14ac:dyDescent="0.3">
      <c r="A20" t="s">
        <v>152</v>
      </c>
      <c r="B20" t="s">
        <v>153</v>
      </c>
      <c r="C20" t="s">
        <v>49</v>
      </c>
      <c r="D20">
        <v>3200</v>
      </c>
    </row>
    <row r="21" spans="1:4" x14ac:dyDescent="0.3">
      <c r="A21" t="s">
        <v>47</v>
      </c>
      <c r="B21" t="s">
        <v>48</v>
      </c>
      <c r="C21" t="s">
        <v>49</v>
      </c>
      <c r="D21">
        <v>1600</v>
      </c>
    </row>
    <row r="22" spans="1:4" x14ac:dyDescent="0.3">
      <c r="A22" t="s">
        <v>65</v>
      </c>
      <c r="B22" t="s">
        <v>66</v>
      </c>
      <c r="C22" t="s">
        <v>49</v>
      </c>
      <c r="D22">
        <v>2400</v>
      </c>
    </row>
    <row r="23" spans="1:4" x14ac:dyDescent="0.3">
      <c r="A23" t="s">
        <v>121</v>
      </c>
      <c r="B23" t="s">
        <v>122</v>
      </c>
      <c r="C23" t="s">
        <v>49</v>
      </c>
      <c r="D23">
        <v>4800</v>
      </c>
    </row>
    <row r="24" spans="1:4" x14ac:dyDescent="0.3">
      <c r="A24" t="s">
        <v>163</v>
      </c>
      <c r="B24" t="s">
        <v>164</v>
      </c>
      <c r="C24" t="s">
        <v>49</v>
      </c>
      <c r="D24">
        <v>4200</v>
      </c>
    </row>
    <row r="25" spans="1:4" x14ac:dyDescent="0.3">
      <c r="A25" t="s">
        <v>75</v>
      </c>
      <c r="B25" t="s">
        <v>76</v>
      </c>
      <c r="C25" t="s">
        <v>49</v>
      </c>
      <c r="D25">
        <v>3000</v>
      </c>
    </row>
    <row r="26" spans="1:4" x14ac:dyDescent="0.3">
      <c r="A26" t="s">
        <v>167</v>
      </c>
      <c r="B26" t="s">
        <v>168</v>
      </c>
      <c r="C26" t="s">
        <v>49</v>
      </c>
      <c r="D26">
        <v>3800</v>
      </c>
    </row>
    <row r="27" spans="1:4" x14ac:dyDescent="0.3">
      <c r="A27" t="s">
        <v>22</v>
      </c>
      <c r="B27" t="s">
        <v>23</v>
      </c>
      <c r="C27" t="s">
        <v>24</v>
      </c>
      <c r="D27">
        <v>2400</v>
      </c>
    </row>
    <row r="28" spans="1:4" x14ac:dyDescent="0.3">
      <c r="A28" t="s">
        <v>187</v>
      </c>
      <c r="B28" t="s">
        <v>188</v>
      </c>
      <c r="C28" t="s">
        <v>24</v>
      </c>
      <c r="D28">
        <v>5500</v>
      </c>
    </row>
    <row r="29" spans="1:4" x14ac:dyDescent="0.3">
      <c r="A29" t="s">
        <v>129</v>
      </c>
      <c r="B29" t="s">
        <v>130</v>
      </c>
      <c r="C29" t="s">
        <v>24</v>
      </c>
      <c r="D29">
        <v>1400</v>
      </c>
    </row>
    <row r="30" spans="1:4" x14ac:dyDescent="0.3">
      <c r="A30" t="s">
        <v>98</v>
      </c>
      <c r="B30" t="s">
        <v>99</v>
      </c>
      <c r="C30" t="s">
        <v>24</v>
      </c>
      <c r="D30">
        <v>2000</v>
      </c>
    </row>
    <row r="31" spans="1:4" x14ac:dyDescent="0.3">
      <c r="A31" t="s">
        <v>52</v>
      </c>
      <c r="B31" t="s">
        <v>53</v>
      </c>
      <c r="C31" t="s">
        <v>24</v>
      </c>
      <c r="D31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Pivot Table</vt:lpstr>
      <vt:lpstr>Sales_Data Cleaning</vt:lpstr>
      <vt:lpstr>Analysis_Notes</vt:lpstr>
      <vt:lpstr>Project_Scope</vt:lpstr>
      <vt:lpstr>Product_Master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 goku</cp:lastModifiedBy>
  <dcterms:created xsi:type="dcterms:W3CDTF">2026-09-08T10:33:35Z</dcterms:created>
  <dcterms:modified xsi:type="dcterms:W3CDTF">2026-09-09T12:32:55Z</dcterms:modified>
</cp:coreProperties>
</file>